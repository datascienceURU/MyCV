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fteR_ShocK\Desktop\"/>
    </mc:Choice>
  </mc:AlternateContent>
  <xr:revisionPtr revIDLastSave="0" documentId="13_ncr:1_{13D1B4C1-D24B-4F41-ADEF-F9A1830A61A4}" xr6:coauthVersionLast="47" xr6:coauthVersionMax="47" xr10:uidLastSave="{00000000-0000-0000-0000-000000000000}"/>
  <bookViews>
    <workbookView xWindow="-120" yWindow="-120" windowWidth="20730" windowHeight="11160" firstSheet="17" activeTab="29" xr2:uid="{00000000-000D-0000-FFFF-FFFF00000000}"/>
  </bookViews>
  <sheets>
    <sheet name="วิธีใช้" sheetId="1" r:id="rId1"/>
    <sheet name="รายชื่อ" sheetId="2" r:id="rId2"/>
    <sheet name="ข้อมูล" sheetId="3" r:id="rId3"/>
    <sheet name="01" sheetId="4" r:id="rId4"/>
    <sheet name="02" sheetId="5" r:id="rId5"/>
    <sheet name="03" sheetId="6" r:id="rId6"/>
    <sheet name="04" sheetId="7" r:id="rId7"/>
    <sheet name="05" sheetId="8" r:id="rId8"/>
    <sheet name="06" sheetId="9" r:id="rId9"/>
    <sheet name="07" sheetId="10" r:id="rId10"/>
    <sheet name="08" sheetId="11" r:id="rId11"/>
    <sheet name="09" sheetId="12" r:id="rId12"/>
    <sheet name="10" sheetId="13" r:id="rId13"/>
    <sheet name="11" sheetId="14" r:id="rId14"/>
    <sheet name="12" sheetId="15" r:id="rId15"/>
    <sheet name="13" sheetId="16" r:id="rId16"/>
    <sheet name="14" sheetId="17" r:id="rId17"/>
    <sheet name="15" sheetId="18" r:id="rId18"/>
    <sheet name="16" sheetId="19" r:id="rId19"/>
    <sheet name="17" sheetId="20" r:id="rId20"/>
    <sheet name="18" sheetId="21" r:id="rId21"/>
    <sheet name="19" sheetId="22" r:id="rId22"/>
    <sheet name="20" sheetId="23" r:id="rId23"/>
    <sheet name="21" sheetId="24" r:id="rId24"/>
    <sheet name="22" sheetId="25" r:id="rId25"/>
    <sheet name="23" sheetId="26" r:id="rId26"/>
    <sheet name="24" sheetId="27" r:id="rId27"/>
    <sheet name="25" sheetId="28" r:id="rId28"/>
    <sheet name="26" sheetId="29" r:id="rId29"/>
    <sheet name="27" sheetId="30" r:id="rId30"/>
    <sheet name="28" sheetId="31" r:id="rId31"/>
    <sheet name="29" sheetId="32" r:id="rId32"/>
    <sheet name="30" sheetId="33" r:id="rId33"/>
    <sheet name="31" sheetId="34" r:id="rId34"/>
    <sheet name="32" sheetId="35" r:id="rId35"/>
    <sheet name="33" sheetId="36" r:id="rId36"/>
    <sheet name="34" sheetId="37" r:id="rId37"/>
    <sheet name="35" sheetId="38" r:id="rId38"/>
    <sheet name="36" sheetId="39" r:id="rId39"/>
    <sheet name="37" sheetId="40" r:id="rId40"/>
    <sheet name="38" sheetId="41" r:id="rId41"/>
    <sheet name="39" sheetId="42" r:id="rId42"/>
    <sheet name="40" sheetId="43" r:id="rId43"/>
    <sheet name="แปลผลตนเอง" sheetId="44" r:id="rId44"/>
    <sheet name="แปลผลครู" sheetId="45" r:id="rId45"/>
    <sheet name="แปลผลผู้ปกครอง" sheetId="46" r:id="rId46"/>
    <sheet name="สรุปรวม" sheetId="47" r:id="rId47"/>
  </sheets>
  <definedNames>
    <definedName name="_xlnm.Print_Area" localSheetId="46">สรุปรวม!$A$1:$V$52</definedName>
  </definedNames>
  <calcPr calcId="191029"/>
</workbook>
</file>

<file path=xl/calcChain.xml><?xml version="1.0" encoding="utf-8"?>
<calcChain xmlns="http://schemas.openxmlformats.org/spreadsheetml/2006/main">
  <c r="N52" i="47" l="1"/>
  <c r="H52" i="47"/>
  <c r="F48" i="47"/>
  <c r="D46" i="47"/>
  <c r="C46" i="47"/>
  <c r="B46" i="47"/>
  <c r="D45" i="47"/>
  <c r="C45" i="47"/>
  <c r="B45" i="47"/>
  <c r="D44" i="47"/>
  <c r="C44" i="47"/>
  <c r="B44" i="47"/>
  <c r="D43" i="47"/>
  <c r="C43" i="47"/>
  <c r="B43" i="47"/>
  <c r="D42" i="47"/>
  <c r="C42" i="47"/>
  <c r="B42" i="47"/>
  <c r="D41" i="47"/>
  <c r="C41" i="47"/>
  <c r="B41" i="47"/>
  <c r="D40" i="47"/>
  <c r="C40" i="47"/>
  <c r="B40" i="47"/>
  <c r="D39" i="47"/>
  <c r="C39" i="47"/>
  <c r="B39" i="47"/>
  <c r="D38" i="47"/>
  <c r="C38" i="47"/>
  <c r="B38" i="47"/>
  <c r="D37" i="47"/>
  <c r="C37" i="47"/>
  <c r="B37" i="47"/>
  <c r="D36" i="47"/>
  <c r="C36" i="47"/>
  <c r="B36" i="47"/>
  <c r="D35" i="47"/>
  <c r="C35" i="47"/>
  <c r="B35" i="47"/>
  <c r="D34" i="47"/>
  <c r="C34" i="47"/>
  <c r="B34" i="47"/>
  <c r="D33" i="47"/>
  <c r="C33" i="47"/>
  <c r="B33" i="47"/>
  <c r="D32" i="47"/>
  <c r="C32" i="47"/>
  <c r="B32" i="47"/>
  <c r="D31" i="47"/>
  <c r="C31" i="47"/>
  <c r="B31" i="47"/>
  <c r="D30" i="47"/>
  <c r="C30" i="47"/>
  <c r="B30" i="47"/>
  <c r="D29" i="47"/>
  <c r="C29" i="47"/>
  <c r="B29" i="47"/>
  <c r="D28" i="47"/>
  <c r="C28" i="47"/>
  <c r="B28" i="47"/>
  <c r="D27" i="47"/>
  <c r="C27" i="47"/>
  <c r="B27" i="47"/>
  <c r="D26" i="47"/>
  <c r="C26" i="47"/>
  <c r="B26" i="47"/>
  <c r="D25" i="47"/>
  <c r="C25" i="47"/>
  <c r="B25" i="47"/>
  <c r="D24" i="47"/>
  <c r="C24" i="47"/>
  <c r="B24" i="47"/>
  <c r="D23" i="47"/>
  <c r="C23" i="47"/>
  <c r="B23" i="47"/>
  <c r="D22" i="47"/>
  <c r="C22" i="47"/>
  <c r="B22" i="47"/>
  <c r="D21" i="47"/>
  <c r="C21" i="47"/>
  <c r="B21" i="47"/>
  <c r="D20" i="47"/>
  <c r="C20" i="47"/>
  <c r="B20" i="47"/>
  <c r="D19" i="47"/>
  <c r="C19" i="47"/>
  <c r="B19" i="47"/>
  <c r="D18" i="47"/>
  <c r="C18" i="47"/>
  <c r="B18" i="47"/>
  <c r="D17" i="47"/>
  <c r="C17" i="47"/>
  <c r="B17" i="47"/>
  <c r="D16" i="47"/>
  <c r="C16" i="47"/>
  <c r="B16" i="47"/>
  <c r="D15" i="47"/>
  <c r="C15" i="47"/>
  <c r="B15" i="47"/>
  <c r="D14" i="47"/>
  <c r="C14" i="47"/>
  <c r="B14" i="47"/>
  <c r="D13" i="47"/>
  <c r="C13" i="47"/>
  <c r="B13" i="47"/>
  <c r="D12" i="47"/>
  <c r="C12" i="47"/>
  <c r="B12" i="47"/>
  <c r="D11" i="47"/>
  <c r="C11" i="47"/>
  <c r="B11" i="47"/>
  <c r="D10" i="47"/>
  <c r="C10" i="47"/>
  <c r="B10" i="47"/>
  <c r="D9" i="47"/>
  <c r="C9" i="47"/>
  <c r="B9" i="47"/>
  <c r="D8" i="47"/>
  <c r="C8" i="47"/>
  <c r="B8" i="47"/>
  <c r="D7" i="47"/>
  <c r="C7" i="47"/>
  <c r="B7" i="47"/>
  <c r="I4" i="47"/>
  <c r="V3" i="47"/>
  <c r="I3" i="47"/>
  <c r="F3" i="47"/>
  <c r="A3" i="47"/>
  <c r="A2" i="47"/>
  <c r="Q46" i="46"/>
  <c r="R46" i="46" s="1"/>
  <c r="D46" i="46"/>
  <c r="C46" i="46"/>
  <c r="B46" i="46"/>
  <c r="R45" i="46"/>
  <c r="Q45" i="46"/>
  <c r="D45" i="46"/>
  <c r="C45" i="46"/>
  <c r="B45" i="46"/>
  <c r="Q44" i="46"/>
  <c r="R44" i="46" s="1"/>
  <c r="D44" i="46"/>
  <c r="C44" i="46"/>
  <c r="B44" i="46"/>
  <c r="Q43" i="46"/>
  <c r="R43" i="46" s="1"/>
  <c r="D43" i="46"/>
  <c r="C43" i="46"/>
  <c r="B43" i="46"/>
  <c r="R42" i="46"/>
  <c r="Q42" i="46"/>
  <c r="D42" i="46"/>
  <c r="C42" i="46"/>
  <c r="B42" i="46"/>
  <c r="Q41" i="46"/>
  <c r="R41" i="46" s="1"/>
  <c r="D41" i="46"/>
  <c r="C41" i="46"/>
  <c r="B41" i="46"/>
  <c r="Q40" i="46"/>
  <c r="R40" i="46" s="1"/>
  <c r="D40" i="46"/>
  <c r="C40" i="46"/>
  <c r="B40" i="46"/>
  <c r="Q39" i="46"/>
  <c r="R39" i="46" s="1"/>
  <c r="D39" i="46"/>
  <c r="C39" i="46"/>
  <c r="B39" i="46"/>
  <c r="Q38" i="46"/>
  <c r="R38" i="46" s="1"/>
  <c r="D38" i="46"/>
  <c r="C38" i="46"/>
  <c r="B38" i="46"/>
  <c r="R37" i="46"/>
  <c r="Q37" i="46"/>
  <c r="D37" i="46"/>
  <c r="C37" i="46"/>
  <c r="B37" i="46"/>
  <c r="Q36" i="46"/>
  <c r="R36" i="46" s="1"/>
  <c r="D36" i="46"/>
  <c r="C36" i="46"/>
  <c r="B36" i="46"/>
  <c r="Q35" i="46"/>
  <c r="R35" i="46" s="1"/>
  <c r="D35" i="46"/>
  <c r="C35" i="46"/>
  <c r="B35" i="46"/>
  <c r="Q34" i="46"/>
  <c r="R34" i="46" s="1"/>
  <c r="D34" i="46"/>
  <c r="C34" i="46"/>
  <c r="B34" i="46"/>
  <c r="R33" i="46"/>
  <c r="Q33" i="46"/>
  <c r="D33" i="46"/>
  <c r="C33" i="46"/>
  <c r="B33" i="46"/>
  <c r="Q32" i="46"/>
  <c r="R32" i="46" s="1"/>
  <c r="D32" i="46"/>
  <c r="C32" i="46"/>
  <c r="B32" i="46"/>
  <c r="R31" i="46"/>
  <c r="Q31" i="46"/>
  <c r="D31" i="46"/>
  <c r="C31" i="46"/>
  <c r="B31" i="46"/>
  <c r="Q30" i="46"/>
  <c r="R30" i="46" s="1"/>
  <c r="D30" i="46"/>
  <c r="C30" i="46"/>
  <c r="B30" i="46"/>
  <c r="R29" i="46"/>
  <c r="Q29" i="46"/>
  <c r="D29" i="46"/>
  <c r="C29" i="46"/>
  <c r="B29" i="46"/>
  <c r="Q28" i="46"/>
  <c r="R28" i="46" s="1"/>
  <c r="D28" i="46"/>
  <c r="C28" i="46"/>
  <c r="B28" i="46"/>
  <c r="R27" i="46"/>
  <c r="Q27" i="46"/>
  <c r="D27" i="46"/>
  <c r="C27" i="46"/>
  <c r="B27" i="46"/>
  <c r="Q26" i="46"/>
  <c r="R26" i="46" s="1"/>
  <c r="D26" i="46"/>
  <c r="C26" i="46"/>
  <c r="B26" i="46"/>
  <c r="Q25" i="46"/>
  <c r="R25" i="46" s="1"/>
  <c r="D25" i="46"/>
  <c r="C25" i="46"/>
  <c r="B25" i="46"/>
  <c r="Q24" i="46"/>
  <c r="R24" i="46" s="1"/>
  <c r="D24" i="46"/>
  <c r="C24" i="46"/>
  <c r="B24" i="46"/>
  <c r="Q23" i="46"/>
  <c r="R23" i="46" s="1"/>
  <c r="D23" i="46"/>
  <c r="C23" i="46"/>
  <c r="B23" i="46"/>
  <c r="Q22" i="46"/>
  <c r="R22" i="46" s="1"/>
  <c r="D22" i="46"/>
  <c r="C22" i="46"/>
  <c r="B22" i="46"/>
  <c r="R21" i="46"/>
  <c r="Q21" i="46"/>
  <c r="D21" i="46"/>
  <c r="C21" i="46"/>
  <c r="B21" i="46"/>
  <c r="Q20" i="46"/>
  <c r="R20" i="46" s="1"/>
  <c r="D20" i="46"/>
  <c r="C20" i="46"/>
  <c r="B20" i="46"/>
  <c r="R19" i="46"/>
  <c r="Q19" i="46"/>
  <c r="D19" i="46"/>
  <c r="C19" i="46"/>
  <c r="B19" i="46"/>
  <c r="Q18" i="46"/>
  <c r="R18" i="46" s="1"/>
  <c r="D18" i="46"/>
  <c r="C18" i="46"/>
  <c r="B18" i="46"/>
  <c r="Q17" i="46"/>
  <c r="R17" i="46" s="1"/>
  <c r="D17" i="46"/>
  <c r="C17" i="46"/>
  <c r="B17" i="46"/>
  <c r="Q16" i="46"/>
  <c r="R16" i="46" s="1"/>
  <c r="D16" i="46"/>
  <c r="C16" i="46"/>
  <c r="B16" i="46"/>
  <c r="R15" i="46"/>
  <c r="Q15" i="46"/>
  <c r="D15" i="46"/>
  <c r="C15" i="46"/>
  <c r="B15" i="46"/>
  <c r="Q14" i="46"/>
  <c r="R14" i="46" s="1"/>
  <c r="D14" i="46"/>
  <c r="C14" i="46"/>
  <c r="B14" i="46"/>
  <c r="R13" i="46"/>
  <c r="Q13" i="46"/>
  <c r="D13" i="46"/>
  <c r="C13" i="46"/>
  <c r="B13" i="46"/>
  <c r="R12" i="46"/>
  <c r="Q12" i="46"/>
  <c r="D12" i="46"/>
  <c r="C12" i="46"/>
  <c r="B12" i="46"/>
  <c r="R11" i="46"/>
  <c r="Q11" i="46"/>
  <c r="D11" i="46"/>
  <c r="C11" i="46"/>
  <c r="B11" i="46"/>
  <c r="Q10" i="46"/>
  <c r="R10" i="46" s="1"/>
  <c r="D10" i="46"/>
  <c r="C10" i="46"/>
  <c r="B10" i="46"/>
  <c r="Q9" i="46"/>
  <c r="R9" i="46" s="1"/>
  <c r="D9" i="46"/>
  <c r="C9" i="46"/>
  <c r="B9" i="46"/>
  <c r="R8" i="46"/>
  <c r="Q8" i="46"/>
  <c r="D8" i="46"/>
  <c r="C8" i="46"/>
  <c r="B8" i="46"/>
  <c r="Q7" i="46"/>
  <c r="R7" i="46" s="1"/>
  <c r="D7" i="46"/>
  <c r="C7" i="46"/>
  <c r="B7" i="46"/>
  <c r="I4" i="46"/>
  <c r="R3" i="46"/>
  <c r="I3" i="46"/>
  <c r="F3" i="46"/>
  <c r="A3" i="46"/>
  <c r="A2" i="46"/>
  <c r="D46" i="45"/>
  <c r="C46" i="45"/>
  <c r="B46" i="45"/>
  <c r="D45" i="45"/>
  <c r="C45" i="45"/>
  <c r="B45" i="45"/>
  <c r="D44" i="45"/>
  <c r="C44" i="45"/>
  <c r="B44" i="45"/>
  <c r="D43" i="45"/>
  <c r="C43" i="45"/>
  <c r="B43" i="45"/>
  <c r="D42" i="45"/>
  <c r="C42" i="45"/>
  <c r="B42" i="45"/>
  <c r="D41" i="45"/>
  <c r="C41" i="45"/>
  <c r="B41" i="45"/>
  <c r="D40" i="45"/>
  <c r="C40" i="45"/>
  <c r="B40" i="45"/>
  <c r="D39" i="45"/>
  <c r="C39" i="45"/>
  <c r="B39" i="45"/>
  <c r="D38" i="45"/>
  <c r="C38" i="45"/>
  <c r="B38" i="45"/>
  <c r="D37" i="45"/>
  <c r="C37" i="45"/>
  <c r="B37" i="45"/>
  <c r="D36" i="45"/>
  <c r="C36" i="45"/>
  <c r="B36" i="45"/>
  <c r="D35" i="45"/>
  <c r="C35" i="45"/>
  <c r="B35" i="45"/>
  <c r="D34" i="45"/>
  <c r="C34" i="45"/>
  <c r="B34" i="45"/>
  <c r="D33" i="45"/>
  <c r="C33" i="45"/>
  <c r="B33" i="45"/>
  <c r="D32" i="45"/>
  <c r="C32" i="45"/>
  <c r="B32" i="45"/>
  <c r="D31" i="45"/>
  <c r="C31" i="45"/>
  <c r="B31" i="45"/>
  <c r="D30" i="45"/>
  <c r="C30" i="45"/>
  <c r="B30" i="45"/>
  <c r="D29" i="45"/>
  <c r="C29" i="45"/>
  <c r="B29" i="45"/>
  <c r="D28" i="45"/>
  <c r="C28" i="45"/>
  <c r="B28" i="45"/>
  <c r="D27" i="45"/>
  <c r="C27" i="45"/>
  <c r="B27" i="45"/>
  <c r="D26" i="45"/>
  <c r="C26" i="45"/>
  <c r="B26" i="45"/>
  <c r="D25" i="45"/>
  <c r="C25" i="45"/>
  <c r="B25" i="45"/>
  <c r="D24" i="45"/>
  <c r="C24" i="45"/>
  <c r="B24" i="45"/>
  <c r="D23" i="45"/>
  <c r="C23" i="45"/>
  <c r="B23" i="45"/>
  <c r="D22" i="45"/>
  <c r="C22" i="45"/>
  <c r="B22" i="45"/>
  <c r="D21" i="45"/>
  <c r="C21" i="45"/>
  <c r="B21" i="45"/>
  <c r="D20" i="45"/>
  <c r="C20" i="45"/>
  <c r="B20" i="45"/>
  <c r="D19" i="45"/>
  <c r="C19" i="45"/>
  <c r="B19" i="45"/>
  <c r="D18" i="45"/>
  <c r="C18" i="45"/>
  <c r="B18" i="45"/>
  <c r="D17" i="45"/>
  <c r="C17" i="45"/>
  <c r="B17" i="45"/>
  <c r="D16" i="45"/>
  <c r="C16" i="45"/>
  <c r="B16" i="45"/>
  <c r="D15" i="45"/>
  <c r="C15" i="45"/>
  <c r="B15" i="45"/>
  <c r="D14" i="45"/>
  <c r="C14" i="45"/>
  <c r="B14" i="45"/>
  <c r="D13" i="45"/>
  <c r="C13" i="45"/>
  <c r="B13" i="45"/>
  <c r="D12" i="45"/>
  <c r="C12" i="45"/>
  <c r="B12" i="45"/>
  <c r="D11" i="45"/>
  <c r="C11" i="45"/>
  <c r="B11" i="45"/>
  <c r="D10" i="45"/>
  <c r="C10" i="45"/>
  <c r="B10" i="45"/>
  <c r="D9" i="45"/>
  <c r="C9" i="45"/>
  <c r="B9" i="45"/>
  <c r="D8" i="45"/>
  <c r="C8" i="45"/>
  <c r="B8" i="45"/>
  <c r="D7" i="45"/>
  <c r="C7" i="45"/>
  <c r="B7" i="45"/>
  <c r="I4" i="45"/>
  <c r="R3" i="45"/>
  <c r="I3" i="45"/>
  <c r="F3" i="45"/>
  <c r="A3" i="45"/>
  <c r="A2" i="45"/>
  <c r="D46" i="44"/>
  <c r="C46" i="44"/>
  <c r="B46" i="44"/>
  <c r="D45" i="44"/>
  <c r="C45" i="44"/>
  <c r="B45" i="44"/>
  <c r="D44" i="44"/>
  <c r="C44" i="44"/>
  <c r="B44" i="44"/>
  <c r="D43" i="44"/>
  <c r="C43" i="44"/>
  <c r="B43" i="44"/>
  <c r="D42" i="44"/>
  <c r="C42" i="44"/>
  <c r="B42" i="44"/>
  <c r="D41" i="44"/>
  <c r="C41" i="44"/>
  <c r="B41" i="44"/>
  <c r="D40" i="44"/>
  <c r="C40" i="44"/>
  <c r="B40" i="44"/>
  <c r="D39" i="44"/>
  <c r="C39" i="44"/>
  <c r="B39" i="44"/>
  <c r="D38" i="44"/>
  <c r="C38" i="44"/>
  <c r="B38" i="44"/>
  <c r="D37" i="44"/>
  <c r="C37" i="44"/>
  <c r="B37" i="44"/>
  <c r="D36" i="44"/>
  <c r="C36" i="44"/>
  <c r="B36" i="44"/>
  <c r="D35" i="44"/>
  <c r="C35" i="44"/>
  <c r="B35" i="44"/>
  <c r="D34" i="44"/>
  <c r="C34" i="44"/>
  <c r="B34" i="44"/>
  <c r="D33" i="44"/>
  <c r="C33" i="44"/>
  <c r="B33" i="44"/>
  <c r="D32" i="44"/>
  <c r="C32" i="44"/>
  <c r="B32" i="44"/>
  <c r="D31" i="44"/>
  <c r="C31" i="44"/>
  <c r="B31" i="44"/>
  <c r="D30" i="44"/>
  <c r="C30" i="44"/>
  <c r="B30" i="44"/>
  <c r="D29" i="44"/>
  <c r="C29" i="44"/>
  <c r="B29" i="44"/>
  <c r="D28" i="44"/>
  <c r="C28" i="44"/>
  <c r="B28" i="44"/>
  <c r="D27" i="44"/>
  <c r="C27" i="44"/>
  <c r="B27" i="44"/>
  <c r="D26" i="44"/>
  <c r="C26" i="44"/>
  <c r="B26" i="44"/>
  <c r="D25" i="44"/>
  <c r="C25" i="44"/>
  <c r="B25" i="44"/>
  <c r="D24" i="44"/>
  <c r="C24" i="44"/>
  <c r="B24" i="44"/>
  <c r="D23" i="44"/>
  <c r="C23" i="44"/>
  <c r="B23" i="44"/>
  <c r="D22" i="44"/>
  <c r="C22" i="44"/>
  <c r="B22" i="44"/>
  <c r="D21" i="44"/>
  <c r="C21" i="44"/>
  <c r="B21" i="44"/>
  <c r="D20" i="44"/>
  <c r="C20" i="44"/>
  <c r="B20" i="44"/>
  <c r="D19" i="44"/>
  <c r="C19" i="44"/>
  <c r="B19" i="44"/>
  <c r="D18" i="44"/>
  <c r="C18" i="44"/>
  <c r="B18" i="44"/>
  <c r="D17" i="44"/>
  <c r="C17" i="44"/>
  <c r="B17" i="44"/>
  <c r="D16" i="44"/>
  <c r="C16" i="44"/>
  <c r="B16" i="44"/>
  <c r="D15" i="44"/>
  <c r="C15" i="44"/>
  <c r="B15" i="44"/>
  <c r="D14" i="44"/>
  <c r="C14" i="44"/>
  <c r="B14" i="44"/>
  <c r="D13" i="44"/>
  <c r="C13" i="44"/>
  <c r="B13" i="44"/>
  <c r="D12" i="44"/>
  <c r="C12" i="44"/>
  <c r="B12" i="44"/>
  <c r="D11" i="44"/>
  <c r="C11" i="44"/>
  <c r="B11" i="44"/>
  <c r="D10" i="44"/>
  <c r="C10" i="44"/>
  <c r="B10" i="44"/>
  <c r="D9" i="44"/>
  <c r="C9" i="44"/>
  <c r="B9" i="44"/>
  <c r="D8" i="44"/>
  <c r="C8" i="44"/>
  <c r="B8" i="44"/>
  <c r="D7" i="44"/>
  <c r="C7" i="44"/>
  <c r="B7" i="44"/>
  <c r="I4" i="44"/>
  <c r="R3" i="44"/>
  <c r="I3" i="44"/>
  <c r="F3" i="44"/>
  <c r="A3" i="44"/>
  <c r="A2" i="44"/>
  <c r="AG41" i="43"/>
  <c r="AF41" i="43"/>
  <c r="AE41" i="43"/>
  <c r="AD41" i="43"/>
  <c r="U41" i="43"/>
  <c r="T41" i="43"/>
  <c r="S41" i="43"/>
  <c r="R41" i="43"/>
  <c r="I41" i="43"/>
  <c r="H41" i="43"/>
  <c r="G41" i="43"/>
  <c r="F41" i="43"/>
  <c r="AG40" i="43"/>
  <c r="AF40" i="43"/>
  <c r="AE40" i="43"/>
  <c r="AD40" i="43"/>
  <c r="U40" i="43"/>
  <c r="T40" i="43"/>
  <c r="S40" i="43"/>
  <c r="R40" i="43"/>
  <c r="I40" i="43"/>
  <c r="H40" i="43"/>
  <c r="G40" i="43"/>
  <c r="F40" i="43"/>
  <c r="AG39" i="43"/>
  <c r="AF39" i="43"/>
  <c r="AE39" i="43"/>
  <c r="AD39" i="43"/>
  <c r="U39" i="43"/>
  <c r="T39" i="43"/>
  <c r="S39" i="43"/>
  <c r="R39" i="43"/>
  <c r="I39" i="43"/>
  <c r="H39" i="43"/>
  <c r="G39" i="43"/>
  <c r="F39" i="43"/>
  <c r="AG38" i="43"/>
  <c r="AF38" i="43"/>
  <c r="AE38" i="43"/>
  <c r="AD38" i="43"/>
  <c r="U38" i="43"/>
  <c r="T38" i="43"/>
  <c r="S38" i="43"/>
  <c r="R38" i="43"/>
  <c r="I38" i="43"/>
  <c r="H38" i="43"/>
  <c r="G38" i="43"/>
  <c r="F38" i="43"/>
  <c r="AF37" i="43"/>
  <c r="AE37" i="43"/>
  <c r="AD37" i="43"/>
  <c r="AG37" i="43" s="1"/>
  <c r="U37" i="43"/>
  <c r="T37" i="43"/>
  <c r="S37" i="43"/>
  <c r="R37" i="43"/>
  <c r="H37" i="43"/>
  <c r="G37" i="43"/>
  <c r="F37" i="43"/>
  <c r="I37" i="43" s="1"/>
  <c r="AG36" i="43"/>
  <c r="AF36" i="43"/>
  <c r="AE36" i="43"/>
  <c r="AD36" i="43"/>
  <c r="T36" i="43"/>
  <c r="S36" i="43"/>
  <c r="R36" i="43"/>
  <c r="U36" i="43" s="1"/>
  <c r="I36" i="43"/>
  <c r="H36" i="43"/>
  <c r="G36" i="43"/>
  <c r="F36" i="43"/>
  <c r="AF35" i="43"/>
  <c r="AE35" i="43"/>
  <c r="AD35" i="43"/>
  <c r="AG35" i="43" s="1"/>
  <c r="U35" i="43"/>
  <c r="T35" i="43"/>
  <c r="S35" i="43"/>
  <c r="R35" i="43"/>
  <c r="I35" i="43"/>
  <c r="J35" i="43" s="1"/>
  <c r="K37" i="43" s="1"/>
  <c r="Q46" i="44" s="1"/>
  <c r="H35" i="43"/>
  <c r="G35" i="43"/>
  <c r="F35" i="43"/>
  <c r="AF34" i="43"/>
  <c r="AE34" i="43"/>
  <c r="AD34" i="43"/>
  <c r="AG34" i="43" s="1"/>
  <c r="AH35" i="43" s="1"/>
  <c r="AI37" i="43" s="1"/>
  <c r="T34" i="43"/>
  <c r="S34" i="43"/>
  <c r="R34" i="43"/>
  <c r="U34" i="43" s="1"/>
  <c r="V35" i="43" s="1"/>
  <c r="W37" i="43" s="1"/>
  <c r="Q46" i="45" s="1"/>
  <c r="R46" i="45" s="1"/>
  <c r="I34" i="43"/>
  <c r="H34" i="43"/>
  <c r="G34" i="43"/>
  <c r="F34" i="43"/>
  <c r="AG31" i="43"/>
  <c r="AF31" i="43"/>
  <c r="AE31" i="43"/>
  <c r="AD31" i="43"/>
  <c r="T31" i="43"/>
  <c r="S31" i="43"/>
  <c r="R31" i="43"/>
  <c r="U31" i="43" s="1"/>
  <c r="I31" i="43"/>
  <c r="H31" i="43"/>
  <c r="G31" i="43"/>
  <c r="F31" i="43"/>
  <c r="AF30" i="43"/>
  <c r="AE30" i="43"/>
  <c r="AD30" i="43"/>
  <c r="AG30" i="43" s="1"/>
  <c r="U30" i="43"/>
  <c r="T30" i="43"/>
  <c r="S30" i="43"/>
  <c r="R30" i="43"/>
  <c r="H30" i="43"/>
  <c r="G30" i="43"/>
  <c r="F30" i="43"/>
  <c r="I30" i="43" s="1"/>
  <c r="AG29" i="43"/>
  <c r="AF29" i="43"/>
  <c r="AE29" i="43"/>
  <c r="AD29" i="43"/>
  <c r="T29" i="43"/>
  <c r="S29" i="43"/>
  <c r="R29" i="43"/>
  <c r="U29" i="43" s="1"/>
  <c r="I29" i="43"/>
  <c r="H29" i="43"/>
  <c r="G29" i="43"/>
  <c r="F29" i="43"/>
  <c r="AF28" i="43"/>
  <c r="AE28" i="43"/>
  <c r="AD28" i="43"/>
  <c r="AG28" i="43" s="1"/>
  <c r="U28" i="43"/>
  <c r="T28" i="43"/>
  <c r="S28" i="43"/>
  <c r="R28" i="43"/>
  <c r="H28" i="43"/>
  <c r="G28" i="43"/>
  <c r="F28" i="43"/>
  <c r="I28" i="43" s="1"/>
  <c r="AF27" i="43"/>
  <c r="AE27" i="43"/>
  <c r="AD27" i="43"/>
  <c r="AG27" i="43" s="1"/>
  <c r="U27" i="43"/>
  <c r="T27" i="43"/>
  <c r="S27" i="43"/>
  <c r="R27" i="43"/>
  <c r="I27" i="43"/>
  <c r="H27" i="43"/>
  <c r="G27" i="43"/>
  <c r="F27" i="43"/>
  <c r="AF26" i="43"/>
  <c r="AE26" i="43"/>
  <c r="AD26" i="43"/>
  <c r="AG26" i="43" s="1"/>
  <c r="U26" i="43"/>
  <c r="T26" i="43"/>
  <c r="S26" i="43"/>
  <c r="R26" i="43"/>
  <c r="H26" i="43"/>
  <c r="G26" i="43"/>
  <c r="F26" i="43"/>
  <c r="I26" i="43" s="1"/>
  <c r="AG25" i="43"/>
  <c r="AF25" i="43"/>
  <c r="AE25" i="43"/>
  <c r="AD25" i="43"/>
  <c r="T25" i="43"/>
  <c r="S25" i="43"/>
  <c r="R25" i="43"/>
  <c r="U25" i="43" s="1"/>
  <c r="I25" i="43"/>
  <c r="H25" i="43"/>
  <c r="G25" i="43"/>
  <c r="F25" i="43"/>
  <c r="AF24" i="43"/>
  <c r="AE24" i="43"/>
  <c r="AD24" i="43"/>
  <c r="AG24" i="43" s="1"/>
  <c r="U24" i="43"/>
  <c r="T24" i="43"/>
  <c r="S24" i="43"/>
  <c r="R24" i="43"/>
  <c r="H24" i="43"/>
  <c r="G24" i="43"/>
  <c r="F24" i="43"/>
  <c r="I24" i="43" s="1"/>
  <c r="AG23" i="43"/>
  <c r="AF23" i="43"/>
  <c r="AE23" i="43"/>
  <c r="AD23" i="43"/>
  <c r="T23" i="43"/>
  <c r="S23" i="43"/>
  <c r="R23" i="43"/>
  <c r="U23" i="43" s="1"/>
  <c r="I23" i="43"/>
  <c r="H23" i="43"/>
  <c r="G23" i="43"/>
  <c r="F23" i="43"/>
  <c r="AF22" i="43"/>
  <c r="AE22" i="43"/>
  <c r="AD22" i="43"/>
  <c r="AG22" i="43" s="1"/>
  <c r="T22" i="43"/>
  <c r="S22" i="43"/>
  <c r="R22" i="43"/>
  <c r="U22" i="43" s="1"/>
  <c r="I22" i="43"/>
  <c r="H22" i="43"/>
  <c r="G22" i="43"/>
  <c r="F22" i="43"/>
  <c r="AF21" i="43"/>
  <c r="AE21" i="43"/>
  <c r="AD21" i="43"/>
  <c r="AG21" i="43" s="1"/>
  <c r="U21" i="43"/>
  <c r="T21" i="43"/>
  <c r="S21" i="43"/>
  <c r="R21" i="43"/>
  <c r="H21" i="43"/>
  <c r="G21" i="43"/>
  <c r="F21" i="43"/>
  <c r="I21" i="43" s="1"/>
  <c r="AG20" i="43"/>
  <c r="AF20" i="43"/>
  <c r="AE20" i="43"/>
  <c r="AD20" i="43"/>
  <c r="T20" i="43"/>
  <c r="S20" i="43"/>
  <c r="R20" i="43"/>
  <c r="U20" i="43" s="1"/>
  <c r="I20" i="43"/>
  <c r="H20" i="43"/>
  <c r="G20" i="43"/>
  <c r="F20" i="43"/>
  <c r="AF19" i="43"/>
  <c r="AE19" i="43"/>
  <c r="AD19" i="43"/>
  <c r="AG19" i="43" s="1"/>
  <c r="U19" i="43"/>
  <c r="T19" i="43"/>
  <c r="S19" i="43"/>
  <c r="R19" i="43"/>
  <c r="H19" i="43"/>
  <c r="G19" i="43"/>
  <c r="F19" i="43"/>
  <c r="I19" i="43" s="1"/>
  <c r="AG18" i="43"/>
  <c r="AF18" i="43"/>
  <c r="AE18" i="43"/>
  <c r="AD18" i="43"/>
  <c r="T18" i="43"/>
  <c r="S18" i="43"/>
  <c r="R18" i="43"/>
  <c r="U18" i="43" s="1"/>
  <c r="I18" i="43"/>
  <c r="H18" i="43"/>
  <c r="G18" i="43"/>
  <c r="F18" i="43"/>
  <c r="AG17" i="43"/>
  <c r="AF17" i="43"/>
  <c r="AE17" i="43"/>
  <c r="AD17" i="43"/>
  <c r="T17" i="43"/>
  <c r="S17" i="43"/>
  <c r="R17" i="43"/>
  <c r="U17" i="43" s="1"/>
  <c r="H17" i="43"/>
  <c r="G17" i="43"/>
  <c r="F17" i="43"/>
  <c r="I17" i="43" s="1"/>
  <c r="AG16" i="43"/>
  <c r="AF16" i="43"/>
  <c r="AE16" i="43"/>
  <c r="AD16" i="43"/>
  <c r="T16" i="43"/>
  <c r="S16" i="43"/>
  <c r="R16" i="43"/>
  <c r="U16" i="43" s="1"/>
  <c r="I16" i="43"/>
  <c r="H16" i="43"/>
  <c r="G16" i="43"/>
  <c r="F16" i="43"/>
  <c r="AF15" i="43"/>
  <c r="AE15" i="43"/>
  <c r="AD15" i="43"/>
  <c r="AG15" i="43" s="1"/>
  <c r="U15" i="43"/>
  <c r="T15" i="43"/>
  <c r="S15" i="43"/>
  <c r="R15" i="43"/>
  <c r="H15" i="43"/>
  <c r="G15" i="43"/>
  <c r="F15" i="43"/>
  <c r="I15" i="43" s="1"/>
  <c r="AG14" i="43"/>
  <c r="AF14" i="43"/>
  <c r="AE14" i="43"/>
  <c r="AD14" i="43"/>
  <c r="T14" i="43"/>
  <c r="S14" i="43"/>
  <c r="R14" i="43"/>
  <c r="U14" i="43" s="1"/>
  <c r="I14" i="43"/>
  <c r="H14" i="43"/>
  <c r="G14" i="43"/>
  <c r="F14" i="43"/>
  <c r="AF13" i="43"/>
  <c r="AE13" i="43"/>
  <c r="AD13" i="43"/>
  <c r="AG13" i="43" s="1"/>
  <c r="U13" i="43"/>
  <c r="T13" i="43"/>
  <c r="S13" i="43"/>
  <c r="R13" i="43"/>
  <c r="H13" i="43"/>
  <c r="G13" i="43"/>
  <c r="F13" i="43"/>
  <c r="I13" i="43" s="1"/>
  <c r="AG12" i="43"/>
  <c r="AH22" i="43" s="1"/>
  <c r="AF12" i="43"/>
  <c r="AE12" i="43"/>
  <c r="AD12" i="43"/>
  <c r="U12" i="43"/>
  <c r="V22" i="43" s="1"/>
  <c r="W22" i="43" s="1"/>
  <c r="K46" i="45" s="1"/>
  <c r="L46" i="45" s="1"/>
  <c r="T12" i="43"/>
  <c r="S12" i="43"/>
  <c r="R12" i="43"/>
  <c r="H12" i="43"/>
  <c r="G12" i="43"/>
  <c r="F12" i="43"/>
  <c r="I12" i="43" s="1"/>
  <c r="J22" i="43" s="1"/>
  <c r="K22" i="43" s="1"/>
  <c r="K46" i="44" s="1"/>
  <c r="AG11" i="43"/>
  <c r="AH12" i="43" s="1"/>
  <c r="AF11" i="43"/>
  <c r="AE11" i="43"/>
  <c r="AD11" i="43"/>
  <c r="T11" i="43"/>
  <c r="S11" i="43"/>
  <c r="R11" i="43"/>
  <c r="U11" i="43" s="1"/>
  <c r="V12" i="43" s="1"/>
  <c r="W12" i="43" s="1"/>
  <c r="G46" i="45" s="1"/>
  <c r="H46" i="45" s="1"/>
  <c r="I11" i="43"/>
  <c r="H11" i="43"/>
  <c r="G11" i="43"/>
  <c r="F11" i="43"/>
  <c r="AF10" i="43"/>
  <c r="AE10" i="43"/>
  <c r="AD10" i="43"/>
  <c r="AG10" i="43" s="1"/>
  <c r="U10" i="43"/>
  <c r="T10" i="43"/>
  <c r="S10" i="43"/>
  <c r="R10" i="43"/>
  <c r="H10" i="43"/>
  <c r="G10" i="43"/>
  <c r="F10" i="43"/>
  <c r="I10" i="43" s="1"/>
  <c r="AG9" i="43"/>
  <c r="AF9" i="43"/>
  <c r="AE9" i="43"/>
  <c r="AD9" i="43"/>
  <c r="T9" i="43"/>
  <c r="S9" i="43"/>
  <c r="R9" i="43"/>
  <c r="U9" i="43" s="1"/>
  <c r="I9" i="43"/>
  <c r="H9" i="43"/>
  <c r="G9" i="43"/>
  <c r="F9" i="43"/>
  <c r="AF8" i="43"/>
  <c r="AE8" i="43"/>
  <c r="AD8" i="43"/>
  <c r="AG8" i="43" s="1"/>
  <c r="U8" i="43"/>
  <c r="T8" i="43"/>
  <c r="S8" i="43"/>
  <c r="R8" i="43"/>
  <c r="H8" i="43"/>
  <c r="G8" i="43"/>
  <c r="F8" i="43"/>
  <c r="I8" i="43" s="1"/>
  <c r="J17" i="43" s="1"/>
  <c r="K17" i="43" s="1"/>
  <c r="I46" i="44" s="1"/>
  <c r="AF7" i="43"/>
  <c r="AE7" i="43"/>
  <c r="AD7" i="43"/>
  <c r="AG7" i="43" s="1"/>
  <c r="U7" i="43"/>
  <c r="T7" i="43"/>
  <c r="S7" i="43"/>
  <c r="R7" i="43"/>
  <c r="I7" i="43"/>
  <c r="J27" i="43" s="1"/>
  <c r="K27" i="43" s="1"/>
  <c r="O46" i="44" s="1"/>
  <c r="H7" i="43"/>
  <c r="G7" i="43"/>
  <c r="F7" i="43"/>
  <c r="AB3" i="43"/>
  <c r="AA3" i="43"/>
  <c r="Z3" i="43"/>
  <c r="P3" i="43"/>
  <c r="O3" i="43"/>
  <c r="N3" i="43"/>
  <c r="D3" i="43"/>
  <c r="C3" i="43"/>
  <c r="B3" i="43"/>
  <c r="M2" i="43"/>
  <c r="A2" i="43"/>
  <c r="AG41" i="42"/>
  <c r="AF41" i="42"/>
  <c r="AE41" i="42"/>
  <c r="AD41" i="42"/>
  <c r="U41" i="42"/>
  <c r="T41" i="42"/>
  <c r="S41" i="42"/>
  <c r="R41" i="42"/>
  <c r="I41" i="42"/>
  <c r="H41" i="42"/>
  <c r="G41" i="42"/>
  <c r="F41" i="42"/>
  <c r="AG40" i="42"/>
  <c r="AF40" i="42"/>
  <c r="AE40" i="42"/>
  <c r="AD40" i="42"/>
  <c r="U40" i="42"/>
  <c r="T40" i="42"/>
  <c r="S40" i="42"/>
  <c r="R40" i="42"/>
  <c r="I40" i="42"/>
  <c r="H40" i="42"/>
  <c r="G40" i="42"/>
  <c r="F40" i="42"/>
  <c r="AG39" i="42"/>
  <c r="AF39" i="42"/>
  <c r="AE39" i="42"/>
  <c r="AD39" i="42"/>
  <c r="U39" i="42"/>
  <c r="T39" i="42"/>
  <c r="S39" i="42"/>
  <c r="R39" i="42"/>
  <c r="I39" i="42"/>
  <c r="H39" i="42"/>
  <c r="G39" i="42"/>
  <c r="F39" i="42"/>
  <c r="AG38" i="42"/>
  <c r="AF38" i="42"/>
  <c r="AE38" i="42"/>
  <c r="AD38" i="42"/>
  <c r="U38" i="42"/>
  <c r="T38" i="42"/>
  <c r="S38" i="42"/>
  <c r="R38" i="42"/>
  <c r="I38" i="42"/>
  <c r="H38" i="42"/>
  <c r="G38" i="42"/>
  <c r="F38" i="42"/>
  <c r="AG37" i="42"/>
  <c r="AF37" i="42"/>
  <c r="AE37" i="42"/>
  <c r="AD37" i="42"/>
  <c r="T37" i="42"/>
  <c r="S37" i="42"/>
  <c r="R37" i="42"/>
  <c r="U37" i="42" s="1"/>
  <c r="I37" i="42"/>
  <c r="H37" i="42"/>
  <c r="G37" i="42"/>
  <c r="F37" i="42"/>
  <c r="AF36" i="42"/>
  <c r="AE36" i="42"/>
  <c r="AD36" i="42"/>
  <c r="AG36" i="42" s="1"/>
  <c r="AH35" i="42" s="1"/>
  <c r="AI37" i="42" s="1"/>
  <c r="U36" i="42"/>
  <c r="T36" i="42"/>
  <c r="S36" i="42"/>
  <c r="R36" i="42"/>
  <c r="H36" i="42"/>
  <c r="G36" i="42"/>
  <c r="F36" i="42"/>
  <c r="I36" i="42" s="1"/>
  <c r="AG35" i="42"/>
  <c r="AF35" i="42"/>
  <c r="AE35" i="42"/>
  <c r="AD35" i="42"/>
  <c r="U35" i="42"/>
  <c r="T35" i="42"/>
  <c r="S35" i="42"/>
  <c r="R35" i="42"/>
  <c r="H35" i="42"/>
  <c r="G35" i="42"/>
  <c r="F35" i="42"/>
  <c r="I35" i="42" s="1"/>
  <c r="AG34" i="42"/>
  <c r="AF34" i="42"/>
  <c r="AE34" i="42"/>
  <c r="AD34" i="42"/>
  <c r="T34" i="42"/>
  <c r="S34" i="42"/>
  <c r="R34" i="42"/>
  <c r="U34" i="42" s="1"/>
  <c r="V35" i="42" s="1"/>
  <c r="W37" i="42" s="1"/>
  <c r="Q45" i="45" s="1"/>
  <c r="R45" i="45" s="1"/>
  <c r="I34" i="42"/>
  <c r="J35" i="42" s="1"/>
  <c r="K37" i="42" s="1"/>
  <c r="Q45" i="44" s="1"/>
  <c r="H34" i="42"/>
  <c r="G34" i="42"/>
  <c r="F34" i="42"/>
  <c r="AF31" i="42"/>
  <c r="AE31" i="42"/>
  <c r="AD31" i="42"/>
  <c r="AG31" i="42" s="1"/>
  <c r="U31" i="42"/>
  <c r="T31" i="42"/>
  <c r="S31" i="42"/>
  <c r="R31" i="42"/>
  <c r="I31" i="42"/>
  <c r="H31" i="42"/>
  <c r="G31" i="42"/>
  <c r="F31" i="42"/>
  <c r="AF30" i="42"/>
  <c r="AE30" i="42"/>
  <c r="AD30" i="42"/>
  <c r="AG30" i="42" s="1"/>
  <c r="U30" i="42"/>
  <c r="T30" i="42"/>
  <c r="S30" i="42"/>
  <c r="R30" i="42"/>
  <c r="H30" i="42"/>
  <c r="G30" i="42"/>
  <c r="F30" i="42"/>
  <c r="I30" i="42" s="1"/>
  <c r="AG29" i="42"/>
  <c r="AF29" i="42"/>
  <c r="AE29" i="42"/>
  <c r="AD29" i="42"/>
  <c r="T29" i="42"/>
  <c r="S29" i="42"/>
  <c r="R29" i="42"/>
  <c r="U29" i="42" s="1"/>
  <c r="I29" i="42"/>
  <c r="H29" i="42"/>
  <c r="G29" i="42"/>
  <c r="F29" i="42"/>
  <c r="AF28" i="42"/>
  <c r="AE28" i="42"/>
  <c r="AD28" i="42"/>
  <c r="AG28" i="42" s="1"/>
  <c r="U28" i="42"/>
  <c r="T28" i="42"/>
  <c r="S28" i="42"/>
  <c r="R28" i="42"/>
  <c r="H28" i="42"/>
  <c r="G28" i="42"/>
  <c r="F28" i="42"/>
  <c r="I28" i="42" s="1"/>
  <c r="AG27" i="42"/>
  <c r="AF27" i="42"/>
  <c r="AE27" i="42"/>
  <c r="AD27" i="42"/>
  <c r="U27" i="42"/>
  <c r="T27" i="42"/>
  <c r="S27" i="42"/>
  <c r="R27" i="42"/>
  <c r="H27" i="42"/>
  <c r="G27" i="42"/>
  <c r="F27" i="42"/>
  <c r="I27" i="42" s="1"/>
  <c r="AG26" i="42"/>
  <c r="AF26" i="42"/>
  <c r="AE26" i="42"/>
  <c r="AD26" i="42"/>
  <c r="T26" i="42"/>
  <c r="S26" i="42"/>
  <c r="R26" i="42"/>
  <c r="U26" i="42" s="1"/>
  <c r="I26" i="42"/>
  <c r="H26" i="42"/>
  <c r="G26" i="42"/>
  <c r="F26" i="42"/>
  <c r="AF25" i="42"/>
  <c r="AE25" i="42"/>
  <c r="AD25" i="42"/>
  <c r="AG25" i="42" s="1"/>
  <c r="U25" i="42"/>
  <c r="T25" i="42"/>
  <c r="S25" i="42"/>
  <c r="R25" i="42"/>
  <c r="H25" i="42"/>
  <c r="G25" i="42"/>
  <c r="F25" i="42"/>
  <c r="I25" i="42" s="1"/>
  <c r="AG24" i="42"/>
  <c r="AF24" i="42"/>
  <c r="AE24" i="42"/>
  <c r="AD24" i="42"/>
  <c r="T24" i="42"/>
  <c r="S24" i="42"/>
  <c r="R24" i="42"/>
  <c r="U24" i="42" s="1"/>
  <c r="I24" i="42"/>
  <c r="H24" i="42"/>
  <c r="G24" i="42"/>
  <c r="F24" i="42"/>
  <c r="AF23" i="42"/>
  <c r="AE23" i="42"/>
  <c r="AD23" i="42"/>
  <c r="AG23" i="42" s="1"/>
  <c r="U23" i="42"/>
  <c r="T23" i="42"/>
  <c r="S23" i="42"/>
  <c r="R23" i="42"/>
  <c r="H23" i="42"/>
  <c r="G23" i="42"/>
  <c r="F23" i="42"/>
  <c r="I23" i="42" s="1"/>
  <c r="AF22" i="42"/>
  <c r="AE22" i="42"/>
  <c r="AD22" i="42"/>
  <c r="AG22" i="42" s="1"/>
  <c r="U22" i="42"/>
  <c r="T22" i="42"/>
  <c r="S22" i="42"/>
  <c r="R22" i="42"/>
  <c r="H22" i="42"/>
  <c r="G22" i="42"/>
  <c r="F22" i="42"/>
  <c r="I22" i="42" s="1"/>
  <c r="AF21" i="42"/>
  <c r="AE21" i="42"/>
  <c r="AD21" i="42"/>
  <c r="AG21" i="42" s="1"/>
  <c r="U21" i="42"/>
  <c r="T21" i="42"/>
  <c r="S21" i="42"/>
  <c r="R21" i="42"/>
  <c r="H21" i="42"/>
  <c r="G21" i="42"/>
  <c r="F21" i="42"/>
  <c r="I21" i="42" s="1"/>
  <c r="AF20" i="42"/>
  <c r="AE20" i="42"/>
  <c r="AD20" i="42"/>
  <c r="AG20" i="42" s="1"/>
  <c r="T20" i="42"/>
  <c r="S20" i="42"/>
  <c r="R20" i="42"/>
  <c r="U20" i="42" s="1"/>
  <c r="I20" i="42"/>
  <c r="H20" i="42"/>
  <c r="G20" i="42"/>
  <c r="F20" i="42"/>
  <c r="AF19" i="42"/>
  <c r="AE19" i="42"/>
  <c r="AD19" i="42"/>
  <c r="AG19" i="42" s="1"/>
  <c r="U19" i="42"/>
  <c r="T19" i="42"/>
  <c r="S19" i="42"/>
  <c r="R19" i="42"/>
  <c r="H19" i="42"/>
  <c r="G19" i="42"/>
  <c r="F19" i="42"/>
  <c r="I19" i="42" s="1"/>
  <c r="AF18" i="42"/>
  <c r="AE18" i="42"/>
  <c r="AD18" i="42"/>
  <c r="AG18" i="42" s="1"/>
  <c r="T18" i="42"/>
  <c r="S18" i="42"/>
  <c r="R18" i="42"/>
  <c r="U18" i="42" s="1"/>
  <c r="H18" i="42"/>
  <c r="G18" i="42"/>
  <c r="F18" i="42"/>
  <c r="I18" i="42" s="1"/>
  <c r="AF17" i="42"/>
  <c r="AE17" i="42"/>
  <c r="AD17" i="42"/>
  <c r="AG17" i="42" s="1"/>
  <c r="T17" i="42"/>
  <c r="S17" i="42"/>
  <c r="R17" i="42"/>
  <c r="U17" i="42" s="1"/>
  <c r="I17" i="42"/>
  <c r="H17" i="42"/>
  <c r="G17" i="42"/>
  <c r="F17" i="42"/>
  <c r="AF16" i="42"/>
  <c r="AE16" i="42"/>
  <c r="AD16" i="42"/>
  <c r="AG16" i="42" s="1"/>
  <c r="U16" i="42"/>
  <c r="T16" i="42"/>
  <c r="S16" i="42"/>
  <c r="R16" i="42"/>
  <c r="H16" i="42"/>
  <c r="G16" i="42"/>
  <c r="F16" i="42"/>
  <c r="I16" i="42" s="1"/>
  <c r="AG15" i="42"/>
  <c r="AF15" i="42"/>
  <c r="AE15" i="42"/>
  <c r="AD15" i="42"/>
  <c r="T15" i="42"/>
  <c r="S15" i="42"/>
  <c r="R15" i="42"/>
  <c r="U15" i="42" s="1"/>
  <c r="I15" i="42"/>
  <c r="H15" i="42"/>
  <c r="G15" i="42"/>
  <c r="F15" i="42"/>
  <c r="AF14" i="42"/>
  <c r="AE14" i="42"/>
  <c r="AD14" i="42"/>
  <c r="AG14" i="42" s="1"/>
  <c r="U14" i="42"/>
  <c r="T14" i="42"/>
  <c r="S14" i="42"/>
  <c r="R14" i="42"/>
  <c r="H14" i="42"/>
  <c r="G14" i="42"/>
  <c r="F14" i="42"/>
  <c r="I14" i="42" s="1"/>
  <c r="AG13" i="42"/>
  <c r="AF13" i="42"/>
  <c r="AE13" i="42"/>
  <c r="AD13" i="42"/>
  <c r="T13" i="42"/>
  <c r="S13" i="42"/>
  <c r="R13" i="42"/>
  <c r="U13" i="42" s="1"/>
  <c r="I13" i="42"/>
  <c r="H13" i="42"/>
  <c r="G13" i="42"/>
  <c r="F13" i="42"/>
  <c r="AH12" i="42"/>
  <c r="AF12" i="42"/>
  <c r="AE12" i="42"/>
  <c r="AD12" i="42"/>
  <c r="AG12" i="42" s="1"/>
  <c r="T12" i="42"/>
  <c r="S12" i="42"/>
  <c r="R12" i="42"/>
  <c r="U12" i="42" s="1"/>
  <c r="H12" i="42"/>
  <c r="G12" i="42"/>
  <c r="F12" i="42"/>
  <c r="I12" i="42" s="1"/>
  <c r="J22" i="42" s="1"/>
  <c r="K22" i="42" s="1"/>
  <c r="K45" i="44" s="1"/>
  <c r="AF11" i="42"/>
  <c r="AE11" i="42"/>
  <c r="AD11" i="42"/>
  <c r="AG11" i="42" s="1"/>
  <c r="T11" i="42"/>
  <c r="S11" i="42"/>
  <c r="R11" i="42"/>
  <c r="U11" i="42" s="1"/>
  <c r="V12" i="42" s="1"/>
  <c r="W12" i="42" s="1"/>
  <c r="G45" i="45" s="1"/>
  <c r="H45" i="45" s="1"/>
  <c r="H11" i="42"/>
  <c r="G11" i="42"/>
  <c r="F11" i="42"/>
  <c r="I11" i="42" s="1"/>
  <c r="J12" i="42" s="1"/>
  <c r="K12" i="42" s="1"/>
  <c r="G45" i="44" s="1"/>
  <c r="AF10" i="42"/>
  <c r="AE10" i="42"/>
  <c r="AD10" i="42"/>
  <c r="AG10" i="42" s="1"/>
  <c r="T10" i="42"/>
  <c r="S10" i="42"/>
  <c r="R10" i="42"/>
  <c r="U10" i="42" s="1"/>
  <c r="H10" i="42"/>
  <c r="G10" i="42"/>
  <c r="F10" i="42"/>
  <c r="I10" i="42" s="1"/>
  <c r="AF9" i="42"/>
  <c r="AE9" i="42"/>
  <c r="AD9" i="42"/>
  <c r="AG9" i="42" s="1"/>
  <c r="T9" i="42"/>
  <c r="S9" i="42"/>
  <c r="R9" i="42"/>
  <c r="U9" i="42" s="1"/>
  <c r="V7" i="42" s="1"/>
  <c r="W7" i="42" s="1"/>
  <c r="H9" i="42"/>
  <c r="G9" i="42"/>
  <c r="F9" i="42"/>
  <c r="I9" i="42" s="1"/>
  <c r="AF8" i="42"/>
  <c r="AE8" i="42"/>
  <c r="AD8" i="42"/>
  <c r="AG8" i="42" s="1"/>
  <c r="AH17" i="42" s="1"/>
  <c r="U8" i="42"/>
  <c r="V17" i="42" s="1"/>
  <c r="W17" i="42" s="1"/>
  <c r="I45" i="45" s="1"/>
  <c r="J45" i="45" s="1"/>
  <c r="T8" i="42"/>
  <c r="S8" i="42"/>
  <c r="R8" i="42"/>
  <c r="H8" i="42"/>
  <c r="G8" i="42"/>
  <c r="F8" i="42"/>
  <c r="I8" i="42" s="1"/>
  <c r="AG7" i="42"/>
  <c r="AH27" i="42" s="1"/>
  <c r="AF7" i="42"/>
  <c r="AE7" i="42"/>
  <c r="AD7" i="42"/>
  <c r="T7" i="42"/>
  <c r="S7" i="42"/>
  <c r="R7" i="42"/>
  <c r="U7" i="42" s="1"/>
  <c r="H7" i="42"/>
  <c r="G7" i="42"/>
  <c r="F7" i="42"/>
  <c r="I7" i="42" s="1"/>
  <c r="AB3" i="42"/>
  <c r="AA3" i="42"/>
  <c r="Z3" i="42"/>
  <c r="P3" i="42"/>
  <c r="O3" i="42"/>
  <c r="N3" i="42"/>
  <c r="D3" i="42"/>
  <c r="C3" i="42"/>
  <c r="B3" i="42"/>
  <c r="M2" i="42"/>
  <c r="A2" i="42"/>
  <c r="AF41" i="41"/>
  <c r="AE41" i="41"/>
  <c r="AD41" i="41"/>
  <c r="AG41" i="41" s="1"/>
  <c r="U41" i="41"/>
  <c r="T41" i="41"/>
  <c r="S41" i="41"/>
  <c r="R41" i="41"/>
  <c r="H41" i="41"/>
  <c r="G41" i="41"/>
  <c r="F41" i="41"/>
  <c r="I41" i="41" s="1"/>
  <c r="AG40" i="41"/>
  <c r="AF40" i="41"/>
  <c r="AE40" i="41"/>
  <c r="AD40" i="41"/>
  <c r="T40" i="41"/>
  <c r="S40" i="41"/>
  <c r="R40" i="41"/>
  <c r="U40" i="41" s="1"/>
  <c r="I40" i="41"/>
  <c r="H40" i="41"/>
  <c r="G40" i="41"/>
  <c r="F40" i="41"/>
  <c r="AF39" i="41"/>
  <c r="AE39" i="41"/>
  <c r="AD39" i="41"/>
  <c r="AG39" i="41" s="1"/>
  <c r="U39" i="41"/>
  <c r="T39" i="41"/>
  <c r="S39" i="41"/>
  <c r="R39" i="41"/>
  <c r="H39" i="41"/>
  <c r="G39" i="41"/>
  <c r="F39" i="41"/>
  <c r="I39" i="41" s="1"/>
  <c r="AG38" i="41"/>
  <c r="AF38" i="41"/>
  <c r="AE38" i="41"/>
  <c r="AD38" i="41"/>
  <c r="T38" i="41"/>
  <c r="S38" i="41"/>
  <c r="R38" i="41"/>
  <c r="U38" i="41" s="1"/>
  <c r="I38" i="41"/>
  <c r="H38" i="41"/>
  <c r="G38" i="41"/>
  <c r="F38" i="41"/>
  <c r="AF37" i="41"/>
  <c r="AE37" i="41"/>
  <c r="AD37" i="41"/>
  <c r="AG37" i="41" s="1"/>
  <c r="U37" i="41"/>
  <c r="T37" i="41"/>
  <c r="S37" i="41"/>
  <c r="R37" i="41"/>
  <c r="H37" i="41"/>
  <c r="G37" i="41"/>
  <c r="F37" i="41"/>
  <c r="I37" i="41" s="1"/>
  <c r="AF36" i="41"/>
  <c r="AE36" i="41"/>
  <c r="AD36" i="41"/>
  <c r="AG36" i="41" s="1"/>
  <c r="T36" i="41"/>
  <c r="S36" i="41"/>
  <c r="R36" i="41"/>
  <c r="U36" i="41" s="1"/>
  <c r="H36" i="41"/>
  <c r="G36" i="41"/>
  <c r="F36" i="41"/>
  <c r="I36" i="41" s="1"/>
  <c r="AG35" i="41"/>
  <c r="AF35" i="41"/>
  <c r="AE35" i="41"/>
  <c r="AD35" i="41"/>
  <c r="T35" i="41"/>
  <c r="S35" i="41"/>
  <c r="R35" i="41"/>
  <c r="U35" i="41" s="1"/>
  <c r="I35" i="41"/>
  <c r="H35" i="41"/>
  <c r="G35" i="41"/>
  <c r="F35" i="41"/>
  <c r="AG34" i="41"/>
  <c r="AF34" i="41"/>
  <c r="AE34" i="41"/>
  <c r="AD34" i="41"/>
  <c r="U34" i="41"/>
  <c r="T34" i="41"/>
  <c r="S34" i="41"/>
  <c r="R34" i="41"/>
  <c r="I34" i="41"/>
  <c r="J35" i="41" s="1"/>
  <c r="K37" i="41" s="1"/>
  <c r="Q44" i="44" s="1"/>
  <c r="H34" i="41"/>
  <c r="G34" i="41"/>
  <c r="F34" i="41"/>
  <c r="AF31" i="41"/>
  <c r="AE31" i="41"/>
  <c r="AD31" i="41"/>
  <c r="AG31" i="41" s="1"/>
  <c r="U31" i="41"/>
  <c r="T31" i="41"/>
  <c r="S31" i="41"/>
  <c r="R31" i="41"/>
  <c r="H31" i="41"/>
  <c r="G31" i="41"/>
  <c r="F31" i="41"/>
  <c r="I31" i="41" s="1"/>
  <c r="AG30" i="41"/>
  <c r="AF30" i="41"/>
  <c r="AE30" i="41"/>
  <c r="AD30" i="41"/>
  <c r="T30" i="41"/>
  <c r="S30" i="41"/>
  <c r="R30" i="41"/>
  <c r="U30" i="41" s="1"/>
  <c r="I30" i="41"/>
  <c r="H30" i="41"/>
  <c r="G30" i="41"/>
  <c r="F30" i="41"/>
  <c r="AF29" i="41"/>
  <c r="AE29" i="41"/>
  <c r="AD29" i="41"/>
  <c r="AG29" i="41" s="1"/>
  <c r="U29" i="41"/>
  <c r="T29" i="41"/>
  <c r="S29" i="41"/>
  <c r="R29" i="41"/>
  <c r="H29" i="41"/>
  <c r="G29" i="41"/>
  <c r="F29" i="41"/>
  <c r="I29" i="41" s="1"/>
  <c r="AG28" i="41"/>
  <c r="AF28" i="41"/>
  <c r="AE28" i="41"/>
  <c r="AD28" i="41"/>
  <c r="T28" i="41"/>
  <c r="S28" i="41"/>
  <c r="R28" i="41"/>
  <c r="U28" i="41" s="1"/>
  <c r="I28" i="41"/>
  <c r="H28" i="41"/>
  <c r="G28" i="41"/>
  <c r="F28" i="41"/>
  <c r="AG27" i="41"/>
  <c r="AF27" i="41"/>
  <c r="AE27" i="41"/>
  <c r="AD27" i="41"/>
  <c r="T27" i="41"/>
  <c r="S27" i="41"/>
  <c r="R27" i="41"/>
  <c r="U27" i="41" s="1"/>
  <c r="H27" i="41"/>
  <c r="G27" i="41"/>
  <c r="F27" i="41"/>
  <c r="I27" i="41" s="1"/>
  <c r="AF26" i="41"/>
  <c r="AE26" i="41"/>
  <c r="AD26" i="41"/>
  <c r="AG26" i="41" s="1"/>
  <c r="T26" i="41"/>
  <c r="S26" i="41"/>
  <c r="R26" i="41"/>
  <c r="U26" i="41" s="1"/>
  <c r="H26" i="41"/>
  <c r="G26" i="41"/>
  <c r="F26" i="41"/>
  <c r="I26" i="41" s="1"/>
  <c r="AF25" i="41"/>
  <c r="AE25" i="41"/>
  <c r="AD25" i="41"/>
  <c r="AG25" i="41" s="1"/>
  <c r="U25" i="41"/>
  <c r="T25" i="41"/>
  <c r="S25" i="41"/>
  <c r="R25" i="41"/>
  <c r="H25" i="41"/>
  <c r="G25" i="41"/>
  <c r="F25" i="41"/>
  <c r="I25" i="41" s="1"/>
  <c r="AG24" i="41"/>
  <c r="AF24" i="41"/>
  <c r="AE24" i="41"/>
  <c r="AD24" i="41"/>
  <c r="T24" i="41"/>
  <c r="S24" i="41"/>
  <c r="R24" i="41"/>
  <c r="U24" i="41" s="1"/>
  <c r="I24" i="41"/>
  <c r="H24" i="41"/>
  <c r="G24" i="41"/>
  <c r="F24" i="41"/>
  <c r="AF23" i="41"/>
  <c r="AE23" i="41"/>
  <c r="AD23" i="41"/>
  <c r="AG23" i="41" s="1"/>
  <c r="U23" i="41"/>
  <c r="T23" i="41"/>
  <c r="S23" i="41"/>
  <c r="R23" i="41"/>
  <c r="H23" i="41"/>
  <c r="G23" i="41"/>
  <c r="F23" i="41"/>
  <c r="I23" i="41" s="1"/>
  <c r="AG22" i="41"/>
  <c r="AF22" i="41"/>
  <c r="AE22" i="41"/>
  <c r="AD22" i="41"/>
  <c r="T22" i="41"/>
  <c r="S22" i="41"/>
  <c r="R22" i="41"/>
  <c r="U22" i="41" s="1"/>
  <c r="H22" i="41"/>
  <c r="G22" i="41"/>
  <c r="F22" i="41"/>
  <c r="I22" i="41" s="1"/>
  <c r="AG21" i="41"/>
  <c r="AF21" i="41"/>
  <c r="AE21" i="41"/>
  <c r="AD21" i="41"/>
  <c r="T21" i="41"/>
  <c r="S21" i="41"/>
  <c r="R21" i="41"/>
  <c r="U21" i="41" s="1"/>
  <c r="I21" i="41"/>
  <c r="H21" i="41"/>
  <c r="G21" i="41"/>
  <c r="F21" i="41"/>
  <c r="AF20" i="41"/>
  <c r="AE20" i="41"/>
  <c r="AD20" i="41"/>
  <c r="AG20" i="41" s="1"/>
  <c r="U20" i="41"/>
  <c r="T20" i="41"/>
  <c r="S20" i="41"/>
  <c r="R20" i="41"/>
  <c r="H20" i="41"/>
  <c r="G20" i="41"/>
  <c r="F20" i="41"/>
  <c r="I20" i="41" s="1"/>
  <c r="AG19" i="41"/>
  <c r="AF19" i="41"/>
  <c r="AE19" i="41"/>
  <c r="AD19" i="41"/>
  <c r="T19" i="41"/>
  <c r="S19" i="41"/>
  <c r="R19" i="41"/>
  <c r="U19" i="41" s="1"/>
  <c r="I19" i="41"/>
  <c r="H19" i="41"/>
  <c r="G19" i="41"/>
  <c r="F19" i="41"/>
  <c r="AF18" i="41"/>
  <c r="AE18" i="41"/>
  <c r="AD18" i="41"/>
  <c r="AG18" i="41" s="1"/>
  <c r="U18" i="41"/>
  <c r="T18" i="41"/>
  <c r="S18" i="41"/>
  <c r="R18" i="41"/>
  <c r="H18" i="41"/>
  <c r="G18" i="41"/>
  <c r="F18" i="41"/>
  <c r="I18" i="41" s="1"/>
  <c r="AF17" i="41"/>
  <c r="AE17" i="41"/>
  <c r="AD17" i="41"/>
  <c r="AG17" i="41" s="1"/>
  <c r="U17" i="41"/>
  <c r="T17" i="41"/>
  <c r="S17" i="41"/>
  <c r="R17" i="41"/>
  <c r="I17" i="41"/>
  <c r="H17" i="41"/>
  <c r="G17" i="41"/>
  <c r="F17" i="41"/>
  <c r="AF16" i="41"/>
  <c r="AE16" i="41"/>
  <c r="AD16" i="41"/>
  <c r="AG16" i="41" s="1"/>
  <c r="AH17" i="41" s="1"/>
  <c r="U16" i="41"/>
  <c r="T16" i="41"/>
  <c r="S16" i="41"/>
  <c r="R16" i="41"/>
  <c r="H16" i="41"/>
  <c r="G16" i="41"/>
  <c r="F16" i="41"/>
  <c r="I16" i="41" s="1"/>
  <c r="AG15" i="41"/>
  <c r="AF15" i="41"/>
  <c r="AE15" i="41"/>
  <c r="AD15" i="41"/>
  <c r="T15" i="41"/>
  <c r="S15" i="41"/>
  <c r="R15" i="41"/>
  <c r="U15" i="41" s="1"/>
  <c r="H15" i="41"/>
  <c r="G15" i="41"/>
  <c r="F15" i="41"/>
  <c r="I15" i="41" s="1"/>
  <c r="AF14" i="41"/>
  <c r="AE14" i="41"/>
  <c r="AD14" i="41"/>
  <c r="AG14" i="41" s="1"/>
  <c r="T14" i="41"/>
  <c r="S14" i="41"/>
  <c r="R14" i="41"/>
  <c r="U14" i="41" s="1"/>
  <c r="H14" i="41"/>
  <c r="G14" i="41"/>
  <c r="F14" i="41"/>
  <c r="I14" i="41" s="1"/>
  <c r="AF13" i="41"/>
  <c r="AE13" i="41"/>
  <c r="AD13" i="41"/>
  <c r="AG13" i="41" s="1"/>
  <c r="T13" i="41"/>
  <c r="S13" i="41"/>
  <c r="R13" i="41"/>
  <c r="U13" i="41" s="1"/>
  <c r="I13" i="41"/>
  <c r="H13" i="41"/>
  <c r="G13" i="41"/>
  <c r="F13" i="41"/>
  <c r="AF12" i="41"/>
  <c r="AE12" i="41"/>
  <c r="AD12" i="41"/>
  <c r="AG12" i="41" s="1"/>
  <c r="T12" i="41"/>
  <c r="S12" i="41"/>
  <c r="R12" i="41"/>
  <c r="U12" i="41" s="1"/>
  <c r="V22" i="41" s="1"/>
  <c r="W22" i="41" s="1"/>
  <c r="K44" i="45" s="1"/>
  <c r="L44" i="45" s="1"/>
  <c r="I12" i="41"/>
  <c r="J22" i="41" s="1"/>
  <c r="K22" i="41" s="1"/>
  <c r="K44" i="44" s="1"/>
  <c r="H12" i="41"/>
  <c r="G12" i="41"/>
  <c r="F12" i="41"/>
  <c r="AF11" i="41"/>
  <c r="AE11" i="41"/>
  <c r="AD11" i="41"/>
  <c r="AG11" i="41" s="1"/>
  <c r="U11" i="41"/>
  <c r="V12" i="41" s="1"/>
  <c r="W12" i="41" s="1"/>
  <c r="G44" i="45" s="1"/>
  <c r="H44" i="45" s="1"/>
  <c r="T11" i="41"/>
  <c r="S11" i="41"/>
  <c r="R11" i="41"/>
  <c r="H11" i="41"/>
  <c r="G11" i="41"/>
  <c r="F11" i="41"/>
  <c r="I11" i="41" s="1"/>
  <c r="AG10" i="41"/>
  <c r="AF10" i="41"/>
  <c r="AE10" i="41"/>
  <c r="AD10" i="41"/>
  <c r="T10" i="41"/>
  <c r="S10" i="41"/>
  <c r="R10" i="41"/>
  <c r="U10" i="41" s="1"/>
  <c r="I10" i="41"/>
  <c r="H10" i="41"/>
  <c r="G10" i="41"/>
  <c r="F10" i="41"/>
  <c r="AF9" i="41"/>
  <c r="AE9" i="41"/>
  <c r="AD9" i="41"/>
  <c r="AG9" i="41" s="1"/>
  <c r="AH7" i="41" s="1"/>
  <c r="U9" i="41"/>
  <c r="T9" i="41"/>
  <c r="S9" i="41"/>
  <c r="R9" i="41"/>
  <c r="H9" i="41"/>
  <c r="G9" i="41"/>
  <c r="F9" i="41"/>
  <c r="I9" i="41" s="1"/>
  <c r="AG8" i="41"/>
  <c r="AF8" i="41"/>
  <c r="AE8" i="41"/>
  <c r="AD8" i="41"/>
  <c r="T8" i="41"/>
  <c r="S8" i="41"/>
  <c r="R8" i="41"/>
  <c r="U8" i="41" s="1"/>
  <c r="I8" i="41"/>
  <c r="J17" i="41" s="1"/>
  <c r="K17" i="41" s="1"/>
  <c r="I44" i="44" s="1"/>
  <c r="H8" i="41"/>
  <c r="G8" i="41"/>
  <c r="F8" i="41"/>
  <c r="AG7" i="41"/>
  <c r="AH27" i="41" s="1"/>
  <c r="AF7" i="41"/>
  <c r="AE7" i="41"/>
  <c r="AD7" i="41"/>
  <c r="T7" i="41"/>
  <c r="S7" i="41"/>
  <c r="R7" i="41"/>
  <c r="U7" i="41" s="1"/>
  <c r="J7" i="41"/>
  <c r="K7" i="41" s="1"/>
  <c r="H7" i="41"/>
  <c r="G7" i="41"/>
  <c r="F7" i="41"/>
  <c r="I7" i="41" s="1"/>
  <c r="J27" i="41" s="1"/>
  <c r="K27" i="41" s="1"/>
  <c r="O44" i="44" s="1"/>
  <c r="AB3" i="41"/>
  <c r="AA3" i="41"/>
  <c r="Z3" i="41"/>
  <c r="P3" i="41"/>
  <c r="O3" i="41"/>
  <c r="N3" i="41"/>
  <c r="D3" i="41"/>
  <c r="C3" i="41"/>
  <c r="B3" i="41"/>
  <c r="M2" i="41"/>
  <c r="A2" i="41"/>
  <c r="AG41" i="40"/>
  <c r="AF41" i="40"/>
  <c r="AE41" i="40"/>
  <c r="AD41" i="40"/>
  <c r="U41" i="40"/>
  <c r="T41" i="40"/>
  <c r="S41" i="40"/>
  <c r="R41" i="40"/>
  <c r="I41" i="40"/>
  <c r="H41" i="40"/>
  <c r="G41" i="40"/>
  <c r="F41" i="40"/>
  <c r="AG40" i="40"/>
  <c r="AF40" i="40"/>
  <c r="AE40" i="40"/>
  <c r="AD40" i="40"/>
  <c r="U40" i="40"/>
  <c r="T40" i="40"/>
  <c r="S40" i="40"/>
  <c r="R40" i="40"/>
  <c r="I40" i="40"/>
  <c r="H40" i="40"/>
  <c r="G40" i="40"/>
  <c r="F40" i="40"/>
  <c r="AG39" i="40"/>
  <c r="AF39" i="40"/>
  <c r="AE39" i="40"/>
  <c r="AD39" i="40"/>
  <c r="U39" i="40"/>
  <c r="T39" i="40"/>
  <c r="S39" i="40"/>
  <c r="R39" i="40"/>
  <c r="I39" i="40"/>
  <c r="H39" i="40"/>
  <c r="G39" i="40"/>
  <c r="F39" i="40"/>
  <c r="AG38" i="40"/>
  <c r="AF38" i="40"/>
  <c r="AE38" i="40"/>
  <c r="AD38" i="40"/>
  <c r="U38" i="40"/>
  <c r="T38" i="40"/>
  <c r="S38" i="40"/>
  <c r="R38" i="40"/>
  <c r="I38" i="40"/>
  <c r="H38" i="40"/>
  <c r="G38" i="40"/>
  <c r="F38" i="40"/>
  <c r="AF37" i="40"/>
  <c r="AE37" i="40"/>
  <c r="AD37" i="40"/>
  <c r="AG37" i="40" s="1"/>
  <c r="T37" i="40"/>
  <c r="S37" i="40"/>
  <c r="R37" i="40"/>
  <c r="U37" i="40" s="1"/>
  <c r="H37" i="40"/>
  <c r="G37" i="40"/>
  <c r="F37" i="40"/>
  <c r="I37" i="40" s="1"/>
  <c r="AG36" i="40"/>
  <c r="AF36" i="40"/>
  <c r="AE36" i="40"/>
  <c r="AD36" i="40"/>
  <c r="T36" i="40"/>
  <c r="S36" i="40"/>
  <c r="R36" i="40"/>
  <c r="U36" i="40" s="1"/>
  <c r="V35" i="40" s="1"/>
  <c r="W37" i="40" s="1"/>
  <c r="Q43" i="45" s="1"/>
  <c r="R43" i="45" s="1"/>
  <c r="I36" i="40"/>
  <c r="H36" i="40"/>
  <c r="G36" i="40"/>
  <c r="F36" i="40"/>
  <c r="AF35" i="40"/>
  <c r="AE35" i="40"/>
  <c r="AD35" i="40"/>
  <c r="AG35" i="40" s="1"/>
  <c r="T35" i="40"/>
  <c r="S35" i="40"/>
  <c r="R35" i="40"/>
  <c r="U35" i="40" s="1"/>
  <c r="I35" i="40"/>
  <c r="H35" i="40"/>
  <c r="G35" i="40"/>
  <c r="F35" i="40"/>
  <c r="AF34" i="40"/>
  <c r="AE34" i="40"/>
  <c r="AD34" i="40"/>
  <c r="AG34" i="40" s="1"/>
  <c r="U34" i="40"/>
  <c r="T34" i="40"/>
  <c r="S34" i="40"/>
  <c r="R34" i="40"/>
  <c r="H34" i="40"/>
  <c r="G34" i="40"/>
  <c r="F34" i="40"/>
  <c r="I34" i="40" s="1"/>
  <c r="J35" i="40" s="1"/>
  <c r="K37" i="40" s="1"/>
  <c r="Q43" i="44" s="1"/>
  <c r="AG31" i="40"/>
  <c r="AF31" i="40"/>
  <c r="AE31" i="40"/>
  <c r="AD31" i="40"/>
  <c r="U31" i="40"/>
  <c r="T31" i="40"/>
  <c r="S31" i="40"/>
  <c r="R31" i="40"/>
  <c r="H31" i="40"/>
  <c r="G31" i="40"/>
  <c r="F31" i="40"/>
  <c r="I31" i="40" s="1"/>
  <c r="AG30" i="40"/>
  <c r="AF30" i="40"/>
  <c r="AE30" i="40"/>
  <c r="AD30" i="40"/>
  <c r="T30" i="40"/>
  <c r="S30" i="40"/>
  <c r="R30" i="40"/>
  <c r="U30" i="40" s="1"/>
  <c r="H30" i="40"/>
  <c r="G30" i="40"/>
  <c r="F30" i="40"/>
  <c r="I30" i="40" s="1"/>
  <c r="AF29" i="40"/>
  <c r="AE29" i="40"/>
  <c r="AD29" i="40"/>
  <c r="AG29" i="40" s="1"/>
  <c r="T29" i="40"/>
  <c r="S29" i="40"/>
  <c r="R29" i="40"/>
  <c r="U29" i="40" s="1"/>
  <c r="H29" i="40"/>
  <c r="G29" i="40"/>
  <c r="F29" i="40"/>
  <c r="I29" i="40" s="1"/>
  <c r="AF28" i="40"/>
  <c r="AE28" i="40"/>
  <c r="AD28" i="40"/>
  <c r="AG28" i="40" s="1"/>
  <c r="T28" i="40"/>
  <c r="S28" i="40"/>
  <c r="R28" i="40"/>
  <c r="U28" i="40" s="1"/>
  <c r="I28" i="40"/>
  <c r="H28" i="40"/>
  <c r="G28" i="40"/>
  <c r="F28" i="40"/>
  <c r="AF27" i="40"/>
  <c r="AE27" i="40"/>
  <c r="AD27" i="40"/>
  <c r="AG27" i="40" s="1"/>
  <c r="T27" i="40"/>
  <c r="S27" i="40"/>
  <c r="R27" i="40"/>
  <c r="U27" i="40" s="1"/>
  <c r="I27" i="40"/>
  <c r="H27" i="40"/>
  <c r="G27" i="40"/>
  <c r="F27" i="40"/>
  <c r="AF26" i="40"/>
  <c r="AE26" i="40"/>
  <c r="AD26" i="40"/>
  <c r="AG26" i="40" s="1"/>
  <c r="U26" i="40"/>
  <c r="T26" i="40"/>
  <c r="S26" i="40"/>
  <c r="R26" i="40"/>
  <c r="I26" i="40"/>
  <c r="H26" i="40"/>
  <c r="G26" i="40"/>
  <c r="F26" i="40"/>
  <c r="AG25" i="40"/>
  <c r="AF25" i="40"/>
  <c r="AE25" i="40"/>
  <c r="AD25" i="40"/>
  <c r="U25" i="40"/>
  <c r="T25" i="40"/>
  <c r="S25" i="40"/>
  <c r="R25" i="40"/>
  <c r="I25" i="40"/>
  <c r="H25" i="40"/>
  <c r="G25" i="40"/>
  <c r="F25" i="40"/>
  <c r="AF24" i="40"/>
  <c r="AE24" i="40"/>
  <c r="AD24" i="40"/>
  <c r="AG24" i="40" s="1"/>
  <c r="U24" i="40"/>
  <c r="T24" i="40"/>
  <c r="S24" i="40"/>
  <c r="R24" i="40"/>
  <c r="H24" i="40"/>
  <c r="G24" i="40"/>
  <c r="F24" i="40"/>
  <c r="I24" i="40" s="1"/>
  <c r="AG23" i="40"/>
  <c r="AF23" i="40"/>
  <c r="AE23" i="40"/>
  <c r="AD23" i="40"/>
  <c r="T23" i="40"/>
  <c r="S23" i="40"/>
  <c r="R23" i="40"/>
  <c r="U23" i="40" s="1"/>
  <c r="I23" i="40"/>
  <c r="H23" i="40"/>
  <c r="G23" i="40"/>
  <c r="F23" i="40"/>
  <c r="AG22" i="40"/>
  <c r="AF22" i="40"/>
  <c r="AE22" i="40"/>
  <c r="AD22" i="40"/>
  <c r="T22" i="40"/>
  <c r="S22" i="40"/>
  <c r="R22" i="40"/>
  <c r="U22" i="40" s="1"/>
  <c r="H22" i="40"/>
  <c r="G22" i="40"/>
  <c r="F22" i="40"/>
  <c r="I22" i="40" s="1"/>
  <c r="AF21" i="40"/>
  <c r="AE21" i="40"/>
  <c r="AD21" i="40"/>
  <c r="AG21" i="40" s="1"/>
  <c r="T21" i="40"/>
  <c r="S21" i="40"/>
  <c r="R21" i="40"/>
  <c r="U21" i="40" s="1"/>
  <c r="H21" i="40"/>
  <c r="G21" i="40"/>
  <c r="F21" i="40"/>
  <c r="I21" i="40" s="1"/>
  <c r="AF20" i="40"/>
  <c r="AE20" i="40"/>
  <c r="AD20" i="40"/>
  <c r="AG20" i="40" s="1"/>
  <c r="U20" i="40"/>
  <c r="T20" i="40"/>
  <c r="S20" i="40"/>
  <c r="R20" i="40"/>
  <c r="H20" i="40"/>
  <c r="G20" i="40"/>
  <c r="F20" i="40"/>
  <c r="I20" i="40" s="1"/>
  <c r="AG19" i="40"/>
  <c r="AF19" i="40"/>
  <c r="AE19" i="40"/>
  <c r="AD19" i="40"/>
  <c r="T19" i="40"/>
  <c r="S19" i="40"/>
  <c r="R19" i="40"/>
  <c r="U19" i="40" s="1"/>
  <c r="I19" i="40"/>
  <c r="H19" i="40"/>
  <c r="G19" i="40"/>
  <c r="F19" i="40"/>
  <c r="AF18" i="40"/>
  <c r="AE18" i="40"/>
  <c r="AD18" i="40"/>
  <c r="AG18" i="40" s="1"/>
  <c r="U18" i="40"/>
  <c r="T18" i="40"/>
  <c r="S18" i="40"/>
  <c r="R18" i="40"/>
  <c r="H18" i="40"/>
  <c r="G18" i="40"/>
  <c r="F18" i="40"/>
  <c r="I18" i="40" s="1"/>
  <c r="AG17" i="40"/>
  <c r="AH22" i="40" s="1"/>
  <c r="AF17" i="40"/>
  <c r="AE17" i="40"/>
  <c r="AD17" i="40"/>
  <c r="T17" i="40"/>
  <c r="S17" i="40"/>
  <c r="R17" i="40"/>
  <c r="U17" i="40" s="1"/>
  <c r="H17" i="40"/>
  <c r="G17" i="40"/>
  <c r="F17" i="40"/>
  <c r="I17" i="40" s="1"/>
  <c r="AG16" i="40"/>
  <c r="AF16" i="40"/>
  <c r="AE16" i="40"/>
  <c r="AD16" i="40"/>
  <c r="T16" i="40"/>
  <c r="S16" i="40"/>
  <c r="R16" i="40"/>
  <c r="U16" i="40" s="1"/>
  <c r="I16" i="40"/>
  <c r="H16" i="40"/>
  <c r="G16" i="40"/>
  <c r="F16" i="40"/>
  <c r="AF15" i="40"/>
  <c r="AE15" i="40"/>
  <c r="AD15" i="40"/>
  <c r="AG15" i="40" s="1"/>
  <c r="U15" i="40"/>
  <c r="T15" i="40"/>
  <c r="S15" i="40"/>
  <c r="R15" i="40"/>
  <c r="H15" i="40"/>
  <c r="G15" i="40"/>
  <c r="F15" i="40"/>
  <c r="I15" i="40" s="1"/>
  <c r="AG14" i="40"/>
  <c r="AF14" i="40"/>
  <c r="AE14" i="40"/>
  <c r="AD14" i="40"/>
  <c r="T14" i="40"/>
  <c r="S14" i="40"/>
  <c r="R14" i="40"/>
  <c r="U14" i="40" s="1"/>
  <c r="I14" i="40"/>
  <c r="H14" i="40"/>
  <c r="G14" i="40"/>
  <c r="F14" i="40"/>
  <c r="AG13" i="40"/>
  <c r="AF13" i="40"/>
  <c r="AE13" i="40"/>
  <c r="AD13" i="40"/>
  <c r="U13" i="40"/>
  <c r="T13" i="40"/>
  <c r="S13" i="40"/>
  <c r="R13" i="40"/>
  <c r="H13" i="40"/>
  <c r="G13" i="40"/>
  <c r="F13" i="40"/>
  <c r="I13" i="40" s="1"/>
  <c r="AF12" i="40"/>
  <c r="AE12" i="40"/>
  <c r="AD12" i="40"/>
  <c r="AG12" i="40" s="1"/>
  <c r="U12" i="40"/>
  <c r="T12" i="40"/>
  <c r="S12" i="40"/>
  <c r="R12" i="40"/>
  <c r="I12" i="40"/>
  <c r="J22" i="40" s="1"/>
  <c r="K22" i="40" s="1"/>
  <c r="K43" i="44" s="1"/>
  <c r="H12" i="40"/>
  <c r="G12" i="40"/>
  <c r="F12" i="40"/>
  <c r="AF11" i="40"/>
  <c r="AE11" i="40"/>
  <c r="AD11" i="40"/>
  <c r="AG11" i="40" s="1"/>
  <c r="AH12" i="40" s="1"/>
  <c r="U11" i="40"/>
  <c r="T11" i="40"/>
  <c r="S11" i="40"/>
  <c r="R11" i="40"/>
  <c r="H11" i="40"/>
  <c r="G11" i="40"/>
  <c r="F11" i="40"/>
  <c r="I11" i="40" s="1"/>
  <c r="J12" i="40" s="1"/>
  <c r="K12" i="40" s="1"/>
  <c r="G43" i="44" s="1"/>
  <c r="AG10" i="40"/>
  <c r="AF10" i="40"/>
  <c r="AE10" i="40"/>
  <c r="AD10" i="40"/>
  <c r="T10" i="40"/>
  <c r="S10" i="40"/>
  <c r="R10" i="40"/>
  <c r="U10" i="40" s="1"/>
  <c r="I10" i="40"/>
  <c r="H10" i="40"/>
  <c r="G10" i="40"/>
  <c r="F10" i="40"/>
  <c r="AF9" i="40"/>
  <c r="AE9" i="40"/>
  <c r="AD9" i="40"/>
  <c r="AG9" i="40" s="1"/>
  <c r="T9" i="40"/>
  <c r="S9" i="40"/>
  <c r="R9" i="40"/>
  <c r="U9" i="40" s="1"/>
  <c r="V7" i="40" s="1"/>
  <c r="W7" i="40" s="1"/>
  <c r="H9" i="40"/>
  <c r="G9" i="40"/>
  <c r="F9" i="40"/>
  <c r="I9" i="40" s="1"/>
  <c r="AF8" i="40"/>
  <c r="AE8" i="40"/>
  <c r="AD8" i="40"/>
  <c r="AG8" i="40" s="1"/>
  <c r="T8" i="40"/>
  <c r="S8" i="40"/>
  <c r="R8" i="40"/>
  <c r="U8" i="40" s="1"/>
  <c r="V17" i="40" s="1"/>
  <c r="W17" i="40" s="1"/>
  <c r="I43" i="45" s="1"/>
  <c r="J43" i="45" s="1"/>
  <c r="H8" i="40"/>
  <c r="G8" i="40"/>
  <c r="F8" i="40"/>
  <c r="I8" i="40" s="1"/>
  <c r="J17" i="40" s="1"/>
  <c r="K17" i="40" s="1"/>
  <c r="I43" i="44" s="1"/>
  <c r="AF7" i="40"/>
  <c r="AE7" i="40"/>
  <c r="AD7" i="40"/>
  <c r="AG7" i="40" s="1"/>
  <c r="AH27" i="40" s="1"/>
  <c r="T7" i="40"/>
  <c r="S7" i="40"/>
  <c r="R7" i="40"/>
  <c r="U7" i="40" s="1"/>
  <c r="V27" i="40" s="1"/>
  <c r="W27" i="40" s="1"/>
  <c r="O43" i="45" s="1"/>
  <c r="P43" i="45" s="1"/>
  <c r="I7" i="40"/>
  <c r="H7" i="40"/>
  <c r="G7" i="40"/>
  <c r="F7" i="40"/>
  <c r="AB3" i="40"/>
  <c r="AA3" i="40"/>
  <c r="Z3" i="40"/>
  <c r="P3" i="40"/>
  <c r="O3" i="40"/>
  <c r="N3" i="40"/>
  <c r="D3" i="40"/>
  <c r="C3" i="40"/>
  <c r="B3" i="40"/>
  <c r="M2" i="40"/>
  <c r="A2" i="40"/>
  <c r="AF41" i="39"/>
  <c r="AE41" i="39"/>
  <c r="AD41" i="39"/>
  <c r="AG41" i="39" s="1"/>
  <c r="T41" i="39"/>
  <c r="S41" i="39"/>
  <c r="R41" i="39"/>
  <c r="U41" i="39" s="1"/>
  <c r="I41" i="39"/>
  <c r="H41" i="39"/>
  <c r="G41" i="39"/>
  <c r="F41" i="39"/>
  <c r="AF40" i="39"/>
  <c r="AE40" i="39"/>
  <c r="AD40" i="39"/>
  <c r="AG40" i="39" s="1"/>
  <c r="U40" i="39"/>
  <c r="T40" i="39"/>
  <c r="S40" i="39"/>
  <c r="R40" i="39"/>
  <c r="H40" i="39"/>
  <c r="G40" i="39"/>
  <c r="F40" i="39"/>
  <c r="I40" i="39" s="1"/>
  <c r="AF39" i="39"/>
  <c r="AE39" i="39"/>
  <c r="AD39" i="39"/>
  <c r="AG39" i="39" s="1"/>
  <c r="T39" i="39"/>
  <c r="S39" i="39"/>
  <c r="R39" i="39"/>
  <c r="U39" i="39" s="1"/>
  <c r="I39" i="39"/>
  <c r="H39" i="39"/>
  <c r="G39" i="39"/>
  <c r="F39" i="39"/>
  <c r="AF38" i="39"/>
  <c r="AE38" i="39"/>
  <c r="AD38" i="39"/>
  <c r="AG38" i="39" s="1"/>
  <c r="U38" i="39"/>
  <c r="T38" i="39"/>
  <c r="S38" i="39"/>
  <c r="R38" i="39"/>
  <c r="H38" i="39"/>
  <c r="G38" i="39"/>
  <c r="F38" i="39"/>
  <c r="I38" i="39" s="1"/>
  <c r="AG37" i="39"/>
  <c r="AF37" i="39"/>
  <c r="AE37" i="39"/>
  <c r="AD37" i="39"/>
  <c r="T37" i="39"/>
  <c r="S37" i="39"/>
  <c r="R37" i="39"/>
  <c r="U37" i="39" s="1"/>
  <c r="H37" i="39"/>
  <c r="G37" i="39"/>
  <c r="F37" i="39"/>
  <c r="I37" i="39" s="1"/>
  <c r="AF36" i="39"/>
  <c r="AE36" i="39"/>
  <c r="AD36" i="39"/>
  <c r="AG36" i="39" s="1"/>
  <c r="T36" i="39"/>
  <c r="S36" i="39"/>
  <c r="R36" i="39"/>
  <c r="U36" i="39" s="1"/>
  <c r="I36" i="39"/>
  <c r="H36" i="39"/>
  <c r="G36" i="39"/>
  <c r="F36" i="39"/>
  <c r="AF35" i="39"/>
  <c r="AE35" i="39"/>
  <c r="AD35" i="39"/>
  <c r="AG35" i="39" s="1"/>
  <c r="U35" i="39"/>
  <c r="T35" i="39"/>
  <c r="S35" i="39"/>
  <c r="R35" i="39"/>
  <c r="H35" i="39"/>
  <c r="G35" i="39"/>
  <c r="F35" i="39"/>
  <c r="I35" i="39" s="1"/>
  <c r="AG34" i="39"/>
  <c r="AF34" i="39"/>
  <c r="AE34" i="39"/>
  <c r="AD34" i="39"/>
  <c r="T34" i="39"/>
  <c r="S34" i="39"/>
  <c r="R34" i="39"/>
  <c r="U34" i="39" s="1"/>
  <c r="I34" i="39"/>
  <c r="H34" i="39"/>
  <c r="G34" i="39"/>
  <c r="F34" i="39"/>
  <c r="AG31" i="39"/>
  <c r="AF31" i="39"/>
  <c r="AE31" i="39"/>
  <c r="AD31" i="39"/>
  <c r="T31" i="39"/>
  <c r="S31" i="39"/>
  <c r="R31" i="39"/>
  <c r="U31" i="39" s="1"/>
  <c r="I31" i="39"/>
  <c r="H31" i="39"/>
  <c r="G31" i="39"/>
  <c r="F31" i="39"/>
  <c r="AF30" i="39"/>
  <c r="AE30" i="39"/>
  <c r="AD30" i="39"/>
  <c r="AG30" i="39" s="1"/>
  <c r="U30" i="39"/>
  <c r="T30" i="39"/>
  <c r="S30" i="39"/>
  <c r="R30" i="39"/>
  <c r="H30" i="39"/>
  <c r="G30" i="39"/>
  <c r="F30" i="39"/>
  <c r="I30" i="39" s="1"/>
  <c r="AG29" i="39"/>
  <c r="AF29" i="39"/>
  <c r="AE29" i="39"/>
  <c r="AD29" i="39"/>
  <c r="T29" i="39"/>
  <c r="S29" i="39"/>
  <c r="R29" i="39"/>
  <c r="U29" i="39" s="1"/>
  <c r="I29" i="39"/>
  <c r="H29" i="39"/>
  <c r="G29" i="39"/>
  <c r="F29" i="39"/>
  <c r="AF28" i="39"/>
  <c r="AE28" i="39"/>
  <c r="AD28" i="39"/>
  <c r="AG28" i="39" s="1"/>
  <c r="U28" i="39"/>
  <c r="T28" i="39"/>
  <c r="S28" i="39"/>
  <c r="R28" i="39"/>
  <c r="H28" i="39"/>
  <c r="G28" i="39"/>
  <c r="F28" i="39"/>
  <c r="I28" i="39" s="1"/>
  <c r="AF27" i="39"/>
  <c r="AE27" i="39"/>
  <c r="AD27" i="39"/>
  <c r="AG27" i="39" s="1"/>
  <c r="U27" i="39"/>
  <c r="T27" i="39"/>
  <c r="S27" i="39"/>
  <c r="R27" i="39"/>
  <c r="H27" i="39"/>
  <c r="G27" i="39"/>
  <c r="F27" i="39"/>
  <c r="I27" i="39" s="1"/>
  <c r="AF26" i="39"/>
  <c r="AE26" i="39"/>
  <c r="AD26" i="39"/>
  <c r="AG26" i="39" s="1"/>
  <c r="U26" i="39"/>
  <c r="T26" i="39"/>
  <c r="S26" i="39"/>
  <c r="R26" i="39"/>
  <c r="H26" i="39"/>
  <c r="G26" i="39"/>
  <c r="F26" i="39"/>
  <c r="I26" i="39" s="1"/>
  <c r="AG25" i="39"/>
  <c r="AF25" i="39"/>
  <c r="AE25" i="39"/>
  <c r="AD25" i="39"/>
  <c r="T25" i="39"/>
  <c r="S25" i="39"/>
  <c r="R25" i="39"/>
  <c r="U25" i="39" s="1"/>
  <c r="I25" i="39"/>
  <c r="H25" i="39"/>
  <c r="G25" i="39"/>
  <c r="F25" i="39"/>
  <c r="AF24" i="39"/>
  <c r="AE24" i="39"/>
  <c r="AD24" i="39"/>
  <c r="AG24" i="39" s="1"/>
  <c r="U24" i="39"/>
  <c r="T24" i="39"/>
  <c r="S24" i="39"/>
  <c r="R24" i="39"/>
  <c r="H24" i="39"/>
  <c r="G24" i="39"/>
  <c r="F24" i="39"/>
  <c r="I24" i="39" s="1"/>
  <c r="AG23" i="39"/>
  <c r="AH27" i="39" s="1"/>
  <c r="AF23" i="39"/>
  <c r="AE23" i="39"/>
  <c r="AD23" i="39"/>
  <c r="T23" i="39"/>
  <c r="S23" i="39"/>
  <c r="R23" i="39"/>
  <c r="U23" i="39" s="1"/>
  <c r="H23" i="39"/>
  <c r="G23" i="39"/>
  <c r="F23" i="39"/>
  <c r="I23" i="39" s="1"/>
  <c r="AF22" i="39"/>
  <c r="AE22" i="39"/>
  <c r="AD22" i="39"/>
  <c r="AG22" i="39" s="1"/>
  <c r="T22" i="39"/>
  <c r="S22" i="39"/>
  <c r="R22" i="39"/>
  <c r="U22" i="39" s="1"/>
  <c r="I22" i="39"/>
  <c r="H22" i="39"/>
  <c r="G22" i="39"/>
  <c r="F22" i="39"/>
  <c r="AF21" i="39"/>
  <c r="AE21" i="39"/>
  <c r="AD21" i="39"/>
  <c r="AG21" i="39" s="1"/>
  <c r="U21" i="39"/>
  <c r="T21" i="39"/>
  <c r="S21" i="39"/>
  <c r="R21" i="39"/>
  <c r="H21" i="39"/>
  <c r="G21" i="39"/>
  <c r="F21" i="39"/>
  <c r="I21" i="39" s="1"/>
  <c r="AG20" i="39"/>
  <c r="AF20" i="39"/>
  <c r="AE20" i="39"/>
  <c r="AD20" i="39"/>
  <c r="T20" i="39"/>
  <c r="S20" i="39"/>
  <c r="R20" i="39"/>
  <c r="U20" i="39" s="1"/>
  <c r="I20" i="39"/>
  <c r="H20" i="39"/>
  <c r="G20" i="39"/>
  <c r="F20" i="39"/>
  <c r="AF19" i="39"/>
  <c r="AE19" i="39"/>
  <c r="AD19" i="39"/>
  <c r="AG19" i="39" s="1"/>
  <c r="U19" i="39"/>
  <c r="T19" i="39"/>
  <c r="S19" i="39"/>
  <c r="R19" i="39"/>
  <c r="H19" i="39"/>
  <c r="G19" i="39"/>
  <c r="F19" i="39"/>
  <c r="I19" i="39" s="1"/>
  <c r="AG18" i="39"/>
  <c r="AF18" i="39"/>
  <c r="AE18" i="39"/>
  <c r="AD18" i="39"/>
  <c r="T18" i="39"/>
  <c r="S18" i="39"/>
  <c r="R18" i="39"/>
  <c r="U18" i="39" s="1"/>
  <c r="I18" i="39"/>
  <c r="H18" i="39"/>
  <c r="G18" i="39"/>
  <c r="F18" i="39"/>
  <c r="AG17" i="39"/>
  <c r="AF17" i="39"/>
  <c r="AE17" i="39"/>
  <c r="AD17" i="39"/>
  <c r="T17" i="39"/>
  <c r="S17" i="39"/>
  <c r="R17" i="39"/>
  <c r="U17" i="39" s="1"/>
  <c r="H17" i="39"/>
  <c r="G17" i="39"/>
  <c r="F17" i="39"/>
  <c r="I17" i="39" s="1"/>
  <c r="AF16" i="39"/>
  <c r="AE16" i="39"/>
  <c r="AD16" i="39"/>
  <c r="AG16" i="39" s="1"/>
  <c r="T16" i="39"/>
  <c r="S16" i="39"/>
  <c r="R16" i="39"/>
  <c r="U16" i="39" s="1"/>
  <c r="H16" i="39"/>
  <c r="G16" i="39"/>
  <c r="F16" i="39"/>
  <c r="I16" i="39" s="1"/>
  <c r="J17" i="39" s="1"/>
  <c r="K17" i="39" s="1"/>
  <c r="I42" i="44" s="1"/>
  <c r="AF15" i="39"/>
  <c r="AE15" i="39"/>
  <c r="AD15" i="39"/>
  <c r="AG15" i="39" s="1"/>
  <c r="T15" i="39"/>
  <c r="S15" i="39"/>
  <c r="R15" i="39"/>
  <c r="U15" i="39" s="1"/>
  <c r="H15" i="39"/>
  <c r="G15" i="39"/>
  <c r="F15" i="39"/>
  <c r="I15" i="39" s="1"/>
  <c r="AG14" i="39"/>
  <c r="AF14" i="39"/>
  <c r="AE14" i="39"/>
  <c r="AD14" i="39"/>
  <c r="T14" i="39"/>
  <c r="S14" i="39"/>
  <c r="R14" i="39"/>
  <c r="U14" i="39" s="1"/>
  <c r="I14" i="39"/>
  <c r="J7" i="39" s="1"/>
  <c r="K7" i="39" s="1"/>
  <c r="H14" i="39"/>
  <c r="G14" i="39"/>
  <c r="F14" i="39"/>
  <c r="AF13" i="39"/>
  <c r="AE13" i="39"/>
  <c r="AD13" i="39"/>
  <c r="AG13" i="39" s="1"/>
  <c r="U13" i="39"/>
  <c r="V12" i="39" s="1"/>
  <c r="W12" i="39" s="1"/>
  <c r="G42" i="45" s="1"/>
  <c r="H42" i="45" s="1"/>
  <c r="T13" i="39"/>
  <c r="S13" i="39"/>
  <c r="R13" i="39"/>
  <c r="H13" i="39"/>
  <c r="G13" i="39"/>
  <c r="F13" i="39"/>
  <c r="I13" i="39" s="1"/>
  <c r="AG12" i="39"/>
  <c r="AF12" i="39"/>
  <c r="AE12" i="39"/>
  <c r="AD12" i="39"/>
  <c r="T12" i="39"/>
  <c r="S12" i="39"/>
  <c r="R12" i="39"/>
  <c r="U12" i="39" s="1"/>
  <c r="V22" i="39" s="1"/>
  <c r="W22" i="39" s="1"/>
  <c r="K42" i="45" s="1"/>
  <c r="L42" i="45" s="1"/>
  <c r="I12" i="39"/>
  <c r="J22" i="39" s="1"/>
  <c r="K22" i="39" s="1"/>
  <c r="K42" i="44" s="1"/>
  <c r="H12" i="39"/>
  <c r="G12" i="39"/>
  <c r="F12" i="39"/>
  <c r="AG11" i="39"/>
  <c r="AF11" i="39"/>
  <c r="AE11" i="39"/>
  <c r="AD11" i="39"/>
  <c r="T11" i="39"/>
  <c r="S11" i="39"/>
  <c r="R11" i="39"/>
  <c r="U11" i="39" s="1"/>
  <c r="I11" i="39"/>
  <c r="H11" i="39"/>
  <c r="G11" i="39"/>
  <c r="F11" i="39"/>
  <c r="AF10" i="39"/>
  <c r="AE10" i="39"/>
  <c r="AD10" i="39"/>
  <c r="AG10" i="39" s="1"/>
  <c r="U10" i="39"/>
  <c r="T10" i="39"/>
  <c r="S10" i="39"/>
  <c r="R10" i="39"/>
  <c r="I10" i="39"/>
  <c r="H10" i="39"/>
  <c r="G10" i="39"/>
  <c r="F10" i="39"/>
  <c r="AG9" i="39"/>
  <c r="AF9" i="39"/>
  <c r="AE9" i="39"/>
  <c r="AD9" i="39"/>
  <c r="U9" i="39"/>
  <c r="T9" i="39"/>
  <c r="S9" i="39"/>
  <c r="R9" i="39"/>
  <c r="I9" i="39"/>
  <c r="H9" i="39"/>
  <c r="G9" i="39"/>
  <c r="F9" i="39"/>
  <c r="AF8" i="39"/>
  <c r="AE8" i="39"/>
  <c r="AD8" i="39"/>
  <c r="AG8" i="39" s="1"/>
  <c r="AH17" i="39" s="1"/>
  <c r="U8" i="39"/>
  <c r="T8" i="39"/>
  <c r="S8" i="39"/>
  <c r="R8" i="39"/>
  <c r="H8" i="39"/>
  <c r="G8" i="39"/>
  <c r="F8" i="39"/>
  <c r="I8" i="39" s="1"/>
  <c r="AI7" i="39"/>
  <c r="AH7" i="39"/>
  <c r="E42" i="46" s="1"/>
  <c r="AF7" i="39"/>
  <c r="AE7" i="39"/>
  <c r="AD7" i="39"/>
  <c r="AG7" i="39" s="1"/>
  <c r="U7" i="39"/>
  <c r="T7" i="39"/>
  <c r="S7" i="39"/>
  <c r="R7" i="39"/>
  <c r="H7" i="39"/>
  <c r="G7" i="39"/>
  <c r="F7" i="39"/>
  <c r="I7" i="39" s="1"/>
  <c r="J27" i="39" s="1"/>
  <c r="K27" i="39" s="1"/>
  <c r="O42" i="44" s="1"/>
  <c r="AB3" i="39"/>
  <c r="AA3" i="39"/>
  <c r="Z3" i="39"/>
  <c r="P3" i="39"/>
  <c r="O3" i="39"/>
  <c r="N3" i="39"/>
  <c r="D3" i="39"/>
  <c r="C3" i="39"/>
  <c r="B3" i="39"/>
  <c r="M2" i="39"/>
  <c r="A2" i="39"/>
  <c r="AF41" i="38"/>
  <c r="AE41" i="38"/>
  <c r="AD41" i="38"/>
  <c r="AG41" i="38" s="1"/>
  <c r="U41" i="38"/>
  <c r="T41" i="38"/>
  <c r="S41" i="38"/>
  <c r="R41" i="38"/>
  <c r="H41" i="38"/>
  <c r="G41" i="38"/>
  <c r="F41" i="38"/>
  <c r="I41" i="38" s="1"/>
  <c r="AG40" i="38"/>
  <c r="AF40" i="38"/>
  <c r="AE40" i="38"/>
  <c r="AD40" i="38"/>
  <c r="T40" i="38"/>
  <c r="S40" i="38"/>
  <c r="R40" i="38"/>
  <c r="U40" i="38" s="1"/>
  <c r="I40" i="38"/>
  <c r="H40" i="38"/>
  <c r="G40" i="38"/>
  <c r="F40" i="38"/>
  <c r="AF39" i="38"/>
  <c r="AE39" i="38"/>
  <c r="AD39" i="38"/>
  <c r="AG39" i="38" s="1"/>
  <c r="U39" i="38"/>
  <c r="T39" i="38"/>
  <c r="S39" i="38"/>
  <c r="R39" i="38"/>
  <c r="H39" i="38"/>
  <c r="G39" i="38"/>
  <c r="F39" i="38"/>
  <c r="I39" i="38" s="1"/>
  <c r="AG38" i="38"/>
  <c r="AF38" i="38"/>
  <c r="AE38" i="38"/>
  <c r="AD38" i="38"/>
  <c r="T38" i="38"/>
  <c r="S38" i="38"/>
  <c r="R38" i="38"/>
  <c r="U38" i="38" s="1"/>
  <c r="I38" i="38"/>
  <c r="H38" i="38"/>
  <c r="G38" i="38"/>
  <c r="F38" i="38"/>
  <c r="AF37" i="38"/>
  <c r="AE37" i="38"/>
  <c r="AD37" i="38"/>
  <c r="AG37" i="38" s="1"/>
  <c r="T37" i="38"/>
  <c r="S37" i="38"/>
  <c r="R37" i="38"/>
  <c r="U37" i="38" s="1"/>
  <c r="I37" i="38"/>
  <c r="H37" i="38"/>
  <c r="G37" i="38"/>
  <c r="F37" i="38"/>
  <c r="AF36" i="38"/>
  <c r="AE36" i="38"/>
  <c r="AD36" i="38"/>
  <c r="AG36" i="38" s="1"/>
  <c r="U36" i="38"/>
  <c r="T36" i="38"/>
  <c r="S36" i="38"/>
  <c r="R36" i="38"/>
  <c r="H36" i="38"/>
  <c r="G36" i="38"/>
  <c r="F36" i="38"/>
  <c r="I36" i="38" s="1"/>
  <c r="AG35" i="38"/>
  <c r="AF35" i="38"/>
  <c r="AE35" i="38"/>
  <c r="AD35" i="38"/>
  <c r="U35" i="38"/>
  <c r="T35" i="38"/>
  <c r="S35" i="38"/>
  <c r="R35" i="38"/>
  <c r="H35" i="38"/>
  <c r="G35" i="38"/>
  <c r="F35" i="38"/>
  <c r="I35" i="38" s="1"/>
  <c r="AG34" i="38"/>
  <c r="AF34" i="38"/>
  <c r="AE34" i="38"/>
  <c r="AD34" i="38"/>
  <c r="T34" i="38"/>
  <c r="S34" i="38"/>
  <c r="R34" i="38"/>
  <c r="U34" i="38" s="1"/>
  <c r="I34" i="38"/>
  <c r="H34" i="38"/>
  <c r="G34" i="38"/>
  <c r="F34" i="38"/>
  <c r="AG31" i="38"/>
  <c r="AF31" i="38"/>
  <c r="AE31" i="38"/>
  <c r="AD31" i="38"/>
  <c r="U31" i="38"/>
  <c r="T31" i="38"/>
  <c r="S31" i="38"/>
  <c r="R31" i="38"/>
  <c r="H31" i="38"/>
  <c r="G31" i="38"/>
  <c r="F31" i="38"/>
  <c r="I31" i="38" s="1"/>
  <c r="AF30" i="38"/>
  <c r="AE30" i="38"/>
  <c r="AD30" i="38"/>
  <c r="AG30" i="38" s="1"/>
  <c r="U30" i="38"/>
  <c r="T30" i="38"/>
  <c r="S30" i="38"/>
  <c r="R30" i="38"/>
  <c r="H30" i="38"/>
  <c r="G30" i="38"/>
  <c r="F30" i="38"/>
  <c r="I30" i="38" s="1"/>
  <c r="AG29" i="38"/>
  <c r="AF29" i="38"/>
  <c r="AE29" i="38"/>
  <c r="AD29" i="38"/>
  <c r="T29" i="38"/>
  <c r="S29" i="38"/>
  <c r="R29" i="38"/>
  <c r="U29" i="38" s="1"/>
  <c r="I29" i="38"/>
  <c r="H29" i="38"/>
  <c r="G29" i="38"/>
  <c r="F29" i="38"/>
  <c r="AF28" i="38"/>
  <c r="AE28" i="38"/>
  <c r="AD28" i="38"/>
  <c r="AG28" i="38" s="1"/>
  <c r="U28" i="38"/>
  <c r="T28" i="38"/>
  <c r="S28" i="38"/>
  <c r="R28" i="38"/>
  <c r="H28" i="38"/>
  <c r="G28" i="38"/>
  <c r="F28" i="38"/>
  <c r="I28" i="38" s="1"/>
  <c r="AG27" i="38"/>
  <c r="AF27" i="38"/>
  <c r="AE27" i="38"/>
  <c r="AD27" i="38"/>
  <c r="T27" i="38"/>
  <c r="S27" i="38"/>
  <c r="R27" i="38"/>
  <c r="U27" i="38" s="1"/>
  <c r="H27" i="38"/>
  <c r="G27" i="38"/>
  <c r="F27" i="38"/>
  <c r="I27" i="38" s="1"/>
  <c r="AG26" i="38"/>
  <c r="AF26" i="38"/>
  <c r="AE26" i="38"/>
  <c r="AD26" i="38"/>
  <c r="T26" i="38"/>
  <c r="S26" i="38"/>
  <c r="R26" i="38"/>
  <c r="U26" i="38" s="1"/>
  <c r="I26" i="38"/>
  <c r="H26" i="38"/>
  <c r="G26" i="38"/>
  <c r="F26" i="38"/>
  <c r="AG25" i="38"/>
  <c r="AF25" i="38"/>
  <c r="AE25" i="38"/>
  <c r="AD25" i="38"/>
  <c r="U25" i="38"/>
  <c r="T25" i="38"/>
  <c r="S25" i="38"/>
  <c r="R25" i="38"/>
  <c r="H25" i="38"/>
  <c r="G25" i="38"/>
  <c r="F25" i="38"/>
  <c r="I25" i="38" s="1"/>
  <c r="AG24" i="38"/>
  <c r="AF24" i="38"/>
  <c r="AE24" i="38"/>
  <c r="AD24" i="38"/>
  <c r="T24" i="38"/>
  <c r="S24" i="38"/>
  <c r="R24" i="38"/>
  <c r="U24" i="38" s="1"/>
  <c r="I24" i="38"/>
  <c r="H24" i="38"/>
  <c r="G24" i="38"/>
  <c r="F24" i="38"/>
  <c r="AF23" i="38"/>
  <c r="AE23" i="38"/>
  <c r="AD23" i="38"/>
  <c r="AG23" i="38" s="1"/>
  <c r="U23" i="38"/>
  <c r="T23" i="38"/>
  <c r="S23" i="38"/>
  <c r="R23" i="38"/>
  <c r="I23" i="38"/>
  <c r="H23" i="38"/>
  <c r="G23" i="38"/>
  <c r="F23" i="38"/>
  <c r="AF22" i="38"/>
  <c r="AE22" i="38"/>
  <c r="AD22" i="38"/>
  <c r="AG22" i="38" s="1"/>
  <c r="U22" i="38"/>
  <c r="T22" i="38"/>
  <c r="S22" i="38"/>
  <c r="R22" i="38"/>
  <c r="I22" i="38"/>
  <c r="H22" i="38"/>
  <c r="G22" i="38"/>
  <c r="F22" i="38"/>
  <c r="AF21" i="38"/>
  <c r="AE21" i="38"/>
  <c r="AD21" i="38"/>
  <c r="AG21" i="38" s="1"/>
  <c r="U21" i="38"/>
  <c r="T21" i="38"/>
  <c r="S21" i="38"/>
  <c r="R21" i="38"/>
  <c r="H21" i="38"/>
  <c r="G21" i="38"/>
  <c r="F21" i="38"/>
  <c r="I21" i="38" s="1"/>
  <c r="AG20" i="38"/>
  <c r="AF20" i="38"/>
  <c r="AE20" i="38"/>
  <c r="AD20" i="38"/>
  <c r="T20" i="38"/>
  <c r="S20" i="38"/>
  <c r="R20" i="38"/>
  <c r="U20" i="38" s="1"/>
  <c r="I20" i="38"/>
  <c r="H20" i="38"/>
  <c r="G20" i="38"/>
  <c r="F20" i="38"/>
  <c r="AF19" i="38"/>
  <c r="AE19" i="38"/>
  <c r="AD19" i="38"/>
  <c r="AG19" i="38" s="1"/>
  <c r="U19" i="38"/>
  <c r="V7" i="38" s="1"/>
  <c r="W7" i="38" s="1"/>
  <c r="T19" i="38"/>
  <c r="S19" i="38"/>
  <c r="R19" i="38"/>
  <c r="H19" i="38"/>
  <c r="G19" i="38"/>
  <c r="F19" i="38"/>
  <c r="I19" i="38" s="1"/>
  <c r="AF18" i="38"/>
  <c r="AE18" i="38"/>
  <c r="AD18" i="38"/>
  <c r="AG18" i="38" s="1"/>
  <c r="T18" i="38"/>
  <c r="S18" i="38"/>
  <c r="R18" i="38"/>
  <c r="U18" i="38" s="1"/>
  <c r="H18" i="38"/>
  <c r="G18" i="38"/>
  <c r="F18" i="38"/>
  <c r="I18" i="38" s="1"/>
  <c r="AF17" i="38"/>
  <c r="AE17" i="38"/>
  <c r="AD17" i="38"/>
  <c r="AG17" i="38" s="1"/>
  <c r="T17" i="38"/>
  <c r="S17" i="38"/>
  <c r="R17" i="38"/>
  <c r="U17" i="38" s="1"/>
  <c r="I17" i="38"/>
  <c r="H17" i="38"/>
  <c r="G17" i="38"/>
  <c r="F17" i="38"/>
  <c r="AF16" i="38"/>
  <c r="AE16" i="38"/>
  <c r="AD16" i="38"/>
  <c r="AG16" i="38" s="1"/>
  <c r="U16" i="38"/>
  <c r="T16" i="38"/>
  <c r="S16" i="38"/>
  <c r="R16" i="38"/>
  <c r="H16" i="38"/>
  <c r="G16" i="38"/>
  <c r="F16" i="38"/>
  <c r="I16" i="38" s="1"/>
  <c r="AG15" i="38"/>
  <c r="AF15" i="38"/>
  <c r="AE15" i="38"/>
  <c r="AD15" i="38"/>
  <c r="U15" i="38"/>
  <c r="T15" i="38"/>
  <c r="S15" i="38"/>
  <c r="R15" i="38"/>
  <c r="I15" i="38"/>
  <c r="H15" i="38"/>
  <c r="G15" i="38"/>
  <c r="F15" i="38"/>
  <c r="AG14" i="38"/>
  <c r="AF14" i="38"/>
  <c r="AE14" i="38"/>
  <c r="AD14" i="38"/>
  <c r="U14" i="38"/>
  <c r="T14" i="38"/>
  <c r="S14" i="38"/>
  <c r="R14" i="38"/>
  <c r="I14" i="38"/>
  <c r="H14" i="38"/>
  <c r="G14" i="38"/>
  <c r="F14" i="38"/>
  <c r="AG13" i="38"/>
  <c r="AF13" i="38"/>
  <c r="AE13" i="38"/>
  <c r="AD13" i="38"/>
  <c r="U13" i="38"/>
  <c r="T13" i="38"/>
  <c r="S13" i="38"/>
  <c r="R13" i="38"/>
  <c r="I13" i="38"/>
  <c r="H13" i="38"/>
  <c r="G13" i="38"/>
  <c r="F13" i="38"/>
  <c r="AF12" i="38"/>
  <c r="AE12" i="38"/>
  <c r="AD12" i="38"/>
  <c r="AG12" i="38" s="1"/>
  <c r="AH22" i="38" s="1"/>
  <c r="U12" i="38"/>
  <c r="T12" i="38"/>
  <c r="S12" i="38"/>
  <c r="R12" i="38"/>
  <c r="H12" i="38"/>
  <c r="G12" i="38"/>
  <c r="F12" i="38"/>
  <c r="I12" i="38" s="1"/>
  <c r="J22" i="38" s="1"/>
  <c r="K22" i="38" s="1"/>
  <c r="K41" i="44" s="1"/>
  <c r="AG11" i="38"/>
  <c r="AH12" i="38" s="1"/>
  <c r="AF11" i="38"/>
  <c r="AE11" i="38"/>
  <c r="AD11" i="38"/>
  <c r="T11" i="38"/>
  <c r="S11" i="38"/>
  <c r="R11" i="38"/>
  <c r="U11" i="38" s="1"/>
  <c r="V12" i="38" s="1"/>
  <c r="W12" i="38" s="1"/>
  <c r="G41" i="45" s="1"/>
  <c r="H41" i="45" s="1"/>
  <c r="I11" i="38"/>
  <c r="J12" i="38" s="1"/>
  <c r="K12" i="38" s="1"/>
  <c r="G41" i="44" s="1"/>
  <c r="H11" i="38"/>
  <c r="G11" i="38"/>
  <c r="F11" i="38"/>
  <c r="AF10" i="38"/>
  <c r="AE10" i="38"/>
  <c r="AD10" i="38"/>
  <c r="AG10" i="38" s="1"/>
  <c r="U10" i="38"/>
  <c r="T10" i="38"/>
  <c r="S10" i="38"/>
  <c r="R10" i="38"/>
  <c r="H10" i="38"/>
  <c r="G10" i="38"/>
  <c r="F10" i="38"/>
  <c r="I10" i="38" s="1"/>
  <c r="AG9" i="38"/>
  <c r="AH7" i="38" s="1"/>
  <c r="E41" i="46" s="1"/>
  <c r="AF9" i="38"/>
  <c r="AE9" i="38"/>
  <c r="AD9" i="38"/>
  <c r="T9" i="38"/>
  <c r="S9" i="38"/>
  <c r="R9" i="38"/>
  <c r="U9" i="38" s="1"/>
  <c r="H9" i="38"/>
  <c r="G9" i="38"/>
  <c r="F9" i="38"/>
  <c r="I9" i="38" s="1"/>
  <c r="J7" i="38" s="1"/>
  <c r="K7" i="38" s="1"/>
  <c r="AF8" i="38"/>
  <c r="AE8" i="38"/>
  <c r="AD8" i="38"/>
  <c r="AG8" i="38" s="1"/>
  <c r="T8" i="38"/>
  <c r="S8" i="38"/>
  <c r="R8" i="38"/>
  <c r="U8" i="38" s="1"/>
  <c r="V17" i="38" s="1"/>
  <c r="W17" i="38" s="1"/>
  <c r="I41" i="45" s="1"/>
  <c r="J41" i="45" s="1"/>
  <c r="H8" i="38"/>
  <c r="G8" i="38"/>
  <c r="F8" i="38"/>
  <c r="I8" i="38" s="1"/>
  <c r="AG7" i="38"/>
  <c r="AF7" i="38"/>
  <c r="AE7" i="38"/>
  <c r="AD7" i="38"/>
  <c r="U7" i="38"/>
  <c r="V27" i="38" s="1"/>
  <c r="W27" i="38" s="1"/>
  <c r="O41" i="45" s="1"/>
  <c r="P41" i="45" s="1"/>
  <c r="T7" i="38"/>
  <c r="S7" i="38"/>
  <c r="R7" i="38"/>
  <c r="H7" i="38"/>
  <c r="G7" i="38"/>
  <c r="F7" i="38"/>
  <c r="I7" i="38" s="1"/>
  <c r="J27" i="38" s="1"/>
  <c r="K27" i="38" s="1"/>
  <c r="O41" i="44" s="1"/>
  <c r="AB3" i="38"/>
  <c r="AA3" i="38"/>
  <c r="Z3" i="38"/>
  <c r="P3" i="38"/>
  <c r="O3" i="38"/>
  <c r="N3" i="38"/>
  <c r="D3" i="38"/>
  <c r="C3" i="38"/>
  <c r="B3" i="38"/>
  <c r="M2" i="38"/>
  <c r="A2" i="38"/>
  <c r="AF41" i="37"/>
  <c r="AE41" i="37"/>
  <c r="AD41" i="37"/>
  <c r="AG41" i="37" s="1"/>
  <c r="U41" i="37"/>
  <c r="T41" i="37"/>
  <c r="S41" i="37"/>
  <c r="R41" i="37"/>
  <c r="H41" i="37"/>
  <c r="G41" i="37"/>
  <c r="F41" i="37"/>
  <c r="I41" i="37" s="1"/>
  <c r="AG40" i="37"/>
  <c r="AF40" i="37"/>
  <c r="AE40" i="37"/>
  <c r="AD40" i="37"/>
  <c r="T40" i="37"/>
  <c r="S40" i="37"/>
  <c r="R40" i="37"/>
  <c r="U40" i="37" s="1"/>
  <c r="I40" i="37"/>
  <c r="H40" i="37"/>
  <c r="G40" i="37"/>
  <c r="F40" i="37"/>
  <c r="AF39" i="37"/>
  <c r="AE39" i="37"/>
  <c r="AD39" i="37"/>
  <c r="AG39" i="37" s="1"/>
  <c r="U39" i="37"/>
  <c r="T39" i="37"/>
  <c r="S39" i="37"/>
  <c r="R39" i="37"/>
  <c r="H39" i="37"/>
  <c r="G39" i="37"/>
  <c r="F39" i="37"/>
  <c r="I39" i="37" s="1"/>
  <c r="AG38" i="37"/>
  <c r="AF38" i="37"/>
  <c r="AE38" i="37"/>
  <c r="AD38" i="37"/>
  <c r="T38" i="37"/>
  <c r="S38" i="37"/>
  <c r="R38" i="37"/>
  <c r="U38" i="37" s="1"/>
  <c r="I38" i="37"/>
  <c r="H38" i="37"/>
  <c r="G38" i="37"/>
  <c r="F38" i="37"/>
  <c r="AF37" i="37"/>
  <c r="AE37" i="37"/>
  <c r="AD37" i="37"/>
  <c r="AG37" i="37" s="1"/>
  <c r="U37" i="37"/>
  <c r="T37" i="37"/>
  <c r="S37" i="37"/>
  <c r="R37" i="37"/>
  <c r="I37" i="37"/>
  <c r="H37" i="37"/>
  <c r="G37" i="37"/>
  <c r="F37" i="37"/>
  <c r="AF36" i="37"/>
  <c r="AE36" i="37"/>
  <c r="AD36" i="37"/>
  <c r="AG36" i="37" s="1"/>
  <c r="T36" i="37"/>
  <c r="S36" i="37"/>
  <c r="R36" i="37"/>
  <c r="U36" i="37" s="1"/>
  <c r="H36" i="37"/>
  <c r="G36" i="37"/>
  <c r="F36" i="37"/>
  <c r="I36" i="37" s="1"/>
  <c r="AG35" i="37"/>
  <c r="AF35" i="37"/>
  <c r="AE35" i="37"/>
  <c r="AD35" i="37"/>
  <c r="T35" i="37"/>
  <c r="S35" i="37"/>
  <c r="R35" i="37"/>
  <c r="U35" i="37" s="1"/>
  <c r="I35" i="37"/>
  <c r="H35" i="37"/>
  <c r="G35" i="37"/>
  <c r="F35" i="37"/>
  <c r="AG34" i="37"/>
  <c r="AH35" i="37" s="1"/>
  <c r="AI37" i="37" s="1"/>
  <c r="AF34" i="37"/>
  <c r="AE34" i="37"/>
  <c r="AD34" i="37"/>
  <c r="U34" i="37"/>
  <c r="T34" i="37"/>
  <c r="S34" i="37"/>
  <c r="R34" i="37"/>
  <c r="I34" i="37"/>
  <c r="J35" i="37" s="1"/>
  <c r="K37" i="37" s="1"/>
  <c r="Q40" i="44" s="1"/>
  <c r="H34" i="37"/>
  <c r="G34" i="37"/>
  <c r="F34" i="37"/>
  <c r="AF31" i="37"/>
  <c r="AE31" i="37"/>
  <c r="AD31" i="37"/>
  <c r="AG31" i="37" s="1"/>
  <c r="U31" i="37"/>
  <c r="T31" i="37"/>
  <c r="S31" i="37"/>
  <c r="R31" i="37"/>
  <c r="H31" i="37"/>
  <c r="G31" i="37"/>
  <c r="F31" i="37"/>
  <c r="I31" i="37" s="1"/>
  <c r="AG30" i="37"/>
  <c r="AF30" i="37"/>
  <c r="AE30" i="37"/>
  <c r="AD30" i="37"/>
  <c r="T30" i="37"/>
  <c r="S30" i="37"/>
  <c r="R30" i="37"/>
  <c r="U30" i="37" s="1"/>
  <c r="I30" i="37"/>
  <c r="H30" i="37"/>
  <c r="G30" i="37"/>
  <c r="F30" i="37"/>
  <c r="AF29" i="37"/>
  <c r="AE29" i="37"/>
  <c r="AD29" i="37"/>
  <c r="AG29" i="37" s="1"/>
  <c r="U29" i="37"/>
  <c r="T29" i="37"/>
  <c r="S29" i="37"/>
  <c r="R29" i="37"/>
  <c r="I29" i="37"/>
  <c r="H29" i="37"/>
  <c r="G29" i="37"/>
  <c r="F29" i="37"/>
  <c r="AG28" i="37"/>
  <c r="AF28" i="37"/>
  <c r="AE28" i="37"/>
  <c r="AD28" i="37"/>
  <c r="U28" i="37"/>
  <c r="T28" i="37"/>
  <c r="S28" i="37"/>
  <c r="R28" i="37"/>
  <c r="I28" i="37"/>
  <c r="H28" i="37"/>
  <c r="G28" i="37"/>
  <c r="F28" i="37"/>
  <c r="AF27" i="37"/>
  <c r="AE27" i="37"/>
  <c r="AD27" i="37"/>
  <c r="AG27" i="37" s="1"/>
  <c r="U27" i="37"/>
  <c r="T27" i="37"/>
  <c r="S27" i="37"/>
  <c r="R27" i="37"/>
  <c r="H27" i="37"/>
  <c r="G27" i="37"/>
  <c r="F27" i="37"/>
  <c r="I27" i="37" s="1"/>
  <c r="AG26" i="37"/>
  <c r="AF26" i="37"/>
  <c r="AE26" i="37"/>
  <c r="AD26" i="37"/>
  <c r="T26" i="37"/>
  <c r="S26" i="37"/>
  <c r="R26" i="37"/>
  <c r="U26" i="37" s="1"/>
  <c r="I26" i="37"/>
  <c r="H26" i="37"/>
  <c r="G26" i="37"/>
  <c r="F26" i="37"/>
  <c r="AF25" i="37"/>
  <c r="AE25" i="37"/>
  <c r="AD25" i="37"/>
  <c r="AG25" i="37" s="1"/>
  <c r="U25" i="37"/>
  <c r="T25" i="37"/>
  <c r="S25" i="37"/>
  <c r="R25" i="37"/>
  <c r="H25" i="37"/>
  <c r="G25" i="37"/>
  <c r="F25" i="37"/>
  <c r="I25" i="37" s="1"/>
  <c r="AG24" i="37"/>
  <c r="AF24" i="37"/>
  <c r="AE24" i="37"/>
  <c r="AD24" i="37"/>
  <c r="T24" i="37"/>
  <c r="S24" i="37"/>
  <c r="R24" i="37"/>
  <c r="U24" i="37" s="1"/>
  <c r="H24" i="37"/>
  <c r="G24" i="37"/>
  <c r="F24" i="37"/>
  <c r="I24" i="37" s="1"/>
  <c r="AF23" i="37"/>
  <c r="AE23" i="37"/>
  <c r="AD23" i="37"/>
  <c r="AG23" i="37" s="1"/>
  <c r="T23" i="37"/>
  <c r="S23" i="37"/>
  <c r="R23" i="37"/>
  <c r="U23" i="37" s="1"/>
  <c r="H23" i="37"/>
  <c r="G23" i="37"/>
  <c r="F23" i="37"/>
  <c r="I23" i="37" s="1"/>
  <c r="AG22" i="37"/>
  <c r="AF22" i="37"/>
  <c r="AE22" i="37"/>
  <c r="AD22" i="37"/>
  <c r="U22" i="37"/>
  <c r="T22" i="37"/>
  <c r="S22" i="37"/>
  <c r="R22" i="37"/>
  <c r="H22" i="37"/>
  <c r="G22" i="37"/>
  <c r="F22" i="37"/>
  <c r="I22" i="37" s="1"/>
  <c r="AG21" i="37"/>
  <c r="AF21" i="37"/>
  <c r="AE21" i="37"/>
  <c r="AD21" i="37"/>
  <c r="T21" i="37"/>
  <c r="S21" i="37"/>
  <c r="R21" i="37"/>
  <c r="U21" i="37" s="1"/>
  <c r="I21" i="37"/>
  <c r="H21" i="37"/>
  <c r="G21" i="37"/>
  <c r="F21" i="37"/>
  <c r="AF20" i="37"/>
  <c r="AE20" i="37"/>
  <c r="AD20" i="37"/>
  <c r="AG20" i="37" s="1"/>
  <c r="U20" i="37"/>
  <c r="V22" i="37" s="1"/>
  <c r="W22" i="37" s="1"/>
  <c r="K40" i="45" s="1"/>
  <c r="L40" i="45" s="1"/>
  <c r="T20" i="37"/>
  <c r="S20" i="37"/>
  <c r="R20" i="37"/>
  <c r="H20" i="37"/>
  <c r="G20" i="37"/>
  <c r="F20" i="37"/>
  <c r="I20" i="37" s="1"/>
  <c r="AG19" i="37"/>
  <c r="AF19" i="37"/>
  <c r="AE19" i="37"/>
  <c r="AD19" i="37"/>
  <c r="U19" i="37"/>
  <c r="T19" i="37"/>
  <c r="S19" i="37"/>
  <c r="R19" i="37"/>
  <c r="I19" i="37"/>
  <c r="H19" i="37"/>
  <c r="G19" i="37"/>
  <c r="F19" i="37"/>
  <c r="AG18" i="37"/>
  <c r="AF18" i="37"/>
  <c r="AE18" i="37"/>
  <c r="AD18" i="37"/>
  <c r="U18" i="37"/>
  <c r="T18" i="37"/>
  <c r="S18" i="37"/>
  <c r="R18" i="37"/>
  <c r="H18" i="37"/>
  <c r="G18" i="37"/>
  <c r="F18" i="37"/>
  <c r="I18" i="37" s="1"/>
  <c r="AF17" i="37"/>
  <c r="AE17" i="37"/>
  <c r="AD17" i="37"/>
  <c r="AG17" i="37" s="1"/>
  <c r="U17" i="37"/>
  <c r="T17" i="37"/>
  <c r="S17" i="37"/>
  <c r="R17" i="37"/>
  <c r="J17" i="37"/>
  <c r="K17" i="37" s="1"/>
  <c r="I40" i="44" s="1"/>
  <c r="I17" i="37"/>
  <c r="H17" i="37"/>
  <c r="G17" i="37"/>
  <c r="F17" i="37"/>
  <c r="AF16" i="37"/>
  <c r="AE16" i="37"/>
  <c r="AD16" i="37"/>
  <c r="AG16" i="37" s="1"/>
  <c r="U16" i="37"/>
  <c r="T16" i="37"/>
  <c r="S16" i="37"/>
  <c r="R16" i="37"/>
  <c r="H16" i="37"/>
  <c r="G16" i="37"/>
  <c r="F16" i="37"/>
  <c r="I16" i="37" s="1"/>
  <c r="AF15" i="37"/>
  <c r="AE15" i="37"/>
  <c r="AD15" i="37"/>
  <c r="AG15" i="37" s="1"/>
  <c r="T15" i="37"/>
  <c r="S15" i="37"/>
  <c r="R15" i="37"/>
  <c r="U15" i="37" s="1"/>
  <c r="H15" i="37"/>
  <c r="G15" i="37"/>
  <c r="F15" i="37"/>
  <c r="I15" i="37" s="1"/>
  <c r="AF14" i="37"/>
  <c r="AE14" i="37"/>
  <c r="AD14" i="37"/>
  <c r="AG14" i="37" s="1"/>
  <c r="T14" i="37"/>
  <c r="S14" i="37"/>
  <c r="R14" i="37"/>
  <c r="U14" i="37" s="1"/>
  <c r="H14" i="37"/>
  <c r="G14" i="37"/>
  <c r="F14" i="37"/>
  <c r="I14" i="37" s="1"/>
  <c r="AG13" i="37"/>
  <c r="AF13" i="37"/>
  <c r="AE13" i="37"/>
  <c r="AD13" i="37"/>
  <c r="T13" i="37"/>
  <c r="S13" i="37"/>
  <c r="R13" i="37"/>
  <c r="U13" i="37" s="1"/>
  <c r="V12" i="37" s="1"/>
  <c r="W12" i="37" s="1"/>
  <c r="G40" i="45" s="1"/>
  <c r="H40" i="45" s="1"/>
  <c r="I13" i="37"/>
  <c r="H13" i="37"/>
  <c r="G13" i="37"/>
  <c r="F13" i="37"/>
  <c r="AF12" i="37"/>
  <c r="AE12" i="37"/>
  <c r="AD12" i="37"/>
  <c r="AG12" i="37" s="1"/>
  <c r="T12" i="37"/>
  <c r="S12" i="37"/>
  <c r="R12" i="37"/>
  <c r="U12" i="37" s="1"/>
  <c r="I12" i="37"/>
  <c r="J22" i="37" s="1"/>
  <c r="K22" i="37" s="1"/>
  <c r="K40" i="44" s="1"/>
  <c r="H12" i="37"/>
  <c r="G12" i="37"/>
  <c r="F12" i="37"/>
  <c r="AF11" i="37"/>
  <c r="AE11" i="37"/>
  <c r="AD11" i="37"/>
  <c r="AG11" i="37" s="1"/>
  <c r="U11" i="37"/>
  <c r="T11" i="37"/>
  <c r="S11" i="37"/>
  <c r="R11" i="37"/>
  <c r="H11" i="37"/>
  <c r="G11" i="37"/>
  <c r="F11" i="37"/>
  <c r="I11" i="37" s="1"/>
  <c r="AG10" i="37"/>
  <c r="AF10" i="37"/>
  <c r="AE10" i="37"/>
  <c r="AD10" i="37"/>
  <c r="T10" i="37"/>
  <c r="S10" i="37"/>
  <c r="R10" i="37"/>
  <c r="U10" i="37" s="1"/>
  <c r="I10" i="37"/>
  <c r="H10" i="37"/>
  <c r="G10" i="37"/>
  <c r="F10" i="37"/>
  <c r="AF9" i="37"/>
  <c r="AE9" i="37"/>
  <c r="AD9" i="37"/>
  <c r="AG9" i="37" s="1"/>
  <c r="U9" i="37"/>
  <c r="T9" i="37"/>
  <c r="S9" i="37"/>
  <c r="R9" i="37"/>
  <c r="I9" i="37"/>
  <c r="J7" i="37" s="1"/>
  <c r="K7" i="37" s="1"/>
  <c r="H9" i="37"/>
  <c r="G9" i="37"/>
  <c r="F9" i="37"/>
  <c r="AG8" i="37"/>
  <c r="AF8" i="37"/>
  <c r="AE8" i="37"/>
  <c r="AD8" i="37"/>
  <c r="U8" i="37"/>
  <c r="T8" i="37"/>
  <c r="S8" i="37"/>
  <c r="R8" i="37"/>
  <c r="I8" i="37"/>
  <c r="H8" i="37"/>
  <c r="G8" i="37"/>
  <c r="F8" i="37"/>
  <c r="AI7" i="37"/>
  <c r="AH7" i="37"/>
  <c r="E40" i="46" s="1"/>
  <c r="AG7" i="37"/>
  <c r="AF7" i="37"/>
  <c r="AE7" i="37"/>
  <c r="AD7" i="37"/>
  <c r="T7" i="37"/>
  <c r="S7" i="37"/>
  <c r="R7" i="37"/>
  <c r="U7" i="37" s="1"/>
  <c r="V27" i="37" s="1"/>
  <c r="W27" i="37" s="1"/>
  <c r="O40" i="45" s="1"/>
  <c r="P40" i="45" s="1"/>
  <c r="H7" i="37"/>
  <c r="G7" i="37"/>
  <c r="F7" i="37"/>
  <c r="I7" i="37" s="1"/>
  <c r="AB3" i="37"/>
  <c r="AA3" i="37"/>
  <c r="Z3" i="37"/>
  <c r="P3" i="37"/>
  <c r="O3" i="37"/>
  <c r="N3" i="37"/>
  <c r="D3" i="37"/>
  <c r="C3" i="37"/>
  <c r="B3" i="37"/>
  <c r="M2" i="37"/>
  <c r="A2" i="37"/>
  <c r="AG41" i="36"/>
  <c r="AF41" i="36"/>
  <c r="AE41" i="36"/>
  <c r="AD41" i="36"/>
  <c r="T41" i="36"/>
  <c r="S41" i="36"/>
  <c r="R41" i="36"/>
  <c r="U41" i="36" s="1"/>
  <c r="V35" i="36" s="1"/>
  <c r="W37" i="36" s="1"/>
  <c r="Q39" i="45" s="1"/>
  <c r="R39" i="45" s="1"/>
  <c r="I41" i="36"/>
  <c r="H41" i="36"/>
  <c r="G41" i="36"/>
  <c r="F41" i="36"/>
  <c r="AF40" i="36"/>
  <c r="AE40" i="36"/>
  <c r="AD40" i="36"/>
  <c r="AG40" i="36" s="1"/>
  <c r="U40" i="36"/>
  <c r="T40" i="36"/>
  <c r="S40" i="36"/>
  <c r="R40" i="36"/>
  <c r="H40" i="36"/>
  <c r="G40" i="36"/>
  <c r="F40" i="36"/>
  <c r="I40" i="36" s="1"/>
  <c r="AG39" i="36"/>
  <c r="AF39" i="36"/>
  <c r="AE39" i="36"/>
  <c r="AD39" i="36"/>
  <c r="T39" i="36"/>
  <c r="S39" i="36"/>
  <c r="R39" i="36"/>
  <c r="U39" i="36" s="1"/>
  <c r="I39" i="36"/>
  <c r="H39" i="36"/>
  <c r="G39" i="36"/>
  <c r="F39" i="36"/>
  <c r="AF38" i="36"/>
  <c r="AE38" i="36"/>
  <c r="AD38" i="36"/>
  <c r="AG38" i="36" s="1"/>
  <c r="U38" i="36"/>
  <c r="T38" i="36"/>
  <c r="S38" i="36"/>
  <c r="R38" i="36"/>
  <c r="H38" i="36"/>
  <c r="G38" i="36"/>
  <c r="F38" i="36"/>
  <c r="I38" i="36" s="1"/>
  <c r="AF37" i="36"/>
  <c r="AE37" i="36"/>
  <c r="AD37" i="36"/>
  <c r="AG37" i="36" s="1"/>
  <c r="U37" i="36"/>
  <c r="T37" i="36"/>
  <c r="S37" i="36"/>
  <c r="R37" i="36"/>
  <c r="I37" i="36"/>
  <c r="H37" i="36"/>
  <c r="G37" i="36"/>
  <c r="F37" i="36"/>
  <c r="AG36" i="36"/>
  <c r="AF36" i="36"/>
  <c r="AE36" i="36"/>
  <c r="AD36" i="36"/>
  <c r="U36" i="36"/>
  <c r="T36" i="36"/>
  <c r="S36" i="36"/>
  <c r="R36" i="36"/>
  <c r="H36" i="36"/>
  <c r="G36" i="36"/>
  <c r="F36" i="36"/>
  <c r="I36" i="36" s="1"/>
  <c r="AG35" i="36"/>
  <c r="AF35" i="36"/>
  <c r="AE35" i="36"/>
  <c r="AD35" i="36"/>
  <c r="U35" i="36"/>
  <c r="T35" i="36"/>
  <c r="S35" i="36"/>
  <c r="R35" i="36"/>
  <c r="H35" i="36"/>
  <c r="G35" i="36"/>
  <c r="F35" i="36"/>
  <c r="I35" i="36" s="1"/>
  <c r="AG34" i="36"/>
  <c r="AF34" i="36"/>
  <c r="AE34" i="36"/>
  <c r="AD34" i="36"/>
  <c r="T34" i="36"/>
  <c r="S34" i="36"/>
  <c r="R34" i="36"/>
  <c r="U34" i="36" s="1"/>
  <c r="I34" i="36"/>
  <c r="H34" i="36"/>
  <c r="G34" i="36"/>
  <c r="F34" i="36"/>
  <c r="AF31" i="36"/>
  <c r="AE31" i="36"/>
  <c r="AD31" i="36"/>
  <c r="AG31" i="36" s="1"/>
  <c r="U31" i="36"/>
  <c r="T31" i="36"/>
  <c r="S31" i="36"/>
  <c r="R31" i="36"/>
  <c r="I31" i="36"/>
  <c r="H31" i="36"/>
  <c r="G31" i="36"/>
  <c r="F31" i="36"/>
  <c r="AF30" i="36"/>
  <c r="AE30" i="36"/>
  <c r="AD30" i="36"/>
  <c r="AG30" i="36" s="1"/>
  <c r="U30" i="36"/>
  <c r="T30" i="36"/>
  <c r="S30" i="36"/>
  <c r="R30" i="36"/>
  <c r="H30" i="36"/>
  <c r="G30" i="36"/>
  <c r="F30" i="36"/>
  <c r="I30" i="36" s="1"/>
  <c r="AG29" i="36"/>
  <c r="AF29" i="36"/>
  <c r="AE29" i="36"/>
  <c r="AD29" i="36"/>
  <c r="T29" i="36"/>
  <c r="S29" i="36"/>
  <c r="R29" i="36"/>
  <c r="U29" i="36" s="1"/>
  <c r="I29" i="36"/>
  <c r="H29" i="36"/>
  <c r="G29" i="36"/>
  <c r="F29" i="36"/>
  <c r="AF28" i="36"/>
  <c r="AE28" i="36"/>
  <c r="AD28" i="36"/>
  <c r="AG28" i="36" s="1"/>
  <c r="U28" i="36"/>
  <c r="T28" i="36"/>
  <c r="S28" i="36"/>
  <c r="R28" i="36"/>
  <c r="H28" i="36"/>
  <c r="G28" i="36"/>
  <c r="F28" i="36"/>
  <c r="I28" i="36" s="1"/>
  <c r="AG27" i="36"/>
  <c r="AF27" i="36"/>
  <c r="AE27" i="36"/>
  <c r="AD27" i="36"/>
  <c r="U27" i="36"/>
  <c r="T27" i="36"/>
  <c r="S27" i="36"/>
  <c r="R27" i="36"/>
  <c r="H27" i="36"/>
  <c r="G27" i="36"/>
  <c r="F27" i="36"/>
  <c r="I27" i="36" s="1"/>
  <c r="AG26" i="36"/>
  <c r="AF26" i="36"/>
  <c r="AE26" i="36"/>
  <c r="AD26" i="36"/>
  <c r="T26" i="36"/>
  <c r="S26" i="36"/>
  <c r="R26" i="36"/>
  <c r="U26" i="36" s="1"/>
  <c r="I26" i="36"/>
  <c r="H26" i="36"/>
  <c r="G26" i="36"/>
  <c r="F26" i="36"/>
  <c r="AF25" i="36"/>
  <c r="AE25" i="36"/>
  <c r="AD25" i="36"/>
  <c r="AG25" i="36" s="1"/>
  <c r="U25" i="36"/>
  <c r="T25" i="36"/>
  <c r="S25" i="36"/>
  <c r="R25" i="36"/>
  <c r="H25" i="36"/>
  <c r="G25" i="36"/>
  <c r="F25" i="36"/>
  <c r="I25" i="36" s="1"/>
  <c r="AG24" i="36"/>
  <c r="AF24" i="36"/>
  <c r="AE24" i="36"/>
  <c r="AD24" i="36"/>
  <c r="T24" i="36"/>
  <c r="S24" i="36"/>
  <c r="R24" i="36"/>
  <c r="U24" i="36" s="1"/>
  <c r="I24" i="36"/>
  <c r="H24" i="36"/>
  <c r="G24" i="36"/>
  <c r="F24" i="36"/>
  <c r="AF23" i="36"/>
  <c r="AE23" i="36"/>
  <c r="AD23" i="36"/>
  <c r="AG23" i="36" s="1"/>
  <c r="U23" i="36"/>
  <c r="T23" i="36"/>
  <c r="S23" i="36"/>
  <c r="R23" i="36"/>
  <c r="H23" i="36"/>
  <c r="G23" i="36"/>
  <c r="F23" i="36"/>
  <c r="I23" i="36" s="1"/>
  <c r="AF22" i="36"/>
  <c r="AE22" i="36"/>
  <c r="AD22" i="36"/>
  <c r="AG22" i="36" s="1"/>
  <c r="U22" i="36"/>
  <c r="T22" i="36"/>
  <c r="S22" i="36"/>
  <c r="R22" i="36"/>
  <c r="J22" i="36"/>
  <c r="K22" i="36" s="1"/>
  <c r="K39" i="44" s="1"/>
  <c r="I22" i="36"/>
  <c r="H22" i="36"/>
  <c r="G22" i="36"/>
  <c r="F22" i="36"/>
  <c r="AF21" i="36"/>
  <c r="AE21" i="36"/>
  <c r="AD21" i="36"/>
  <c r="AG21" i="36" s="1"/>
  <c r="U21" i="36"/>
  <c r="T21" i="36"/>
  <c r="S21" i="36"/>
  <c r="R21" i="36"/>
  <c r="H21" i="36"/>
  <c r="G21" i="36"/>
  <c r="F21" i="36"/>
  <c r="I21" i="36" s="1"/>
  <c r="AG20" i="36"/>
  <c r="AF20" i="36"/>
  <c r="AE20" i="36"/>
  <c r="AD20" i="36"/>
  <c r="T20" i="36"/>
  <c r="S20" i="36"/>
  <c r="R20" i="36"/>
  <c r="U20" i="36" s="1"/>
  <c r="I20" i="36"/>
  <c r="H20" i="36"/>
  <c r="G20" i="36"/>
  <c r="F20" i="36"/>
  <c r="AF19" i="36"/>
  <c r="AE19" i="36"/>
  <c r="AD19" i="36"/>
  <c r="AG19" i="36" s="1"/>
  <c r="U19" i="36"/>
  <c r="T19" i="36"/>
  <c r="S19" i="36"/>
  <c r="R19" i="36"/>
  <c r="H19" i="36"/>
  <c r="G19" i="36"/>
  <c r="F19" i="36"/>
  <c r="I19" i="36" s="1"/>
  <c r="AG18" i="36"/>
  <c r="AF18" i="36"/>
  <c r="AE18" i="36"/>
  <c r="AD18" i="36"/>
  <c r="T18" i="36"/>
  <c r="S18" i="36"/>
  <c r="R18" i="36"/>
  <c r="U18" i="36" s="1"/>
  <c r="I18" i="36"/>
  <c r="H18" i="36"/>
  <c r="G18" i="36"/>
  <c r="F18" i="36"/>
  <c r="AF17" i="36"/>
  <c r="AE17" i="36"/>
  <c r="AD17" i="36"/>
  <c r="AG17" i="36" s="1"/>
  <c r="T17" i="36"/>
  <c r="S17" i="36"/>
  <c r="R17" i="36"/>
  <c r="U17" i="36" s="1"/>
  <c r="I17" i="36"/>
  <c r="H17" i="36"/>
  <c r="G17" i="36"/>
  <c r="F17" i="36"/>
  <c r="AF16" i="36"/>
  <c r="AE16" i="36"/>
  <c r="AD16" i="36"/>
  <c r="AG16" i="36" s="1"/>
  <c r="U16" i="36"/>
  <c r="T16" i="36"/>
  <c r="S16" i="36"/>
  <c r="R16" i="36"/>
  <c r="H16" i="36"/>
  <c r="G16" i="36"/>
  <c r="F16" i="36"/>
  <c r="I16" i="36" s="1"/>
  <c r="AG15" i="36"/>
  <c r="AF15" i="36"/>
  <c r="AE15" i="36"/>
  <c r="AD15" i="36"/>
  <c r="T15" i="36"/>
  <c r="S15" i="36"/>
  <c r="R15" i="36"/>
  <c r="U15" i="36" s="1"/>
  <c r="I15" i="36"/>
  <c r="H15" i="36"/>
  <c r="G15" i="36"/>
  <c r="F15" i="36"/>
  <c r="AF14" i="36"/>
  <c r="AE14" i="36"/>
  <c r="AD14" i="36"/>
  <c r="AG14" i="36" s="1"/>
  <c r="AH7" i="36" s="1"/>
  <c r="U14" i="36"/>
  <c r="T14" i="36"/>
  <c r="S14" i="36"/>
  <c r="R14" i="36"/>
  <c r="H14" i="36"/>
  <c r="G14" i="36"/>
  <c r="F14" i="36"/>
  <c r="I14" i="36" s="1"/>
  <c r="AG13" i="36"/>
  <c r="AF13" i="36"/>
  <c r="AE13" i="36"/>
  <c r="AD13" i="36"/>
  <c r="T13" i="36"/>
  <c r="S13" i="36"/>
  <c r="R13" i="36"/>
  <c r="U13" i="36" s="1"/>
  <c r="I13" i="36"/>
  <c r="H13" i="36"/>
  <c r="G13" i="36"/>
  <c r="F13" i="36"/>
  <c r="AH12" i="36"/>
  <c r="AG12" i="36"/>
  <c r="AF12" i="36"/>
  <c r="AE12" i="36"/>
  <c r="AD12" i="36"/>
  <c r="T12" i="36"/>
  <c r="S12" i="36"/>
  <c r="R12" i="36"/>
  <c r="U12" i="36" s="1"/>
  <c r="V22" i="36" s="1"/>
  <c r="W22" i="36" s="1"/>
  <c r="K39" i="45" s="1"/>
  <c r="L39" i="45" s="1"/>
  <c r="H12" i="36"/>
  <c r="G12" i="36"/>
  <c r="F12" i="36"/>
  <c r="I12" i="36" s="1"/>
  <c r="AG11" i="36"/>
  <c r="AF11" i="36"/>
  <c r="AE11" i="36"/>
  <c r="AD11" i="36"/>
  <c r="T11" i="36"/>
  <c r="S11" i="36"/>
  <c r="R11" i="36"/>
  <c r="U11" i="36" s="1"/>
  <c r="I11" i="36"/>
  <c r="H11" i="36"/>
  <c r="G11" i="36"/>
  <c r="F11" i="36"/>
  <c r="AF10" i="36"/>
  <c r="AE10" i="36"/>
  <c r="AD10" i="36"/>
  <c r="AG10" i="36" s="1"/>
  <c r="U10" i="36"/>
  <c r="T10" i="36"/>
  <c r="S10" i="36"/>
  <c r="R10" i="36"/>
  <c r="H10" i="36"/>
  <c r="G10" i="36"/>
  <c r="F10" i="36"/>
  <c r="I10" i="36" s="1"/>
  <c r="AG9" i="36"/>
  <c r="AF9" i="36"/>
  <c r="AE9" i="36"/>
  <c r="AD9" i="36"/>
  <c r="T9" i="36"/>
  <c r="S9" i="36"/>
  <c r="R9" i="36"/>
  <c r="U9" i="36" s="1"/>
  <c r="V7" i="36" s="1"/>
  <c r="W7" i="36" s="1"/>
  <c r="I9" i="36"/>
  <c r="J7" i="36" s="1"/>
  <c r="K7" i="36" s="1"/>
  <c r="E39" i="44" s="1"/>
  <c r="H9" i="36"/>
  <c r="G9" i="36"/>
  <c r="F9" i="36"/>
  <c r="AF8" i="36"/>
  <c r="AE8" i="36"/>
  <c r="AD8" i="36"/>
  <c r="AG8" i="36" s="1"/>
  <c r="U8" i="36"/>
  <c r="V17" i="36" s="1"/>
  <c r="W17" i="36" s="1"/>
  <c r="I39" i="45" s="1"/>
  <c r="J39" i="45" s="1"/>
  <c r="T8" i="36"/>
  <c r="S8" i="36"/>
  <c r="R8" i="36"/>
  <c r="H8" i="36"/>
  <c r="G8" i="36"/>
  <c r="F8" i="36"/>
  <c r="I8" i="36" s="1"/>
  <c r="J17" i="36" s="1"/>
  <c r="K17" i="36" s="1"/>
  <c r="I39" i="44" s="1"/>
  <c r="AG7" i="36"/>
  <c r="AH27" i="36" s="1"/>
  <c r="AF7" i="36"/>
  <c r="AE7" i="36"/>
  <c r="AD7" i="36"/>
  <c r="U7" i="36"/>
  <c r="V27" i="36" s="1"/>
  <c r="W27" i="36" s="1"/>
  <c r="O39" i="45" s="1"/>
  <c r="P39" i="45" s="1"/>
  <c r="T7" i="36"/>
  <c r="S7" i="36"/>
  <c r="R7" i="36"/>
  <c r="H7" i="36"/>
  <c r="G7" i="36"/>
  <c r="F7" i="36"/>
  <c r="I7" i="36" s="1"/>
  <c r="AB3" i="36"/>
  <c r="AA3" i="36"/>
  <c r="Z3" i="36"/>
  <c r="P3" i="36"/>
  <c r="O3" i="36"/>
  <c r="N3" i="36"/>
  <c r="D3" i="36"/>
  <c r="C3" i="36"/>
  <c r="B3" i="36"/>
  <c r="M2" i="36"/>
  <c r="A2" i="36"/>
  <c r="AF41" i="35"/>
  <c r="AE41" i="35"/>
  <c r="AD41" i="35"/>
  <c r="AG41" i="35" s="1"/>
  <c r="U41" i="35"/>
  <c r="T41" i="35"/>
  <c r="S41" i="35"/>
  <c r="R41" i="35"/>
  <c r="H41" i="35"/>
  <c r="G41" i="35"/>
  <c r="F41" i="35"/>
  <c r="I41" i="35" s="1"/>
  <c r="AG40" i="35"/>
  <c r="AF40" i="35"/>
  <c r="AE40" i="35"/>
  <c r="AD40" i="35"/>
  <c r="T40" i="35"/>
  <c r="S40" i="35"/>
  <c r="R40" i="35"/>
  <c r="U40" i="35" s="1"/>
  <c r="I40" i="35"/>
  <c r="H40" i="35"/>
  <c r="G40" i="35"/>
  <c r="F40" i="35"/>
  <c r="AF39" i="35"/>
  <c r="AE39" i="35"/>
  <c r="AD39" i="35"/>
  <c r="AG39" i="35" s="1"/>
  <c r="U39" i="35"/>
  <c r="T39" i="35"/>
  <c r="S39" i="35"/>
  <c r="R39" i="35"/>
  <c r="H39" i="35"/>
  <c r="G39" i="35"/>
  <c r="F39" i="35"/>
  <c r="I39" i="35" s="1"/>
  <c r="AG38" i="35"/>
  <c r="AF38" i="35"/>
  <c r="AE38" i="35"/>
  <c r="AD38" i="35"/>
  <c r="T38" i="35"/>
  <c r="S38" i="35"/>
  <c r="R38" i="35"/>
  <c r="U38" i="35" s="1"/>
  <c r="I38" i="35"/>
  <c r="H38" i="35"/>
  <c r="G38" i="35"/>
  <c r="F38" i="35"/>
  <c r="AF37" i="35"/>
  <c r="AE37" i="35"/>
  <c r="AD37" i="35"/>
  <c r="AG37" i="35" s="1"/>
  <c r="U37" i="35"/>
  <c r="T37" i="35"/>
  <c r="S37" i="35"/>
  <c r="R37" i="35"/>
  <c r="I37" i="35"/>
  <c r="H37" i="35"/>
  <c r="G37" i="35"/>
  <c r="F37" i="35"/>
  <c r="AF36" i="35"/>
  <c r="AE36" i="35"/>
  <c r="AD36" i="35"/>
  <c r="AG36" i="35" s="1"/>
  <c r="U36" i="35"/>
  <c r="T36" i="35"/>
  <c r="S36" i="35"/>
  <c r="R36" i="35"/>
  <c r="H36" i="35"/>
  <c r="G36" i="35"/>
  <c r="F36" i="35"/>
  <c r="I36" i="35" s="1"/>
  <c r="AG35" i="35"/>
  <c r="AF35" i="35"/>
  <c r="AE35" i="35"/>
  <c r="AD35" i="35"/>
  <c r="T35" i="35"/>
  <c r="S35" i="35"/>
  <c r="R35" i="35"/>
  <c r="U35" i="35" s="1"/>
  <c r="I35" i="35"/>
  <c r="H35" i="35"/>
  <c r="G35" i="35"/>
  <c r="F35" i="35"/>
  <c r="AF34" i="35"/>
  <c r="AE34" i="35"/>
  <c r="AD34" i="35"/>
  <c r="AG34" i="35" s="1"/>
  <c r="AH35" i="35" s="1"/>
  <c r="AI37" i="35" s="1"/>
  <c r="U34" i="35"/>
  <c r="T34" i="35"/>
  <c r="S34" i="35"/>
  <c r="R34" i="35"/>
  <c r="I34" i="35"/>
  <c r="J35" i="35" s="1"/>
  <c r="K37" i="35" s="1"/>
  <c r="Q38" i="44" s="1"/>
  <c r="H34" i="35"/>
  <c r="G34" i="35"/>
  <c r="F34" i="35"/>
  <c r="AF31" i="35"/>
  <c r="AE31" i="35"/>
  <c r="AD31" i="35"/>
  <c r="AG31" i="35" s="1"/>
  <c r="U31" i="35"/>
  <c r="T31" i="35"/>
  <c r="S31" i="35"/>
  <c r="R31" i="35"/>
  <c r="H31" i="35"/>
  <c r="G31" i="35"/>
  <c r="F31" i="35"/>
  <c r="I31" i="35" s="1"/>
  <c r="AG30" i="35"/>
  <c r="AF30" i="35"/>
  <c r="AE30" i="35"/>
  <c r="AD30" i="35"/>
  <c r="T30" i="35"/>
  <c r="S30" i="35"/>
  <c r="R30" i="35"/>
  <c r="U30" i="35" s="1"/>
  <c r="I30" i="35"/>
  <c r="H30" i="35"/>
  <c r="G30" i="35"/>
  <c r="F30" i="35"/>
  <c r="AF29" i="35"/>
  <c r="AE29" i="35"/>
  <c r="AD29" i="35"/>
  <c r="AG29" i="35" s="1"/>
  <c r="U29" i="35"/>
  <c r="T29" i="35"/>
  <c r="S29" i="35"/>
  <c r="R29" i="35"/>
  <c r="H29" i="35"/>
  <c r="G29" i="35"/>
  <c r="F29" i="35"/>
  <c r="I29" i="35" s="1"/>
  <c r="AG28" i="35"/>
  <c r="AF28" i="35"/>
  <c r="AE28" i="35"/>
  <c r="AD28" i="35"/>
  <c r="T28" i="35"/>
  <c r="S28" i="35"/>
  <c r="R28" i="35"/>
  <c r="U28" i="35" s="1"/>
  <c r="I28" i="35"/>
  <c r="H28" i="35"/>
  <c r="G28" i="35"/>
  <c r="F28" i="35"/>
  <c r="AG27" i="35"/>
  <c r="AF27" i="35"/>
  <c r="AE27" i="35"/>
  <c r="AD27" i="35"/>
  <c r="T27" i="35"/>
  <c r="S27" i="35"/>
  <c r="R27" i="35"/>
  <c r="U27" i="35" s="1"/>
  <c r="H27" i="35"/>
  <c r="G27" i="35"/>
  <c r="F27" i="35"/>
  <c r="I27" i="35" s="1"/>
  <c r="AG26" i="35"/>
  <c r="AH27" i="35" s="1"/>
  <c r="AF26" i="35"/>
  <c r="AE26" i="35"/>
  <c r="AD26" i="35"/>
  <c r="T26" i="35"/>
  <c r="S26" i="35"/>
  <c r="R26" i="35"/>
  <c r="U26" i="35" s="1"/>
  <c r="I26" i="35"/>
  <c r="H26" i="35"/>
  <c r="G26" i="35"/>
  <c r="F26" i="35"/>
  <c r="AF25" i="35"/>
  <c r="AE25" i="35"/>
  <c r="AD25" i="35"/>
  <c r="AG25" i="35" s="1"/>
  <c r="U25" i="35"/>
  <c r="T25" i="35"/>
  <c r="S25" i="35"/>
  <c r="R25" i="35"/>
  <c r="H25" i="35"/>
  <c r="G25" i="35"/>
  <c r="F25" i="35"/>
  <c r="I25" i="35" s="1"/>
  <c r="AG24" i="35"/>
  <c r="AF24" i="35"/>
  <c r="AE24" i="35"/>
  <c r="AD24" i="35"/>
  <c r="T24" i="35"/>
  <c r="S24" i="35"/>
  <c r="R24" i="35"/>
  <c r="U24" i="35" s="1"/>
  <c r="I24" i="35"/>
  <c r="H24" i="35"/>
  <c r="G24" i="35"/>
  <c r="F24" i="35"/>
  <c r="AF23" i="35"/>
  <c r="AE23" i="35"/>
  <c r="AD23" i="35"/>
  <c r="AG23" i="35" s="1"/>
  <c r="U23" i="35"/>
  <c r="T23" i="35"/>
  <c r="S23" i="35"/>
  <c r="R23" i="35"/>
  <c r="H23" i="35"/>
  <c r="G23" i="35"/>
  <c r="F23" i="35"/>
  <c r="I23" i="35" s="1"/>
  <c r="AG22" i="35"/>
  <c r="AF22" i="35"/>
  <c r="AE22" i="35"/>
  <c r="AD22" i="35"/>
  <c r="U22" i="35"/>
  <c r="T22" i="35"/>
  <c r="S22" i="35"/>
  <c r="R22" i="35"/>
  <c r="H22" i="35"/>
  <c r="G22" i="35"/>
  <c r="F22" i="35"/>
  <c r="I22" i="35" s="1"/>
  <c r="AG21" i="35"/>
  <c r="AF21" i="35"/>
  <c r="AE21" i="35"/>
  <c r="AD21" i="35"/>
  <c r="T21" i="35"/>
  <c r="S21" i="35"/>
  <c r="R21" i="35"/>
  <c r="U21" i="35" s="1"/>
  <c r="I21" i="35"/>
  <c r="H21" i="35"/>
  <c r="G21" i="35"/>
  <c r="F21" i="35"/>
  <c r="AF20" i="35"/>
  <c r="AE20" i="35"/>
  <c r="AD20" i="35"/>
  <c r="AG20" i="35" s="1"/>
  <c r="U20" i="35"/>
  <c r="T20" i="35"/>
  <c r="S20" i="35"/>
  <c r="R20" i="35"/>
  <c r="H20" i="35"/>
  <c r="G20" i="35"/>
  <c r="F20" i="35"/>
  <c r="I20" i="35" s="1"/>
  <c r="AG19" i="35"/>
  <c r="AF19" i="35"/>
  <c r="AE19" i="35"/>
  <c r="AD19" i="35"/>
  <c r="T19" i="35"/>
  <c r="S19" i="35"/>
  <c r="R19" i="35"/>
  <c r="U19" i="35" s="1"/>
  <c r="I19" i="35"/>
  <c r="H19" i="35"/>
  <c r="G19" i="35"/>
  <c r="F19" i="35"/>
  <c r="AF18" i="35"/>
  <c r="AE18" i="35"/>
  <c r="AD18" i="35"/>
  <c r="AG18" i="35" s="1"/>
  <c r="U18" i="35"/>
  <c r="T18" i="35"/>
  <c r="S18" i="35"/>
  <c r="R18" i="35"/>
  <c r="H18" i="35"/>
  <c r="G18" i="35"/>
  <c r="F18" i="35"/>
  <c r="I18" i="35" s="1"/>
  <c r="AF17" i="35"/>
  <c r="AE17" i="35"/>
  <c r="AD17" i="35"/>
  <c r="AG17" i="35" s="1"/>
  <c r="U17" i="35"/>
  <c r="V22" i="35" s="1"/>
  <c r="W22" i="35" s="1"/>
  <c r="K38" i="45" s="1"/>
  <c r="L38" i="45" s="1"/>
  <c r="T17" i="35"/>
  <c r="S17" i="35"/>
  <c r="R17" i="35"/>
  <c r="I17" i="35"/>
  <c r="H17" i="35"/>
  <c r="G17" i="35"/>
  <c r="F17" i="35"/>
  <c r="AF16" i="35"/>
  <c r="AE16" i="35"/>
  <c r="AD16" i="35"/>
  <c r="AG16" i="35" s="1"/>
  <c r="U16" i="35"/>
  <c r="T16" i="35"/>
  <c r="S16" i="35"/>
  <c r="R16" i="35"/>
  <c r="H16" i="35"/>
  <c r="G16" i="35"/>
  <c r="F16" i="35"/>
  <c r="I16" i="35" s="1"/>
  <c r="AG15" i="35"/>
  <c r="AF15" i="35"/>
  <c r="AE15" i="35"/>
  <c r="AD15" i="35"/>
  <c r="T15" i="35"/>
  <c r="S15" i="35"/>
  <c r="R15" i="35"/>
  <c r="U15" i="35" s="1"/>
  <c r="I15" i="35"/>
  <c r="H15" i="35"/>
  <c r="G15" i="35"/>
  <c r="F15" i="35"/>
  <c r="AF14" i="35"/>
  <c r="AE14" i="35"/>
  <c r="AD14" i="35"/>
  <c r="AG14" i="35" s="1"/>
  <c r="U14" i="35"/>
  <c r="T14" i="35"/>
  <c r="S14" i="35"/>
  <c r="R14" i="35"/>
  <c r="H14" i="35"/>
  <c r="G14" i="35"/>
  <c r="F14" i="35"/>
  <c r="I14" i="35" s="1"/>
  <c r="AG13" i="35"/>
  <c r="AF13" i="35"/>
  <c r="AE13" i="35"/>
  <c r="AD13" i="35"/>
  <c r="T13" i="35"/>
  <c r="S13" i="35"/>
  <c r="R13" i="35"/>
  <c r="U13" i="35" s="1"/>
  <c r="I13" i="35"/>
  <c r="H13" i="35"/>
  <c r="G13" i="35"/>
  <c r="F13" i="35"/>
  <c r="AF12" i="35"/>
  <c r="AE12" i="35"/>
  <c r="AD12" i="35"/>
  <c r="AG12" i="35" s="1"/>
  <c r="AH22" i="35" s="1"/>
  <c r="T12" i="35"/>
  <c r="S12" i="35"/>
  <c r="R12" i="35"/>
  <c r="U12" i="35" s="1"/>
  <c r="I12" i="35"/>
  <c r="H12" i="35"/>
  <c r="G12" i="35"/>
  <c r="F12" i="35"/>
  <c r="AF11" i="35"/>
  <c r="AE11" i="35"/>
  <c r="AD11" i="35"/>
  <c r="AG11" i="35" s="1"/>
  <c r="U11" i="35"/>
  <c r="T11" i="35"/>
  <c r="S11" i="35"/>
  <c r="R11" i="35"/>
  <c r="H11" i="35"/>
  <c r="G11" i="35"/>
  <c r="F11" i="35"/>
  <c r="I11" i="35" s="1"/>
  <c r="J12" i="35" s="1"/>
  <c r="K12" i="35" s="1"/>
  <c r="G38" i="44" s="1"/>
  <c r="AG10" i="35"/>
  <c r="AF10" i="35"/>
  <c r="AE10" i="35"/>
  <c r="AD10" i="35"/>
  <c r="T10" i="35"/>
  <c r="S10" i="35"/>
  <c r="R10" i="35"/>
  <c r="U10" i="35" s="1"/>
  <c r="I10" i="35"/>
  <c r="H10" i="35"/>
  <c r="G10" i="35"/>
  <c r="F10" i="35"/>
  <c r="AF9" i="35"/>
  <c r="AE9" i="35"/>
  <c r="AD9" i="35"/>
  <c r="AG9" i="35" s="1"/>
  <c r="AH7" i="35" s="1"/>
  <c r="U9" i="35"/>
  <c r="V7" i="35" s="1"/>
  <c r="W7" i="35" s="1"/>
  <c r="E38" i="45" s="1"/>
  <c r="T9" i="35"/>
  <c r="S9" i="35"/>
  <c r="R9" i="35"/>
  <c r="H9" i="35"/>
  <c r="G9" i="35"/>
  <c r="F9" i="35"/>
  <c r="I9" i="35" s="1"/>
  <c r="J7" i="35" s="1"/>
  <c r="K7" i="35" s="1"/>
  <c r="AG8" i="35"/>
  <c r="AF8" i="35"/>
  <c r="AE8" i="35"/>
  <c r="AD8" i="35"/>
  <c r="T8" i="35"/>
  <c r="S8" i="35"/>
  <c r="R8" i="35"/>
  <c r="U8" i="35" s="1"/>
  <c r="V17" i="35" s="1"/>
  <c r="W17" i="35" s="1"/>
  <c r="I38" i="45" s="1"/>
  <c r="J38" i="45" s="1"/>
  <c r="I8" i="35"/>
  <c r="J17" i="35" s="1"/>
  <c r="K17" i="35" s="1"/>
  <c r="I38" i="44" s="1"/>
  <c r="H8" i="35"/>
  <c r="G8" i="35"/>
  <c r="F8" i="35"/>
  <c r="AG7" i="35"/>
  <c r="AF7" i="35"/>
  <c r="AE7" i="35"/>
  <c r="AD7" i="35"/>
  <c r="T7" i="35"/>
  <c r="S7" i="35"/>
  <c r="R7" i="35"/>
  <c r="U7" i="35" s="1"/>
  <c r="H7" i="35"/>
  <c r="G7" i="35"/>
  <c r="F7" i="35"/>
  <c r="I7" i="35" s="1"/>
  <c r="J27" i="35" s="1"/>
  <c r="K27" i="35" s="1"/>
  <c r="O38" i="44" s="1"/>
  <c r="AB3" i="35"/>
  <c r="AA3" i="35"/>
  <c r="Z3" i="35"/>
  <c r="P3" i="35"/>
  <c r="O3" i="35"/>
  <c r="N3" i="35"/>
  <c r="D3" i="35"/>
  <c r="C3" i="35"/>
  <c r="B3" i="35"/>
  <c r="M2" i="35"/>
  <c r="A2" i="35"/>
  <c r="AG41" i="34"/>
  <c r="AF41" i="34"/>
  <c r="AE41" i="34"/>
  <c r="AD41" i="34"/>
  <c r="U41" i="34"/>
  <c r="T41" i="34"/>
  <c r="S41" i="34"/>
  <c r="R41" i="34"/>
  <c r="I41" i="34"/>
  <c r="H41" i="34"/>
  <c r="G41" i="34"/>
  <c r="F41" i="34"/>
  <c r="AG40" i="34"/>
  <c r="AF40" i="34"/>
  <c r="AE40" i="34"/>
  <c r="AD40" i="34"/>
  <c r="U40" i="34"/>
  <c r="T40" i="34"/>
  <c r="S40" i="34"/>
  <c r="R40" i="34"/>
  <c r="I40" i="34"/>
  <c r="H40" i="34"/>
  <c r="G40" i="34"/>
  <c r="F40" i="34"/>
  <c r="AG39" i="34"/>
  <c r="AF39" i="34"/>
  <c r="AE39" i="34"/>
  <c r="AD39" i="34"/>
  <c r="U39" i="34"/>
  <c r="T39" i="34"/>
  <c r="S39" i="34"/>
  <c r="R39" i="34"/>
  <c r="I39" i="34"/>
  <c r="H39" i="34"/>
  <c r="G39" i="34"/>
  <c r="F39" i="34"/>
  <c r="AG38" i="34"/>
  <c r="AF38" i="34"/>
  <c r="AE38" i="34"/>
  <c r="AD38" i="34"/>
  <c r="U38" i="34"/>
  <c r="T38" i="34"/>
  <c r="S38" i="34"/>
  <c r="R38" i="34"/>
  <c r="I38" i="34"/>
  <c r="J35" i="34" s="1"/>
  <c r="K37" i="34" s="1"/>
  <c r="Q37" i="44" s="1"/>
  <c r="H38" i="34"/>
  <c r="G38" i="34"/>
  <c r="F38" i="34"/>
  <c r="AF37" i="34"/>
  <c r="AE37" i="34"/>
  <c r="AD37" i="34"/>
  <c r="AG37" i="34" s="1"/>
  <c r="U37" i="34"/>
  <c r="T37" i="34"/>
  <c r="S37" i="34"/>
  <c r="R37" i="34"/>
  <c r="H37" i="34"/>
  <c r="G37" i="34"/>
  <c r="F37" i="34"/>
  <c r="I37" i="34" s="1"/>
  <c r="AG36" i="34"/>
  <c r="AF36" i="34"/>
  <c r="AE36" i="34"/>
  <c r="AD36" i="34"/>
  <c r="T36" i="34"/>
  <c r="S36" i="34"/>
  <c r="R36" i="34"/>
  <c r="U36" i="34" s="1"/>
  <c r="I36" i="34"/>
  <c r="H36" i="34"/>
  <c r="G36" i="34"/>
  <c r="F36" i="34"/>
  <c r="AG35" i="34"/>
  <c r="AF35" i="34"/>
  <c r="AE35" i="34"/>
  <c r="AD35" i="34"/>
  <c r="T35" i="34"/>
  <c r="S35" i="34"/>
  <c r="R35" i="34"/>
  <c r="U35" i="34" s="1"/>
  <c r="I35" i="34"/>
  <c r="H35" i="34"/>
  <c r="G35" i="34"/>
  <c r="F35" i="34"/>
  <c r="AF34" i="34"/>
  <c r="AE34" i="34"/>
  <c r="AD34" i="34"/>
  <c r="AG34" i="34" s="1"/>
  <c r="AH35" i="34" s="1"/>
  <c r="AI37" i="34" s="1"/>
  <c r="U34" i="34"/>
  <c r="T34" i="34"/>
  <c r="S34" i="34"/>
  <c r="R34" i="34"/>
  <c r="H34" i="34"/>
  <c r="G34" i="34"/>
  <c r="F34" i="34"/>
  <c r="I34" i="34" s="1"/>
  <c r="AG31" i="34"/>
  <c r="AF31" i="34"/>
  <c r="AE31" i="34"/>
  <c r="AD31" i="34"/>
  <c r="T31" i="34"/>
  <c r="S31" i="34"/>
  <c r="R31" i="34"/>
  <c r="U31" i="34" s="1"/>
  <c r="H31" i="34"/>
  <c r="G31" i="34"/>
  <c r="F31" i="34"/>
  <c r="I31" i="34" s="1"/>
  <c r="AG30" i="34"/>
  <c r="AF30" i="34"/>
  <c r="AE30" i="34"/>
  <c r="AD30" i="34"/>
  <c r="T30" i="34"/>
  <c r="S30" i="34"/>
  <c r="R30" i="34"/>
  <c r="U30" i="34" s="1"/>
  <c r="I30" i="34"/>
  <c r="H30" i="34"/>
  <c r="G30" i="34"/>
  <c r="F30" i="34"/>
  <c r="AF29" i="34"/>
  <c r="AE29" i="34"/>
  <c r="AD29" i="34"/>
  <c r="AG29" i="34" s="1"/>
  <c r="U29" i="34"/>
  <c r="T29" i="34"/>
  <c r="S29" i="34"/>
  <c r="R29" i="34"/>
  <c r="H29" i="34"/>
  <c r="G29" i="34"/>
  <c r="F29" i="34"/>
  <c r="I29" i="34" s="1"/>
  <c r="AG28" i="34"/>
  <c r="AF28" i="34"/>
  <c r="AE28" i="34"/>
  <c r="AD28" i="34"/>
  <c r="T28" i="34"/>
  <c r="S28" i="34"/>
  <c r="R28" i="34"/>
  <c r="U28" i="34" s="1"/>
  <c r="I28" i="34"/>
  <c r="H28" i="34"/>
  <c r="G28" i="34"/>
  <c r="F28" i="34"/>
  <c r="AF27" i="34"/>
  <c r="AE27" i="34"/>
  <c r="AD27" i="34"/>
  <c r="AG27" i="34" s="1"/>
  <c r="T27" i="34"/>
  <c r="S27" i="34"/>
  <c r="R27" i="34"/>
  <c r="U27" i="34" s="1"/>
  <c r="V17" i="34" s="1"/>
  <c r="W17" i="34" s="1"/>
  <c r="I37" i="45" s="1"/>
  <c r="J37" i="45" s="1"/>
  <c r="I27" i="34"/>
  <c r="H27" i="34"/>
  <c r="G27" i="34"/>
  <c r="F27" i="34"/>
  <c r="AF26" i="34"/>
  <c r="AE26" i="34"/>
  <c r="AD26" i="34"/>
  <c r="AG26" i="34" s="1"/>
  <c r="U26" i="34"/>
  <c r="T26" i="34"/>
  <c r="S26" i="34"/>
  <c r="R26" i="34"/>
  <c r="H26" i="34"/>
  <c r="G26" i="34"/>
  <c r="F26" i="34"/>
  <c r="I26" i="34" s="1"/>
  <c r="AG25" i="34"/>
  <c r="AF25" i="34"/>
  <c r="AE25" i="34"/>
  <c r="AD25" i="34"/>
  <c r="T25" i="34"/>
  <c r="S25" i="34"/>
  <c r="R25" i="34"/>
  <c r="U25" i="34" s="1"/>
  <c r="I25" i="34"/>
  <c r="H25" i="34"/>
  <c r="G25" i="34"/>
  <c r="F25" i="34"/>
  <c r="AF24" i="34"/>
  <c r="AE24" i="34"/>
  <c r="AD24" i="34"/>
  <c r="AG24" i="34" s="1"/>
  <c r="U24" i="34"/>
  <c r="T24" i="34"/>
  <c r="S24" i="34"/>
  <c r="R24" i="34"/>
  <c r="H24" i="34"/>
  <c r="G24" i="34"/>
  <c r="F24" i="34"/>
  <c r="I24" i="34" s="1"/>
  <c r="AG23" i="34"/>
  <c r="AF23" i="34"/>
  <c r="AE23" i="34"/>
  <c r="AD23" i="34"/>
  <c r="T23" i="34"/>
  <c r="S23" i="34"/>
  <c r="R23" i="34"/>
  <c r="U23" i="34" s="1"/>
  <c r="I23" i="34"/>
  <c r="H23" i="34"/>
  <c r="G23" i="34"/>
  <c r="F23" i="34"/>
  <c r="AG22" i="34"/>
  <c r="AF22" i="34"/>
  <c r="AE22" i="34"/>
  <c r="AD22" i="34"/>
  <c r="T22" i="34"/>
  <c r="S22" i="34"/>
  <c r="R22" i="34"/>
  <c r="U22" i="34" s="1"/>
  <c r="H22" i="34"/>
  <c r="G22" i="34"/>
  <c r="F22" i="34"/>
  <c r="I22" i="34" s="1"/>
  <c r="AG21" i="34"/>
  <c r="AF21" i="34"/>
  <c r="AE21" i="34"/>
  <c r="AD21" i="34"/>
  <c r="T21" i="34"/>
  <c r="S21" i="34"/>
  <c r="R21" i="34"/>
  <c r="U21" i="34" s="1"/>
  <c r="I21" i="34"/>
  <c r="H21" i="34"/>
  <c r="G21" i="34"/>
  <c r="F21" i="34"/>
  <c r="AF20" i="34"/>
  <c r="AE20" i="34"/>
  <c r="AD20" i="34"/>
  <c r="AG20" i="34" s="1"/>
  <c r="U20" i="34"/>
  <c r="T20" i="34"/>
  <c r="S20" i="34"/>
  <c r="R20" i="34"/>
  <c r="H20" i="34"/>
  <c r="G20" i="34"/>
  <c r="F20" i="34"/>
  <c r="I20" i="34" s="1"/>
  <c r="AG19" i="34"/>
  <c r="AF19" i="34"/>
  <c r="AE19" i="34"/>
  <c r="AD19" i="34"/>
  <c r="T19" i="34"/>
  <c r="S19" i="34"/>
  <c r="R19" i="34"/>
  <c r="U19" i="34" s="1"/>
  <c r="I19" i="34"/>
  <c r="H19" i="34"/>
  <c r="G19" i="34"/>
  <c r="F19" i="34"/>
  <c r="AF18" i="34"/>
  <c r="AE18" i="34"/>
  <c r="AD18" i="34"/>
  <c r="AG18" i="34" s="1"/>
  <c r="U18" i="34"/>
  <c r="T18" i="34"/>
  <c r="S18" i="34"/>
  <c r="R18" i="34"/>
  <c r="H18" i="34"/>
  <c r="G18" i="34"/>
  <c r="F18" i="34"/>
  <c r="I18" i="34" s="1"/>
  <c r="AI17" i="34"/>
  <c r="AH17" i="34"/>
  <c r="I37" i="46" s="1"/>
  <c r="J37" i="46" s="1"/>
  <c r="AG17" i="34"/>
  <c r="AH22" i="34" s="1"/>
  <c r="AF17" i="34"/>
  <c r="AE17" i="34"/>
  <c r="AD17" i="34"/>
  <c r="U17" i="34"/>
  <c r="T17" i="34"/>
  <c r="S17" i="34"/>
  <c r="R17" i="34"/>
  <c r="H17" i="34"/>
  <c r="G17" i="34"/>
  <c r="F17" i="34"/>
  <c r="I17" i="34" s="1"/>
  <c r="AG16" i="34"/>
  <c r="AF16" i="34"/>
  <c r="AE16" i="34"/>
  <c r="AD16" i="34"/>
  <c r="T16" i="34"/>
  <c r="S16" i="34"/>
  <c r="R16" i="34"/>
  <c r="U16" i="34" s="1"/>
  <c r="I16" i="34"/>
  <c r="H16" i="34"/>
  <c r="G16" i="34"/>
  <c r="F16" i="34"/>
  <c r="AF15" i="34"/>
  <c r="AE15" i="34"/>
  <c r="AD15" i="34"/>
  <c r="AG15" i="34" s="1"/>
  <c r="U15" i="34"/>
  <c r="T15" i="34"/>
  <c r="S15" i="34"/>
  <c r="R15" i="34"/>
  <c r="H15" i="34"/>
  <c r="G15" i="34"/>
  <c r="F15" i="34"/>
  <c r="I15" i="34" s="1"/>
  <c r="AG14" i="34"/>
  <c r="AF14" i="34"/>
  <c r="AE14" i="34"/>
  <c r="AD14" i="34"/>
  <c r="T14" i="34"/>
  <c r="S14" i="34"/>
  <c r="R14" i="34"/>
  <c r="U14" i="34" s="1"/>
  <c r="I14" i="34"/>
  <c r="J7" i="34" s="1"/>
  <c r="K7" i="34" s="1"/>
  <c r="H14" i="34"/>
  <c r="G14" i="34"/>
  <c r="F14" i="34"/>
  <c r="AF13" i="34"/>
  <c r="AE13" i="34"/>
  <c r="AD13" i="34"/>
  <c r="AG13" i="34" s="1"/>
  <c r="U13" i="34"/>
  <c r="T13" i="34"/>
  <c r="S13" i="34"/>
  <c r="R13" i="34"/>
  <c r="H13" i="34"/>
  <c r="G13" i="34"/>
  <c r="F13" i="34"/>
  <c r="I13" i="34" s="1"/>
  <c r="J12" i="34" s="1"/>
  <c r="K12" i="34" s="1"/>
  <c r="G37" i="44" s="1"/>
  <c r="AF12" i="34"/>
  <c r="AE12" i="34"/>
  <c r="AD12" i="34"/>
  <c r="AG12" i="34" s="1"/>
  <c r="U12" i="34"/>
  <c r="T12" i="34"/>
  <c r="S12" i="34"/>
  <c r="R12" i="34"/>
  <c r="I12" i="34"/>
  <c r="H12" i="34"/>
  <c r="G12" i="34"/>
  <c r="F12" i="34"/>
  <c r="AF11" i="34"/>
  <c r="AE11" i="34"/>
  <c r="AD11" i="34"/>
  <c r="AG11" i="34" s="1"/>
  <c r="U11" i="34"/>
  <c r="V12" i="34" s="1"/>
  <c r="W12" i="34" s="1"/>
  <c r="G37" i="45" s="1"/>
  <c r="H37" i="45" s="1"/>
  <c r="T11" i="34"/>
  <c r="S11" i="34"/>
  <c r="R11" i="34"/>
  <c r="H11" i="34"/>
  <c r="G11" i="34"/>
  <c r="F11" i="34"/>
  <c r="I11" i="34" s="1"/>
  <c r="AG10" i="34"/>
  <c r="AF10" i="34"/>
  <c r="AE10" i="34"/>
  <c r="AD10" i="34"/>
  <c r="T10" i="34"/>
  <c r="S10" i="34"/>
  <c r="R10" i="34"/>
  <c r="U10" i="34" s="1"/>
  <c r="I10" i="34"/>
  <c r="H10" i="34"/>
  <c r="G10" i="34"/>
  <c r="F10" i="34"/>
  <c r="AF9" i="34"/>
  <c r="AE9" i="34"/>
  <c r="AD9" i="34"/>
  <c r="AG9" i="34" s="1"/>
  <c r="AH7" i="34" s="1"/>
  <c r="U9" i="34"/>
  <c r="V7" i="34" s="1"/>
  <c r="W7" i="34" s="1"/>
  <c r="T9" i="34"/>
  <c r="S9" i="34"/>
  <c r="R9" i="34"/>
  <c r="H9" i="34"/>
  <c r="G9" i="34"/>
  <c r="F9" i="34"/>
  <c r="I9" i="34" s="1"/>
  <c r="AG8" i="34"/>
  <c r="AF8" i="34"/>
  <c r="AE8" i="34"/>
  <c r="AD8" i="34"/>
  <c r="T8" i="34"/>
  <c r="S8" i="34"/>
  <c r="R8" i="34"/>
  <c r="U8" i="34" s="1"/>
  <c r="I8" i="34"/>
  <c r="H8" i="34"/>
  <c r="G8" i="34"/>
  <c r="F8" i="34"/>
  <c r="AF7" i="34"/>
  <c r="AE7" i="34"/>
  <c r="AD7" i="34"/>
  <c r="AG7" i="34" s="1"/>
  <c r="T7" i="34"/>
  <c r="S7" i="34"/>
  <c r="R7" i="34"/>
  <c r="U7" i="34" s="1"/>
  <c r="V27" i="34" s="1"/>
  <c r="W27" i="34" s="1"/>
  <c r="O37" i="45" s="1"/>
  <c r="P37" i="45" s="1"/>
  <c r="I7" i="34"/>
  <c r="J27" i="34" s="1"/>
  <c r="K27" i="34" s="1"/>
  <c r="O37" i="44" s="1"/>
  <c r="H7" i="34"/>
  <c r="G7" i="34"/>
  <c r="F7" i="34"/>
  <c r="AB3" i="34"/>
  <c r="AA3" i="34"/>
  <c r="Z3" i="34"/>
  <c r="P3" i="34"/>
  <c r="O3" i="34"/>
  <c r="N3" i="34"/>
  <c r="D3" i="34"/>
  <c r="C3" i="34"/>
  <c r="B3" i="34"/>
  <c r="M2" i="34"/>
  <c r="A2" i="34"/>
  <c r="AG41" i="33"/>
  <c r="AF41" i="33"/>
  <c r="AE41" i="33"/>
  <c r="AD41" i="33"/>
  <c r="T41" i="33"/>
  <c r="S41" i="33"/>
  <c r="R41" i="33"/>
  <c r="U41" i="33" s="1"/>
  <c r="I41" i="33"/>
  <c r="H41" i="33"/>
  <c r="G41" i="33"/>
  <c r="F41" i="33"/>
  <c r="AF40" i="33"/>
  <c r="AE40" i="33"/>
  <c r="AD40" i="33"/>
  <c r="AG40" i="33" s="1"/>
  <c r="U40" i="33"/>
  <c r="T40" i="33"/>
  <c r="S40" i="33"/>
  <c r="R40" i="33"/>
  <c r="H40" i="33"/>
  <c r="G40" i="33"/>
  <c r="F40" i="33"/>
  <c r="I40" i="33" s="1"/>
  <c r="AG39" i="33"/>
  <c r="AF39" i="33"/>
  <c r="AE39" i="33"/>
  <c r="AD39" i="33"/>
  <c r="T39" i="33"/>
  <c r="S39" i="33"/>
  <c r="R39" i="33"/>
  <c r="U39" i="33" s="1"/>
  <c r="I39" i="33"/>
  <c r="H39" i="33"/>
  <c r="G39" i="33"/>
  <c r="F39" i="33"/>
  <c r="AF38" i="33"/>
  <c r="AE38" i="33"/>
  <c r="AD38" i="33"/>
  <c r="AG38" i="33" s="1"/>
  <c r="U38" i="33"/>
  <c r="T38" i="33"/>
  <c r="S38" i="33"/>
  <c r="R38" i="33"/>
  <c r="H38" i="33"/>
  <c r="G38" i="33"/>
  <c r="F38" i="33"/>
  <c r="I38" i="33" s="1"/>
  <c r="AG37" i="33"/>
  <c r="AF37" i="33"/>
  <c r="AE37" i="33"/>
  <c r="AD37" i="33"/>
  <c r="U37" i="33"/>
  <c r="T37" i="33"/>
  <c r="S37" i="33"/>
  <c r="R37" i="33"/>
  <c r="H37" i="33"/>
  <c r="G37" i="33"/>
  <c r="F37" i="33"/>
  <c r="I37" i="33" s="1"/>
  <c r="AG36" i="33"/>
  <c r="AF36" i="33"/>
  <c r="AE36" i="33"/>
  <c r="AD36" i="33"/>
  <c r="T36" i="33"/>
  <c r="S36" i="33"/>
  <c r="R36" i="33"/>
  <c r="U36" i="33" s="1"/>
  <c r="I36" i="33"/>
  <c r="H36" i="33"/>
  <c r="G36" i="33"/>
  <c r="F36" i="33"/>
  <c r="AF35" i="33"/>
  <c r="AE35" i="33"/>
  <c r="AD35" i="33"/>
  <c r="AG35" i="33" s="1"/>
  <c r="U35" i="33"/>
  <c r="T35" i="33"/>
  <c r="S35" i="33"/>
  <c r="R35" i="33"/>
  <c r="I35" i="33"/>
  <c r="H35" i="33"/>
  <c r="G35" i="33"/>
  <c r="F35" i="33"/>
  <c r="AF34" i="33"/>
  <c r="AE34" i="33"/>
  <c r="AD34" i="33"/>
  <c r="AG34" i="33" s="1"/>
  <c r="U34" i="33"/>
  <c r="V35" i="33" s="1"/>
  <c r="W37" i="33" s="1"/>
  <c r="Q36" i="45" s="1"/>
  <c r="R36" i="45" s="1"/>
  <c r="T34" i="33"/>
  <c r="S34" i="33"/>
  <c r="R34" i="33"/>
  <c r="H34" i="33"/>
  <c r="G34" i="33"/>
  <c r="F34" i="33"/>
  <c r="I34" i="33" s="1"/>
  <c r="J35" i="33" s="1"/>
  <c r="K37" i="33" s="1"/>
  <c r="Q36" i="44" s="1"/>
  <c r="AG31" i="33"/>
  <c r="AF31" i="33"/>
  <c r="AE31" i="33"/>
  <c r="AD31" i="33"/>
  <c r="T31" i="33"/>
  <c r="S31" i="33"/>
  <c r="R31" i="33"/>
  <c r="U31" i="33" s="1"/>
  <c r="I31" i="33"/>
  <c r="H31" i="33"/>
  <c r="G31" i="33"/>
  <c r="F31" i="33"/>
  <c r="AF30" i="33"/>
  <c r="AE30" i="33"/>
  <c r="AD30" i="33"/>
  <c r="AG30" i="33" s="1"/>
  <c r="U30" i="33"/>
  <c r="T30" i="33"/>
  <c r="S30" i="33"/>
  <c r="R30" i="33"/>
  <c r="H30" i="33"/>
  <c r="G30" i="33"/>
  <c r="F30" i="33"/>
  <c r="I30" i="33" s="1"/>
  <c r="AG29" i="33"/>
  <c r="AF29" i="33"/>
  <c r="AE29" i="33"/>
  <c r="AD29" i="33"/>
  <c r="T29" i="33"/>
  <c r="S29" i="33"/>
  <c r="R29" i="33"/>
  <c r="U29" i="33" s="1"/>
  <c r="I29" i="33"/>
  <c r="H29" i="33"/>
  <c r="G29" i="33"/>
  <c r="F29" i="33"/>
  <c r="AF28" i="33"/>
  <c r="AE28" i="33"/>
  <c r="AD28" i="33"/>
  <c r="AG28" i="33" s="1"/>
  <c r="U28" i="33"/>
  <c r="T28" i="33"/>
  <c r="S28" i="33"/>
  <c r="R28" i="33"/>
  <c r="H28" i="33"/>
  <c r="G28" i="33"/>
  <c r="F28" i="33"/>
  <c r="I28" i="33" s="1"/>
  <c r="AF27" i="33"/>
  <c r="AE27" i="33"/>
  <c r="AD27" i="33"/>
  <c r="AG27" i="33" s="1"/>
  <c r="U27" i="33"/>
  <c r="T27" i="33"/>
  <c r="S27" i="33"/>
  <c r="R27" i="33"/>
  <c r="I27" i="33"/>
  <c r="H27" i="33"/>
  <c r="G27" i="33"/>
  <c r="F27" i="33"/>
  <c r="AF26" i="33"/>
  <c r="AE26" i="33"/>
  <c r="AD26" i="33"/>
  <c r="AG26" i="33" s="1"/>
  <c r="U26" i="33"/>
  <c r="T26" i="33"/>
  <c r="S26" i="33"/>
  <c r="R26" i="33"/>
  <c r="H26" i="33"/>
  <c r="G26" i="33"/>
  <c r="F26" i="33"/>
  <c r="I26" i="33" s="1"/>
  <c r="AG25" i="33"/>
  <c r="AF25" i="33"/>
  <c r="AE25" i="33"/>
  <c r="AD25" i="33"/>
  <c r="T25" i="33"/>
  <c r="S25" i="33"/>
  <c r="R25" i="33"/>
  <c r="U25" i="33" s="1"/>
  <c r="I25" i="33"/>
  <c r="H25" i="33"/>
  <c r="G25" i="33"/>
  <c r="F25" i="33"/>
  <c r="AF24" i="33"/>
  <c r="AE24" i="33"/>
  <c r="AD24" i="33"/>
  <c r="AG24" i="33" s="1"/>
  <c r="U24" i="33"/>
  <c r="T24" i="33"/>
  <c r="S24" i="33"/>
  <c r="R24" i="33"/>
  <c r="H24" i="33"/>
  <c r="G24" i="33"/>
  <c r="F24" i="33"/>
  <c r="I24" i="33" s="1"/>
  <c r="AG23" i="33"/>
  <c r="AF23" i="33"/>
  <c r="AE23" i="33"/>
  <c r="AD23" i="33"/>
  <c r="T23" i="33"/>
  <c r="S23" i="33"/>
  <c r="R23" i="33"/>
  <c r="U23" i="33" s="1"/>
  <c r="I23" i="33"/>
  <c r="J27" i="33" s="1"/>
  <c r="K27" i="33" s="1"/>
  <c r="O36" i="44" s="1"/>
  <c r="H23" i="33"/>
  <c r="G23" i="33"/>
  <c r="F23" i="33"/>
  <c r="AF22" i="33"/>
  <c r="AE22" i="33"/>
  <c r="AD22" i="33"/>
  <c r="AG22" i="33" s="1"/>
  <c r="T22" i="33"/>
  <c r="S22" i="33"/>
  <c r="R22" i="33"/>
  <c r="U22" i="33" s="1"/>
  <c r="I22" i="33"/>
  <c r="H22" i="33"/>
  <c r="G22" i="33"/>
  <c r="F22" i="33"/>
  <c r="AF21" i="33"/>
  <c r="AE21" i="33"/>
  <c r="AD21" i="33"/>
  <c r="AG21" i="33" s="1"/>
  <c r="U21" i="33"/>
  <c r="T21" i="33"/>
  <c r="S21" i="33"/>
  <c r="R21" i="33"/>
  <c r="H21" i="33"/>
  <c r="G21" i="33"/>
  <c r="F21" i="33"/>
  <c r="I21" i="33" s="1"/>
  <c r="AG20" i="33"/>
  <c r="AF20" i="33"/>
  <c r="AE20" i="33"/>
  <c r="AD20" i="33"/>
  <c r="T20" i="33"/>
  <c r="S20" i="33"/>
  <c r="R20" i="33"/>
  <c r="U20" i="33" s="1"/>
  <c r="I20" i="33"/>
  <c r="H20" i="33"/>
  <c r="G20" i="33"/>
  <c r="F20" i="33"/>
  <c r="AF19" i="33"/>
  <c r="AE19" i="33"/>
  <c r="AD19" i="33"/>
  <c r="AG19" i="33" s="1"/>
  <c r="U19" i="33"/>
  <c r="T19" i="33"/>
  <c r="S19" i="33"/>
  <c r="R19" i="33"/>
  <c r="H19" i="33"/>
  <c r="G19" i="33"/>
  <c r="F19" i="33"/>
  <c r="I19" i="33" s="1"/>
  <c r="J7" i="33" s="1"/>
  <c r="K7" i="33" s="1"/>
  <c r="AG18" i="33"/>
  <c r="AF18" i="33"/>
  <c r="AE18" i="33"/>
  <c r="AD18" i="33"/>
  <c r="T18" i="33"/>
  <c r="S18" i="33"/>
  <c r="R18" i="33"/>
  <c r="U18" i="33" s="1"/>
  <c r="V12" i="33" s="1"/>
  <c r="W12" i="33" s="1"/>
  <c r="G36" i="45" s="1"/>
  <c r="H36" i="45" s="1"/>
  <c r="I18" i="33"/>
  <c r="H18" i="33"/>
  <c r="G18" i="33"/>
  <c r="F18" i="33"/>
  <c r="AG17" i="33"/>
  <c r="AF17" i="33"/>
  <c r="AE17" i="33"/>
  <c r="AD17" i="33"/>
  <c r="T17" i="33"/>
  <c r="S17" i="33"/>
  <c r="R17" i="33"/>
  <c r="U17" i="33" s="1"/>
  <c r="H17" i="33"/>
  <c r="G17" i="33"/>
  <c r="F17" i="33"/>
  <c r="I17" i="33" s="1"/>
  <c r="AG16" i="33"/>
  <c r="AF16" i="33"/>
  <c r="AE16" i="33"/>
  <c r="AD16" i="33"/>
  <c r="T16" i="33"/>
  <c r="S16" i="33"/>
  <c r="R16" i="33"/>
  <c r="U16" i="33" s="1"/>
  <c r="I16" i="33"/>
  <c r="H16" i="33"/>
  <c r="G16" i="33"/>
  <c r="F16" i="33"/>
  <c r="AF15" i="33"/>
  <c r="AE15" i="33"/>
  <c r="AD15" i="33"/>
  <c r="AG15" i="33" s="1"/>
  <c r="U15" i="33"/>
  <c r="T15" i="33"/>
  <c r="S15" i="33"/>
  <c r="R15" i="33"/>
  <c r="H15" i="33"/>
  <c r="G15" i="33"/>
  <c r="F15" i="33"/>
  <c r="I15" i="33" s="1"/>
  <c r="AG14" i="33"/>
  <c r="AF14" i="33"/>
  <c r="AE14" i="33"/>
  <c r="AD14" i="33"/>
  <c r="T14" i="33"/>
  <c r="S14" i="33"/>
  <c r="R14" i="33"/>
  <c r="U14" i="33" s="1"/>
  <c r="I14" i="33"/>
  <c r="H14" i="33"/>
  <c r="G14" i="33"/>
  <c r="F14" i="33"/>
  <c r="AF13" i="33"/>
  <c r="AE13" i="33"/>
  <c r="AD13" i="33"/>
  <c r="AG13" i="33" s="1"/>
  <c r="U13" i="33"/>
  <c r="T13" i="33"/>
  <c r="S13" i="33"/>
  <c r="R13" i="33"/>
  <c r="H13" i="33"/>
  <c r="G13" i="33"/>
  <c r="F13" i="33"/>
  <c r="I13" i="33" s="1"/>
  <c r="AG12" i="33"/>
  <c r="AF12" i="33"/>
  <c r="AE12" i="33"/>
  <c r="AD12" i="33"/>
  <c r="U12" i="33"/>
  <c r="V22" i="33" s="1"/>
  <c r="W22" i="33" s="1"/>
  <c r="K36" i="45" s="1"/>
  <c r="L36" i="45" s="1"/>
  <c r="T12" i="33"/>
  <c r="S12" i="33"/>
  <c r="R12" i="33"/>
  <c r="H12" i="33"/>
  <c r="G12" i="33"/>
  <c r="F12" i="33"/>
  <c r="I12" i="33" s="1"/>
  <c r="J22" i="33" s="1"/>
  <c r="K22" i="33" s="1"/>
  <c r="K36" i="44" s="1"/>
  <c r="AG11" i="33"/>
  <c r="AH12" i="33" s="1"/>
  <c r="AF11" i="33"/>
  <c r="AE11" i="33"/>
  <c r="AD11" i="33"/>
  <c r="T11" i="33"/>
  <c r="S11" i="33"/>
  <c r="R11" i="33"/>
  <c r="U11" i="33" s="1"/>
  <c r="I11" i="33"/>
  <c r="J12" i="33" s="1"/>
  <c r="K12" i="33" s="1"/>
  <c r="G36" i="44" s="1"/>
  <c r="H11" i="33"/>
  <c r="G11" i="33"/>
  <c r="F11" i="33"/>
  <c r="AF10" i="33"/>
  <c r="AE10" i="33"/>
  <c r="AD10" i="33"/>
  <c r="AG10" i="33" s="1"/>
  <c r="U10" i="33"/>
  <c r="T10" i="33"/>
  <c r="S10" i="33"/>
  <c r="R10" i="33"/>
  <c r="H10" i="33"/>
  <c r="G10" i="33"/>
  <c r="F10" i="33"/>
  <c r="I10" i="33" s="1"/>
  <c r="AG9" i="33"/>
  <c r="AF9" i="33"/>
  <c r="AE9" i="33"/>
  <c r="AD9" i="33"/>
  <c r="T9" i="33"/>
  <c r="S9" i="33"/>
  <c r="R9" i="33"/>
  <c r="U9" i="33" s="1"/>
  <c r="I9" i="33"/>
  <c r="H9" i="33"/>
  <c r="G9" i="33"/>
  <c r="F9" i="33"/>
  <c r="AF8" i="33"/>
  <c r="AE8" i="33"/>
  <c r="AD8" i="33"/>
  <c r="AG8" i="33" s="1"/>
  <c r="AH17" i="33" s="1"/>
  <c r="U8" i="33"/>
  <c r="T8" i="33"/>
  <c r="S8" i="33"/>
  <c r="R8" i="33"/>
  <c r="H8" i="33"/>
  <c r="G8" i="33"/>
  <c r="F8" i="33"/>
  <c r="I8" i="33" s="1"/>
  <c r="AF7" i="33"/>
  <c r="AE7" i="33"/>
  <c r="AD7" i="33"/>
  <c r="AG7" i="33" s="1"/>
  <c r="V7" i="33"/>
  <c r="W7" i="33" s="1"/>
  <c r="U7" i="33"/>
  <c r="V27" i="33" s="1"/>
  <c r="W27" i="33" s="1"/>
  <c r="O36" i="45" s="1"/>
  <c r="P36" i="45" s="1"/>
  <c r="T7" i="33"/>
  <c r="S7" i="33"/>
  <c r="R7" i="33"/>
  <c r="I7" i="33"/>
  <c r="H7" i="33"/>
  <c r="G7" i="33"/>
  <c r="F7" i="33"/>
  <c r="AB3" i="33"/>
  <c r="AA3" i="33"/>
  <c r="Z3" i="33"/>
  <c r="P3" i="33"/>
  <c r="O3" i="33"/>
  <c r="N3" i="33"/>
  <c r="D3" i="33"/>
  <c r="C3" i="33"/>
  <c r="B3" i="33"/>
  <c r="M2" i="33"/>
  <c r="A2" i="33"/>
  <c r="AF41" i="32"/>
  <c r="AE41" i="32"/>
  <c r="AD41" i="32"/>
  <c r="AG41" i="32" s="1"/>
  <c r="T41" i="32"/>
  <c r="S41" i="32"/>
  <c r="R41" i="32"/>
  <c r="U41" i="32" s="1"/>
  <c r="H41" i="32"/>
  <c r="G41" i="32"/>
  <c r="F41" i="32"/>
  <c r="I41" i="32" s="1"/>
  <c r="AF40" i="32"/>
  <c r="AE40" i="32"/>
  <c r="AD40" i="32"/>
  <c r="AG40" i="32" s="1"/>
  <c r="U40" i="32"/>
  <c r="T40" i="32"/>
  <c r="S40" i="32"/>
  <c r="R40" i="32"/>
  <c r="H40" i="32"/>
  <c r="G40" i="32"/>
  <c r="F40" i="32"/>
  <c r="I40" i="32" s="1"/>
  <c r="AG39" i="32"/>
  <c r="AF39" i="32"/>
  <c r="AE39" i="32"/>
  <c r="AD39" i="32"/>
  <c r="T39" i="32"/>
  <c r="S39" i="32"/>
  <c r="R39" i="32"/>
  <c r="U39" i="32" s="1"/>
  <c r="I39" i="32"/>
  <c r="H39" i="32"/>
  <c r="G39" i="32"/>
  <c r="F39" i="32"/>
  <c r="AF38" i="32"/>
  <c r="AE38" i="32"/>
  <c r="AD38" i="32"/>
  <c r="AG38" i="32" s="1"/>
  <c r="U38" i="32"/>
  <c r="T38" i="32"/>
  <c r="S38" i="32"/>
  <c r="R38" i="32"/>
  <c r="H38" i="32"/>
  <c r="G38" i="32"/>
  <c r="F38" i="32"/>
  <c r="I38" i="32" s="1"/>
  <c r="AG37" i="32"/>
  <c r="AF37" i="32"/>
  <c r="AE37" i="32"/>
  <c r="AD37" i="32"/>
  <c r="T37" i="32"/>
  <c r="S37" i="32"/>
  <c r="R37" i="32"/>
  <c r="U37" i="32" s="1"/>
  <c r="I37" i="32"/>
  <c r="H37" i="32"/>
  <c r="G37" i="32"/>
  <c r="F37" i="32"/>
  <c r="AF36" i="32"/>
  <c r="AE36" i="32"/>
  <c r="AD36" i="32"/>
  <c r="AG36" i="32" s="1"/>
  <c r="U36" i="32"/>
  <c r="T36" i="32"/>
  <c r="S36" i="32"/>
  <c r="R36" i="32"/>
  <c r="H36" i="32"/>
  <c r="G36" i="32"/>
  <c r="F36" i="32"/>
  <c r="I36" i="32" s="1"/>
  <c r="AF35" i="32"/>
  <c r="AE35" i="32"/>
  <c r="AD35" i="32"/>
  <c r="AG35" i="32" s="1"/>
  <c r="U35" i="32"/>
  <c r="T35" i="32"/>
  <c r="S35" i="32"/>
  <c r="R35" i="32"/>
  <c r="H35" i="32"/>
  <c r="G35" i="32"/>
  <c r="F35" i="32"/>
  <c r="I35" i="32" s="1"/>
  <c r="AG34" i="32"/>
  <c r="AF34" i="32"/>
  <c r="AE34" i="32"/>
  <c r="AD34" i="32"/>
  <c r="T34" i="32"/>
  <c r="S34" i="32"/>
  <c r="R34" i="32"/>
  <c r="U34" i="32" s="1"/>
  <c r="V35" i="32" s="1"/>
  <c r="W37" i="32" s="1"/>
  <c r="Q35" i="45" s="1"/>
  <c r="R35" i="45" s="1"/>
  <c r="I34" i="32"/>
  <c r="H34" i="32"/>
  <c r="G34" i="32"/>
  <c r="F34" i="32"/>
  <c r="AF31" i="32"/>
  <c r="AE31" i="32"/>
  <c r="AD31" i="32"/>
  <c r="AG31" i="32" s="1"/>
  <c r="T31" i="32"/>
  <c r="S31" i="32"/>
  <c r="R31" i="32"/>
  <c r="U31" i="32" s="1"/>
  <c r="I31" i="32"/>
  <c r="H31" i="32"/>
  <c r="G31" i="32"/>
  <c r="F31" i="32"/>
  <c r="AF30" i="32"/>
  <c r="AE30" i="32"/>
  <c r="AD30" i="32"/>
  <c r="AG30" i="32" s="1"/>
  <c r="U30" i="32"/>
  <c r="T30" i="32"/>
  <c r="S30" i="32"/>
  <c r="R30" i="32"/>
  <c r="H30" i="32"/>
  <c r="G30" i="32"/>
  <c r="F30" i="32"/>
  <c r="I30" i="32" s="1"/>
  <c r="AG29" i="32"/>
  <c r="AF29" i="32"/>
  <c r="AE29" i="32"/>
  <c r="AD29" i="32"/>
  <c r="T29" i="32"/>
  <c r="S29" i="32"/>
  <c r="R29" i="32"/>
  <c r="U29" i="32" s="1"/>
  <c r="I29" i="32"/>
  <c r="H29" i="32"/>
  <c r="G29" i="32"/>
  <c r="F29" i="32"/>
  <c r="AF28" i="32"/>
  <c r="AE28" i="32"/>
  <c r="AD28" i="32"/>
  <c r="AG28" i="32" s="1"/>
  <c r="U28" i="32"/>
  <c r="T28" i="32"/>
  <c r="S28" i="32"/>
  <c r="R28" i="32"/>
  <c r="H28" i="32"/>
  <c r="G28" i="32"/>
  <c r="F28" i="32"/>
  <c r="I28" i="32" s="1"/>
  <c r="AG27" i="32"/>
  <c r="AF27" i="32"/>
  <c r="AE27" i="32"/>
  <c r="AD27" i="32"/>
  <c r="U27" i="32"/>
  <c r="T27" i="32"/>
  <c r="S27" i="32"/>
  <c r="R27" i="32"/>
  <c r="H27" i="32"/>
  <c r="G27" i="32"/>
  <c r="F27" i="32"/>
  <c r="I27" i="32" s="1"/>
  <c r="AG26" i="32"/>
  <c r="AF26" i="32"/>
  <c r="AE26" i="32"/>
  <c r="AD26" i="32"/>
  <c r="T26" i="32"/>
  <c r="S26" i="32"/>
  <c r="R26" i="32"/>
  <c r="U26" i="32" s="1"/>
  <c r="I26" i="32"/>
  <c r="H26" i="32"/>
  <c r="G26" i="32"/>
  <c r="F26" i="32"/>
  <c r="AF25" i="32"/>
  <c r="AE25" i="32"/>
  <c r="AD25" i="32"/>
  <c r="AG25" i="32" s="1"/>
  <c r="U25" i="32"/>
  <c r="T25" i="32"/>
  <c r="S25" i="32"/>
  <c r="R25" i="32"/>
  <c r="H25" i="32"/>
  <c r="G25" i="32"/>
  <c r="F25" i="32"/>
  <c r="I25" i="32" s="1"/>
  <c r="AG24" i="32"/>
  <c r="AF24" i="32"/>
  <c r="AE24" i="32"/>
  <c r="AD24" i="32"/>
  <c r="T24" i="32"/>
  <c r="S24" i="32"/>
  <c r="R24" i="32"/>
  <c r="U24" i="32" s="1"/>
  <c r="I24" i="32"/>
  <c r="H24" i="32"/>
  <c r="G24" i="32"/>
  <c r="F24" i="32"/>
  <c r="AF23" i="32"/>
  <c r="AE23" i="32"/>
  <c r="AD23" i="32"/>
  <c r="AG23" i="32" s="1"/>
  <c r="U23" i="32"/>
  <c r="T23" i="32"/>
  <c r="S23" i="32"/>
  <c r="R23" i="32"/>
  <c r="H23" i="32"/>
  <c r="G23" i="32"/>
  <c r="F23" i="32"/>
  <c r="I23" i="32" s="1"/>
  <c r="AI22" i="32"/>
  <c r="AF22" i="32"/>
  <c r="AE22" i="32"/>
  <c r="AD22" i="32"/>
  <c r="AG22" i="32" s="1"/>
  <c r="U22" i="32"/>
  <c r="T22" i="32"/>
  <c r="S22" i="32"/>
  <c r="R22" i="32"/>
  <c r="I22" i="32"/>
  <c r="H22" i="32"/>
  <c r="G22" i="32"/>
  <c r="F22" i="32"/>
  <c r="AF21" i="32"/>
  <c r="AE21" i="32"/>
  <c r="AD21" i="32"/>
  <c r="AG21" i="32" s="1"/>
  <c r="U21" i="32"/>
  <c r="T21" i="32"/>
  <c r="S21" i="32"/>
  <c r="R21" i="32"/>
  <c r="H21" i="32"/>
  <c r="G21" i="32"/>
  <c r="F21" i="32"/>
  <c r="I21" i="32" s="1"/>
  <c r="J17" i="32" s="1"/>
  <c r="K17" i="32" s="1"/>
  <c r="I35" i="44" s="1"/>
  <c r="AG20" i="32"/>
  <c r="AF20" i="32"/>
  <c r="AE20" i="32"/>
  <c r="AD20" i="32"/>
  <c r="T20" i="32"/>
  <c r="S20" i="32"/>
  <c r="R20" i="32"/>
  <c r="U20" i="32" s="1"/>
  <c r="I20" i="32"/>
  <c r="H20" i="32"/>
  <c r="G20" i="32"/>
  <c r="F20" i="32"/>
  <c r="AF19" i="32"/>
  <c r="AE19" i="32"/>
  <c r="AD19" i="32"/>
  <c r="AG19" i="32" s="1"/>
  <c r="U19" i="32"/>
  <c r="T19" i="32"/>
  <c r="S19" i="32"/>
  <c r="R19" i="32"/>
  <c r="H19" i="32"/>
  <c r="G19" i="32"/>
  <c r="F19" i="32"/>
  <c r="I19" i="32" s="1"/>
  <c r="AG18" i="32"/>
  <c r="AF18" i="32"/>
  <c r="AE18" i="32"/>
  <c r="AD18" i="32"/>
  <c r="T18" i="32"/>
  <c r="S18" i="32"/>
  <c r="R18" i="32"/>
  <c r="U18" i="32" s="1"/>
  <c r="I18" i="32"/>
  <c r="H18" i="32"/>
  <c r="G18" i="32"/>
  <c r="F18" i="32"/>
  <c r="AF17" i="32"/>
  <c r="AE17" i="32"/>
  <c r="AD17" i="32"/>
  <c r="AG17" i="32" s="1"/>
  <c r="T17" i="32"/>
  <c r="S17" i="32"/>
  <c r="R17" i="32"/>
  <c r="U17" i="32" s="1"/>
  <c r="I17" i="32"/>
  <c r="H17" i="32"/>
  <c r="G17" i="32"/>
  <c r="F17" i="32"/>
  <c r="AF16" i="32"/>
  <c r="AE16" i="32"/>
  <c r="AD16" i="32"/>
  <c r="AG16" i="32" s="1"/>
  <c r="U16" i="32"/>
  <c r="T16" i="32"/>
  <c r="S16" i="32"/>
  <c r="R16" i="32"/>
  <c r="H16" i="32"/>
  <c r="G16" i="32"/>
  <c r="F16" i="32"/>
  <c r="I16" i="32" s="1"/>
  <c r="AG15" i="32"/>
  <c r="AF15" i="32"/>
  <c r="AE15" i="32"/>
  <c r="AD15" i="32"/>
  <c r="T15" i="32"/>
  <c r="S15" i="32"/>
  <c r="R15" i="32"/>
  <c r="U15" i="32" s="1"/>
  <c r="I15" i="32"/>
  <c r="H15" i="32"/>
  <c r="G15" i="32"/>
  <c r="F15" i="32"/>
  <c r="AF14" i="32"/>
  <c r="AE14" i="32"/>
  <c r="AD14" i="32"/>
  <c r="AG14" i="32" s="1"/>
  <c r="U14" i="32"/>
  <c r="T14" i="32"/>
  <c r="S14" i="32"/>
  <c r="R14" i="32"/>
  <c r="H14" i="32"/>
  <c r="G14" i="32"/>
  <c r="F14" i="32"/>
  <c r="I14" i="32" s="1"/>
  <c r="AG13" i="32"/>
  <c r="AF13" i="32"/>
  <c r="AE13" i="32"/>
  <c r="AD13" i="32"/>
  <c r="T13" i="32"/>
  <c r="S13" i="32"/>
  <c r="R13" i="32"/>
  <c r="U13" i="32" s="1"/>
  <c r="I13" i="32"/>
  <c r="H13" i="32"/>
  <c r="G13" i="32"/>
  <c r="F13" i="32"/>
  <c r="AH12" i="32"/>
  <c r="AG12" i="32"/>
  <c r="AH22" i="32" s="1"/>
  <c r="K35" i="46" s="1"/>
  <c r="L35" i="46" s="1"/>
  <c r="AF12" i="32"/>
  <c r="AE12" i="32"/>
  <c r="AD12" i="32"/>
  <c r="T12" i="32"/>
  <c r="S12" i="32"/>
  <c r="R12" i="32"/>
  <c r="U12" i="32" s="1"/>
  <c r="V22" i="32" s="1"/>
  <c r="W22" i="32" s="1"/>
  <c r="K35" i="45" s="1"/>
  <c r="L35" i="45" s="1"/>
  <c r="K12" i="32"/>
  <c r="G35" i="44" s="1"/>
  <c r="H12" i="32"/>
  <c r="G12" i="32"/>
  <c r="F12" i="32"/>
  <c r="I12" i="32" s="1"/>
  <c r="J22" i="32" s="1"/>
  <c r="K22" i="32" s="1"/>
  <c r="K35" i="44" s="1"/>
  <c r="AG11" i="32"/>
  <c r="AF11" i="32"/>
  <c r="AE11" i="32"/>
  <c r="AD11" i="32"/>
  <c r="T11" i="32"/>
  <c r="S11" i="32"/>
  <c r="R11" i="32"/>
  <c r="U11" i="32" s="1"/>
  <c r="V12" i="32" s="1"/>
  <c r="W12" i="32" s="1"/>
  <c r="G35" i="45" s="1"/>
  <c r="H35" i="45" s="1"/>
  <c r="I11" i="32"/>
  <c r="J12" i="32" s="1"/>
  <c r="H11" i="32"/>
  <c r="G11" i="32"/>
  <c r="F11" i="32"/>
  <c r="AF10" i="32"/>
  <c r="AE10" i="32"/>
  <c r="AD10" i="32"/>
  <c r="AG10" i="32" s="1"/>
  <c r="U10" i="32"/>
  <c r="V27" i="32" s="1"/>
  <c r="W27" i="32" s="1"/>
  <c r="O35" i="45" s="1"/>
  <c r="P35" i="45" s="1"/>
  <c r="T10" i="32"/>
  <c r="S10" i="32"/>
  <c r="R10" i="32"/>
  <c r="H10" i="32"/>
  <c r="G10" i="32"/>
  <c r="F10" i="32"/>
  <c r="I10" i="32" s="1"/>
  <c r="AG9" i="32"/>
  <c r="AH7" i="32" s="1"/>
  <c r="AF9" i="32"/>
  <c r="AE9" i="32"/>
  <c r="AD9" i="32"/>
  <c r="T9" i="32"/>
  <c r="S9" i="32"/>
  <c r="R9" i="32"/>
  <c r="U9" i="32" s="1"/>
  <c r="V7" i="32" s="1"/>
  <c r="W7" i="32" s="1"/>
  <c r="I9" i="32"/>
  <c r="J7" i="32" s="1"/>
  <c r="K7" i="32" s="1"/>
  <c r="E35" i="44" s="1"/>
  <c r="H9" i="32"/>
  <c r="G9" i="32"/>
  <c r="F9" i="32"/>
  <c r="AF8" i="32"/>
  <c r="AE8" i="32"/>
  <c r="AD8" i="32"/>
  <c r="AG8" i="32" s="1"/>
  <c r="U8" i="32"/>
  <c r="T8" i="32"/>
  <c r="S8" i="32"/>
  <c r="R8" i="32"/>
  <c r="H8" i="32"/>
  <c r="G8" i="32"/>
  <c r="F8" i="32"/>
  <c r="I8" i="32" s="1"/>
  <c r="AG7" i="32"/>
  <c r="AH27" i="32" s="1"/>
  <c r="AF7" i="32"/>
  <c r="AE7" i="32"/>
  <c r="AD7" i="32"/>
  <c r="U7" i="32"/>
  <c r="T7" i="32"/>
  <c r="S7" i="32"/>
  <c r="R7" i="32"/>
  <c r="H7" i="32"/>
  <c r="G7" i="32"/>
  <c r="F7" i="32"/>
  <c r="I7" i="32" s="1"/>
  <c r="AB3" i="32"/>
  <c r="AA3" i="32"/>
  <c r="Z3" i="32"/>
  <c r="P3" i="32"/>
  <c r="O3" i="32"/>
  <c r="N3" i="32"/>
  <c r="D3" i="32"/>
  <c r="C3" i="32"/>
  <c r="B3" i="32"/>
  <c r="M2" i="32"/>
  <c r="A2" i="32"/>
  <c r="AF41" i="31"/>
  <c r="AE41" i="31"/>
  <c r="AD41" i="31"/>
  <c r="AG41" i="31" s="1"/>
  <c r="U41" i="31"/>
  <c r="T41" i="31"/>
  <c r="S41" i="31"/>
  <c r="R41" i="31"/>
  <c r="H41" i="31"/>
  <c r="G41" i="31"/>
  <c r="F41" i="31"/>
  <c r="I41" i="31" s="1"/>
  <c r="AG40" i="31"/>
  <c r="AF40" i="31"/>
  <c r="AE40" i="31"/>
  <c r="AD40" i="31"/>
  <c r="T40" i="31"/>
  <c r="S40" i="31"/>
  <c r="R40" i="31"/>
  <c r="U40" i="31" s="1"/>
  <c r="I40" i="31"/>
  <c r="H40" i="31"/>
  <c r="G40" i="31"/>
  <c r="F40" i="31"/>
  <c r="AF39" i="31"/>
  <c r="AE39" i="31"/>
  <c r="AD39" i="31"/>
  <c r="AG39" i="31" s="1"/>
  <c r="U39" i="31"/>
  <c r="T39" i="31"/>
  <c r="S39" i="31"/>
  <c r="R39" i="31"/>
  <c r="H39" i="31"/>
  <c r="G39" i="31"/>
  <c r="F39" i="31"/>
  <c r="I39" i="31" s="1"/>
  <c r="AG38" i="31"/>
  <c r="AF38" i="31"/>
  <c r="AE38" i="31"/>
  <c r="AD38" i="31"/>
  <c r="T38" i="31"/>
  <c r="S38" i="31"/>
  <c r="R38" i="31"/>
  <c r="U38" i="31" s="1"/>
  <c r="I38" i="31"/>
  <c r="H38" i="31"/>
  <c r="G38" i="31"/>
  <c r="F38" i="31"/>
  <c r="AF37" i="31"/>
  <c r="AE37" i="31"/>
  <c r="AD37" i="31"/>
  <c r="AG37" i="31" s="1"/>
  <c r="T37" i="31"/>
  <c r="S37" i="31"/>
  <c r="R37" i="31"/>
  <c r="U37" i="31" s="1"/>
  <c r="I37" i="31"/>
  <c r="H37" i="31"/>
  <c r="G37" i="31"/>
  <c r="F37" i="31"/>
  <c r="AF36" i="31"/>
  <c r="AE36" i="31"/>
  <c r="AD36" i="31"/>
  <c r="AG36" i="31" s="1"/>
  <c r="U36" i="31"/>
  <c r="T36" i="31"/>
  <c r="S36" i="31"/>
  <c r="R36" i="31"/>
  <c r="H36" i="31"/>
  <c r="G36" i="31"/>
  <c r="F36" i="31"/>
  <c r="I36" i="31" s="1"/>
  <c r="AG35" i="31"/>
  <c r="AF35" i="31"/>
  <c r="AE35" i="31"/>
  <c r="AD35" i="31"/>
  <c r="T35" i="31"/>
  <c r="S35" i="31"/>
  <c r="R35" i="31"/>
  <c r="U35" i="31" s="1"/>
  <c r="H35" i="31"/>
  <c r="G35" i="31"/>
  <c r="F35" i="31"/>
  <c r="I35" i="31" s="1"/>
  <c r="AG34" i="31"/>
  <c r="AH35" i="31" s="1"/>
  <c r="AI37" i="31" s="1"/>
  <c r="AF34" i="31"/>
  <c r="AE34" i="31"/>
  <c r="AD34" i="31"/>
  <c r="T34" i="31"/>
  <c r="S34" i="31"/>
  <c r="R34" i="31"/>
  <c r="U34" i="31" s="1"/>
  <c r="I34" i="31"/>
  <c r="J35" i="31" s="1"/>
  <c r="K37" i="31" s="1"/>
  <c r="Q34" i="44" s="1"/>
  <c r="H34" i="31"/>
  <c r="G34" i="31"/>
  <c r="F34" i="31"/>
  <c r="AF31" i="31"/>
  <c r="AE31" i="31"/>
  <c r="AD31" i="31"/>
  <c r="AG31" i="31" s="1"/>
  <c r="U31" i="31"/>
  <c r="T31" i="31"/>
  <c r="S31" i="31"/>
  <c r="R31" i="31"/>
  <c r="H31" i="31"/>
  <c r="G31" i="31"/>
  <c r="F31" i="31"/>
  <c r="I31" i="31" s="1"/>
  <c r="AG30" i="31"/>
  <c r="AF30" i="31"/>
  <c r="AE30" i="31"/>
  <c r="AD30" i="31"/>
  <c r="T30" i="31"/>
  <c r="S30" i="31"/>
  <c r="R30" i="31"/>
  <c r="U30" i="31" s="1"/>
  <c r="I30" i="31"/>
  <c r="H30" i="31"/>
  <c r="G30" i="31"/>
  <c r="F30" i="31"/>
  <c r="AF29" i="31"/>
  <c r="AE29" i="31"/>
  <c r="AD29" i="31"/>
  <c r="AG29" i="31" s="1"/>
  <c r="U29" i="31"/>
  <c r="T29" i="31"/>
  <c r="S29" i="31"/>
  <c r="R29" i="31"/>
  <c r="H29" i="31"/>
  <c r="G29" i="31"/>
  <c r="F29" i="31"/>
  <c r="I29" i="31" s="1"/>
  <c r="AG28" i="31"/>
  <c r="AF28" i="31"/>
  <c r="AE28" i="31"/>
  <c r="AD28" i="31"/>
  <c r="T28" i="31"/>
  <c r="S28" i="31"/>
  <c r="R28" i="31"/>
  <c r="U28" i="31" s="1"/>
  <c r="I28" i="31"/>
  <c r="H28" i="31"/>
  <c r="G28" i="31"/>
  <c r="F28" i="31"/>
  <c r="AG27" i="31"/>
  <c r="AF27" i="31"/>
  <c r="AE27" i="31"/>
  <c r="AD27" i="31"/>
  <c r="T27" i="31"/>
  <c r="S27" i="31"/>
  <c r="R27" i="31"/>
  <c r="U27" i="31" s="1"/>
  <c r="H27" i="31"/>
  <c r="G27" i="31"/>
  <c r="F27" i="31"/>
  <c r="I27" i="31" s="1"/>
  <c r="AG26" i="31"/>
  <c r="AF26" i="31"/>
  <c r="AE26" i="31"/>
  <c r="AD26" i="31"/>
  <c r="T26" i="31"/>
  <c r="S26" i="31"/>
  <c r="R26" i="31"/>
  <c r="U26" i="31" s="1"/>
  <c r="I26" i="31"/>
  <c r="H26" i="31"/>
  <c r="G26" i="31"/>
  <c r="F26" i="31"/>
  <c r="AF25" i="31"/>
  <c r="AE25" i="31"/>
  <c r="AD25" i="31"/>
  <c r="AG25" i="31" s="1"/>
  <c r="U25" i="31"/>
  <c r="T25" i="31"/>
  <c r="S25" i="31"/>
  <c r="R25" i="31"/>
  <c r="H25" i="31"/>
  <c r="G25" i="31"/>
  <c r="F25" i="31"/>
  <c r="I25" i="31" s="1"/>
  <c r="AG24" i="31"/>
  <c r="AF24" i="31"/>
  <c r="AE24" i="31"/>
  <c r="AD24" i="31"/>
  <c r="T24" i="31"/>
  <c r="S24" i="31"/>
  <c r="R24" i="31"/>
  <c r="U24" i="31" s="1"/>
  <c r="I24" i="31"/>
  <c r="H24" i="31"/>
  <c r="G24" i="31"/>
  <c r="F24" i="31"/>
  <c r="AF23" i="31"/>
  <c r="AE23" i="31"/>
  <c r="AD23" i="31"/>
  <c r="AG23" i="31" s="1"/>
  <c r="U23" i="31"/>
  <c r="T23" i="31"/>
  <c r="S23" i="31"/>
  <c r="R23" i="31"/>
  <c r="H23" i="31"/>
  <c r="G23" i="31"/>
  <c r="F23" i="31"/>
  <c r="I23" i="31" s="1"/>
  <c r="AH22" i="31"/>
  <c r="K34" i="46" s="1"/>
  <c r="L34" i="46" s="1"/>
  <c r="AG22" i="31"/>
  <c r="AF22" i="31"/>
  <c r="AE22" i="31"/>
  <c r="AD22" i="31"/>
  <c r="U22" i="31"/>
  <c r="T22" i="31"/>
  <c r="S22" i="31"/>
  <c r="R22" i="31"/>
  <c r="H22" i="31"/>
  <c r="G22" i="31"/>
  <c r="F22" i="31"/>
  <c r="I22" i="31" s="1"/>
  <c r="AG21" i="31"/>
  <c r="AF21" i="31"/>
  <c r="AE21" i="31"/>
  <c r="AD21" i="31"/>
  <c r="T21" i="31"/>
  <c r="S21" i="31"/>
  <c r="R21" i="31"/>
  <c r="U21" i="31" s="1"/>
  <c r="I21" i="31"/>
  <c r="H21" i="31"/>
  <c r="G21" i="31"/>
  <c r="F21" i="31"/>
  <c r="AF20" i="31"/>
  <c r="AE20" i="31"/>
  <c r="AD20" i="31"/>
  <c r="AG20" i="31" s="1"/>
  <c r="U20" i="31"/>
  <c r="T20" i="31"/>
  <c r="S20" i="31"/>
  <c r="R20" i="31"/>
  <c r="H20" i="31"/>
  <c r="G20" i="31"/>
  <c r="F20" i="31"/>
  <c r="I20" i="31" s="1"/>
  <c r="AG19" i="31"/>
  <c r="AH7" i="31" s="1"/>
  <c r="AF19" i="31"/>
  <c r="AE19" i="31"/>
  <c r="AD19" i="31"/>
  <c r="T19" i="31"/>
  <c r="S19" i="31"/>
  <c r="R19" i="31"/>
  <c r="U19" i="31" s="1"/>
  <c r="I19" i="31"/>
  <c r="H19" i="31"/>
  <c r="G19" i="31"/>
  <c r="F19" i="31"/>
  <c r="AF18" i="31"/>
  <c r="AE18" i="31"/>
  <c r="AD18" i="31"/>
  <c r="AG18" i="31" s="1"/>
  <c r="U18" i="31"/>
  <c r="T18" i="31"/>
  <c r="S18" i="31"/>
  <c r="R18" i="31"/>
  <c r="H18" i="31"/>
  <c r="G18" i="31"/>
  <c r="F18" i="31"/>
  <c r="I18" i="31" s="1"/>
  <c r="AF17" i="31"/>
  <c r="AE17" i="31"/>
  <c r="AD17" i="31"/>
  <c r="AG17" i="31" s="1"/>
  <c r="U17" i="31"/>
  <c r="T17" i="31"/>
  <c r="S17" i="31"/>
  <c r="R17" i="31"/>
  <c r="I17" i="31"/>
  <c r="H17" i="31"/>
  <c r="G17" i="31"/>
  <c r="F17" i="31"/>
  <c r="AF16" i="31"/>
  <c r="AE16" i="31"/>
  <c r="AD16" i="31"/>
  <c r="AG16" i="31" s="1"/>
  <c r="U16" i="31"/>
  <c r="T16" i="31"/>
  <c r="S16" i="31"/>
  <c r="R16" i="31"/>
  <c r="H16" i="31"/>
  <c r="G16" i="31"/>
  <c r="F16" i="31"/>
  <c r="I16" i="31" s="1"/>
  <c r="AG15" i="31"/>
  <c r="AF15" i="31"/>
  <c r="AE15" i="31"/>
  <c r="AD15" i="31"/>
  <c r="T15" i="31"/>
  <c r="S15" i="31"/>
  <c r="R15" i="31"/>
  <c r="U15" i="31" s="1"/>
  <c r="I15" i="31"/>
  <c r="H15" i="31"/>
  <c r="G15" i="31"/>
  <c r="F15" i="31"/>
  <c r="AF14" i="31"/>
  <c r="AE14" i="31"/>
  <c r="AD14" i="31"/>
  <c r="AG14" i="31" s="1"/>
  <c r="U14" i="31"/>
  <c r="T14" i="31"/>
  <c r="S14" i="31"/>
  <c r="R14" i="31"/>
  <c r="H14" i="31"/>
  <c r="G14" i="31"/>
  <c r="F14" i="31"/>
  <c r="I14" i="31" s="1"/>
  <c r="AG13" i="31"/>
  <c r="AF13" i="31"/>
  <c r="AE13" i="31"/>
  <c r="AD13" i="31"/>
  <c r="T13" i="31"/>
  <c r="S13" i="31"/>
  <c r="R13" i="31"/>
  <c r="U13" i="31" s="1"/>
  <c r="I13" i="31"/>
  <c r="H13" i="31"/>
  <c r="G13" i="31"/>
  <c r="F13" i="31"/>
  <c r="AF12" i="31"/>
  <c r="AE12" i="31"/>
  <c r="AD12" i="31"/>
  <c r="AG12" i="31" s="1"/>
  <c r="T12" i="31"/>
  <c r="S12" i="31"/>
  <c r="R12" i="31"/>
  <c r="U12" i="31" s="1"/>
  <c r="V22" i="31" s="1"/>
  <c r="W22" i="31" s="1"/>
  <c r="K34" i="45" s="1"/>
  <c r="L34" i="45" s="1"/>
  <c r="J12" i="31"/>
  <c r="K12" i="31" s="1"/>
  <c r="G34" i="44" s="1"/>
  <c r="I12" i="31"/>
  <c r="J22" i="31" s="1"/>
  <c r="K22" i="31" s="1"/>
  <c r="K34" i="44" s="1"/>
  <c r="H12" i="31"/>
  <c r="G12" i="31"/>
  <c r="F12" i="31"/>
  <c r="AF11" i="31"/>
  <c r="AE11" i="31"/>
  <c r="AD11" i="31"/>
  <c r="AG11" i="31" s="1"/>
  <c r="U11" i="31"/>
  <c r="V12" i="31" s="1"/>
  <c r="W12" i="31" s="1"/>
  <c r="G34" i="45" s="1"/>
  <c r="H34" i="45" s="1"/>
  <c r="T11" i="31"/>
  <c r="S11" i="31"/>
  <c r="R11" i="31"/>
  <c r="H11" i="31"/>
  <c r="G11" i="31"/>
  <c r="F11" i="31"/>
  <c r="I11" i="31" s="1"/>
  <c r="AG10" i="31"/>
  <c r="AF10" i="31"/>
  <c r="AE10" i="31"/>
  <c r="AD10" i="31"/>
  <c r="T10" i="31"/>
  <c r="S10" i="31"/>
  <c r="R10" i="31"/>
  <c r="U10" i="31" s="1"/>
  <c r="I10" i="31"/>
  <c r="H10" i="31"/>
  <c r="G10" i="31"/>
  <c r="F10" i="31"/>
  <c r="AF9" i="31"/>
  <c r="AE9" i="31"/>
  <c r="AD9" i="31"/>
  <c r="AG9" i="31" s="1"/>
  <c r="U9" i="31"/>
  <c r="T9" i="31"/>
  <c r="S9" i="31"/>
  <c r="R9" i="31"/>
  <c r="H9" i="31"/>
  <c r="G9" i="31"/>
  <c r="F9" i="31"/>
  <c r="I9" i="31" s="1"/>
  <c r="AG8" i="31"/>
  <c r="AF8" i="31"/>
  <c r="AE8" i="31"/>
  <c r="AD8" i="31"/>
  <c r="T8" i="31"/>
  <c r="S8" i="31"/>
  <c r="R8" i="31"/>
  <c r="U8" i="31" s="1"/>
  <c r="V17" i="31" s="1"/>
  <c r="W17" i="31" s="1"/>
  <c r="I34" i="45" s="1"/>
  <c r="J34" i="45" s="1"/>
  <c r="I8" i="31"/>
  <c r="J17" i="31" s="1"/>
  <c r="K17" i="31" s="1"/>
  <c r="I34" i="44" s="1"/>
  <c r="H8" i="31"/>
  <c r="G8" i="31"/>
  <c r="F8" i="31"/>
  <c r="AG7" i="31"/>
  <c r="AH27" i="31" s="1"/>
  <c r="AF7" i="31"/>
  <c r="AE7" i="31"/>
  <c r="AD7" i="31"/>
  <c r="T7" i="31"/>
  <c r="S7" i="31"/>
  <c r="R7" i="31"/>
  <c r="U7" i="31" s="1"/>
  <c r="H7" i="31"/>
  <c r="G7" i="31"/>
  <c r="F7" i="31"/>
  <c r="I7" i="31" s="1"/>
  <c r="J27" i="31" s="1"/>
  <c r="K27" i="31" s="1"/>
  <c r="O34" i="44" s="1"/>
  <c r="AB3" i="31"/>
  <c r="AA3" i="31"/>
  <c r="Z3" i="31"/>
  <c r="P3" i="31"/>
  <c r="O3" i="31"/>
  <c r="N3" i="31"/>
  <c r="D3" i="31"/>
  <c r="C3" i="31"/>
  <c r="B3" i="31"/>
  <c r="M2" i="31"/>
  <c r="A2" i="31"/>
  <c r="AF41" i="30"/>
  <c r="AE41" i="30"/>
  <c r="AD41" i="30"/>
  <c r="AG41" i="30" s="1"/>
  <c r="U41" i="30"/>
  <c r="T41" i="30"/>
  <c r="S41" i="30"/>
  <c r="R41" i="30"/>
  <c r="H41" i="30"/>
  <c r="G41" i="30"/>
  <c r="F41" i="30"/>
  <c r="I41" i="30" s="1"/>
  <c r="AG40" i="30"/>
  <c r="AF40" i="30"/>
  <c r="AE40" i="30"/>
  <c r="AD40" i="30"/>
  <c r="T40" i="30"/>
  <c r="S40" i="30"/>
  <c r="R40" i="30"/>
  <c r="U40" i="30" s="1"/>
  <c r="H40" i="30"/>
  <c r="G40" i="30"/>
  <c r="F40" i="30"/>
  <c r="I40" i="30" s="1"/>
  <c r="AF39" i="30"/>
  <c r="AE39" i="30"/>
  <c r="AD39" i="30"/>
  <c r="AG39" i="30" s="1"/>
  <c r="T39" i="30"/>
  <c r="S39" i="30"/>
  <c r="R39" i="30"/>
  <c r="U39" i="30" s="1"/>
  <c r="H39" i="30"/>
  <c r="G39" i="30"/>
  <c r="F39" i="30"/>
  <c r="I39" i="30" s="1"/>
  <c r="AF38" i="30"/>
  <c r="AE38" i="30"/>
  <c r="AD38" i="30"/>
  <c r="AG38" i="30" s="1"/>
  <c r="T38" i="30"/>
  <c r="S38" i="30"/>
  <c r="R38" i="30"/>
  <c r="U38" i="30" s="1"/>
  <c r="H38" i="30"/>
  <c r="G38" i="30"/>
  <c r="F38" i="30"/>
  <c r="I38" i="30" s="1"/>
  <c r="AF37" i="30"/>
  <c r="AE37" i="30"/>
  <c r="AD37" i="30"/>
  <c r="AG37" i="30" s="1"/>
  <c r="U37" i="30"/>
  <c r="T37" i="30"/>
  <c r="S37" i="30"/>
  <c r="R37" i="30"/>
  <c r="H37" i="30"/>
  <c r="G37" i="30"/>
  <c r="F37" i="30"/>
  <c r="I37" i="30" s="1"/>
  <c r="AG36" i="30"/>
  <c r="AF36" i="30"/>
  <c r="AE36" i="30"/>
  <c r="AD36" i="30"/>
  <c r="T36" i="30"/>
  <c r="S36" i="30"/>
  <c r="R36" i="30"/>
  <c r="U36" i="30" s="1"/>
  <c r="I36" i="30"/>
  <c r="H36" i="30"/>
  <c r="G36" i="30"/>
  <c r="F36" i="30"/>
  <c r="AF35" i="30"/>
  <c r="AE35" i="30"/>
  <c r="AD35" i="30"/>
  <c r="AG35" i="30" s="1"/>
  <c r="T35" i="30"/>
  <c r="S35" i="30"/>
  <c r="R35" i="30"/>
  <c r="U35" i="30" s="1"/>
  <c r="I35" i="30"/>
  <c r="H35" i="30"/>
  <c r="G35" i="30"/>
  <c r="F35" i="30"/>
  <c r="AF34" i="30"/>
  <c r="AE34" i="30"/>
  <c r="AD34" i="30"/>
  <c r="AG34" i="30" s="1"/>
  <c r="U34" i="30"/>
  <c r="T34" i="30"/>
  <c r="S34" i="30"/>
  <c r="R34" i="30"/>
  <c r="H34" i="30"/>
  <c r="G34" i="30"/>
  <c r="F34" i="30"/>
  <c r="I34" i="30" s="1"/>
  <c r="AG31" i="30"/>
  <c r="AF31" i="30"/>
  <c r="AE31" i="30"/>
  <c r="AD31" i="30"/>
  <c r="U31" i="30"/>
  <c r="T31" i="30"/>
  <c r="S31" i="30"/>
  <c r="R31" i="30"/>
  <c r="H31" i="30"/>
  <c r="G31" i="30"/>
  <c r="F31" i="30"/>
  <c r="I31" i="30" s="1"/>
  <c r="AF30" i="30"/>
  <c r="AE30" i="30"/>
  <c r="AD30" i="30"/>
  <c r="AG30" i="30" s="1"/>
  <c r="T30" i="30"/>
  <c r="S30" i="30"/>
  <c r="R30" i="30"/>
  <c r="U30" i="30" s="1"/>
  <c r="I30" i="30"/>
  <c r="H30" i="30"/>
  <c r="G30" i="30"/>
  <c r="F30" i="30"/>
  <c r="AF29" i="30"/>
  <c r="AE29" i="30"/>
  <c r="AD29" i="30"/>
  <c r="AG29" i="30" s="1"/>
  <c r="U29" i="30"/>
  <c r="T29" i="30"/>
  <c r="S29" i="30"/>
  <c r="R29" i="30"/>
  <c r="H29" i="30"/>
  <c r="G29" i="30"/>
  <c r="F29" i="30"/>
  <c r="I29" i="30" s="1"/>
  <c r="AG28" i="30"/>
  <c r="AF28" i="30"/>
  <c r="AE28" i="30"/>
  <c r="AD28" i="30"/>
  <c r="T28" i="30"/>
  <c r="S28" i="30"/>
  <c r="R28" i="30"/>
  <c r="U28" i="30" s="1"/>
  <c r="H28" i="30"/>
  <c r="G28" i="30"/>
  <c r="F28" i="30"/>
  <c r="I28" i="30" s="1"/>
  <c r="AF27" i="30"/>
  <c r="AE27" i="30"/>
  <c r="AD27" i="30"/>
  <c r="AG27" i="30" s="1"/>
  <c r="T27" i="30"/>
  <c r="S27" i="30"/>
  <c r="R27" i="30"/>
  <c r="U27" i="30" s="1"/>
  <c r="I27" i="30"/>
  <c r="H27" i="30"/>
  <c r="G27" i="30"/>
  <c r="F27" i="30"/>
  <c r="AF26" i="30"/>
  <c r="AE26" i="30"/>
  <c r="AD26" i="30"/>
  <c r="AG26" i="30" s="1"/>
  <c r="U26" i="30"/>
  <c r="T26" i="30"/>
  <c r="S26" i="30"/>
  <c r="R26" i="30"/>
  <c r="H26" i="30"/>
  <c r="G26" i="30"/>
  <c r="F26" i="30"/>
  <c r="I26" i="30" s="1"/>
  <c r="AG25" i="30"/>
  <c r="AF25" i="30"/>
  <c r="AE25" i="30"/>
  <c r="AD25" i="30"/>
  <c r="T25" i="30"/>
  <c r="S25" i="30"/>
  <c r="R25" i="30"/>
  <c r="U25" i="30" s="1"/>
  <c r="I25" i="30"/>
  <c r="H25" i="30"/>
  <c r="G25" i="30"/>
  <c r="F25" i="30"/>
  <c r="AF24" i="30"/>
  <c r="AE24" i="30"/>
  <c r="AD24" i="30"/>
  <c r="AG24" i="30" s="1"/>
  <c r="U24" i="30"/>
  <c r="T24" i="30"/>
  <c r="S24" i="30"/>
  <c r="R24" i="30"/>
  <c r="H24" i="30"/>
  <c r="G24" i="30"/>
  <c r="F24" i="30"/>
  <c r="I24" i="30" s="1"/>
  <c r="AG23" i="30"/>
  <c r="AF23" i="30"/>
  <c r="AE23" i="30"/>
  <c r="AD23" i="30"/>
  <c r="T23" i="30"/>
  <c r="S23" i="30"/>
  <c r="R23" i="30"/>
  <c r="U23" i="30" s="1"/>
  <c r="I23" i="30"/>
  <c r="H23" i="30"/>
  <c r="G23" i="30"/>
  <c r="F23" i="30"/>
  <c r="AG22" i="30"/>
  <c r="AF22" i="30"/>
  <c r="AE22" i="30"/>
  <c r="AD22" i="30"/>
  <c r="T22" i="30"/>
  <c r="S22" i="30"/>
  <c r="R22" i="30"/>
  <c r="U22" i="30" s="1"/>
  <c r="H22" i="30"/>
  <c r="G22" i="30"/>
  <c r="F22" i="30"/>
  <c r="I22" i="30" s="1"/>
  <c r="AG21" i="30"/>
  <c r="AF21" i="30"/>
  <c r="AE21" i="30"/>
  <c r="AD21" i="30"/>
  <c r="T21" i="30"/>
  <c r="S21" i="30"/>
  <c r="R21" i="30"/>
  <c r="U21" i="30" s="1"/>
  <c r="H21" i="30"/>
  <c r="G21" i="30"/>
  <c r="F21" i="30"/>
  <c r="I21" i="30" s="1"/>
  <c r="AF20" i="30"/>
  <c r="AE20" i="30"/>
  <c r="AD20" i="30"/>
  <c r="AG20" i="30" s="1"/>
  <c r="U20" i="30"/>
  <c r="T20" i="30"/>
  <c r="S20" i="30"/>
  <c r="R20" i="30"/>
  <c r="H20" i="30"/>
  <c r="G20" i="30"/>
  <c r="F20" i="30"/>
  <c r="I20" i="30" s="1"/>
  <c r="AG19" i="30"/>
  <c r="AF19" i="30"/>
  <c r="AE19" i="30"/>
  <c r="AD19" i="30"/>
  <c r="T19" i="30"/>
  <c r="S19" i="30"/>
  <c r="R19" i="30"/>
  <c r="U19" i="30" s="1"/>
  <c r="I19" i="30"/>
  <c r="H19" i="30"/>
  <c r="G19" i="30"/>
  <c r="F19" i="30"/>
  <c r="AF18" i="30"/>
  <c r="AE18" i="30"/>
  <c r="AD18" i="30"/>
  <c r="AG18" i="30" s="1"/>
  <c r="T18" i="30"/>
  <c r="S18" i="30"/>
  <c r="R18" i="30"/>
  <c r="U18" i="30" s="1"/>
  <c r="H18" i="30"/>
  <c r="G18" i="30"/>
  <c r="F18" i="30"/>
  <c r="I18" i="30" s="1"/>
  <c r="AG17" i="30"/>
  <c r="AF17" i="30"/>
  <c r="AE17" i="30"/>
  <c r="AD17" i="30"/>
  <c r="U17" i="30"/>
  <c r="T17" i="30"/>
  <c r="S17" i="30"/>
  <c r="R17" i="30"/>
  <c r="H17" i="30"/>
  <c r="G17" i="30"/>
  <c r="F17" i="30"/>
  <c r="I17" i="30" s="1"/>
  <c r="AF16" i="30"/>
  <c r="AE16" i="30"/>
  <c r="AD16" i="30"/>
  <c r="AG16" i="30" s="1"/>
  <c r="T16" i="30"/>
  <c r="S16" i="30"/>
  <c r="R16" i="30"/>
  <c r="U16" i="30" s="1"/>
  <c r="I16" i="30"/>
  <c r="H16" i="30"/>
  <c r="G16" i="30"/>
  <c r="F16" i="30"/>
  <c r="AF15" i="30"/>
  <c r="AE15" i="30"/>
  <c r="AD15" i="30"/>
  <c r="AG15" i="30" s="1"/>
  <c r="U15" i="30"/>
  <c r="T15" i="30"/>
  <c r="S15" i="30"/>
  <c r="R15" i="30"/>
  <c r="H15" i="30"/>
  <c r="G15" i="30"/>
  <c r="F15" i="30"/>
  <c r="I15" i="30" s="1"/>
  <c r="AG14" i="30"/>
  <c r="AF14" i="30"/>
  <c r="AE14" i="30"/>
  <c r="AD14" i="30"/>
  <c r="T14" i="30"/>
  <c r="S14" i="30"/>
  <c r="R14" i="30"/>
  <c r="U14" i="30" s="1"/>
  <c r="I14" i="30"/>
  <c r="H14" i="30"/>
  <c r="G14" i="30"/>
  <c r="F14" i="30"/>
  <c r="AF13" i="30"/>
  <c r="AE13" i="30"/>
  <c r="AD13" i="30"/>
  <c r="AG13" i="30" s="1"/>
  <c r="U13" i="30"/>
  <c r="T13" i="30"/>
  <c r="S13" i="30"/>
  <c r="R13" i="30"/>
  <c r="H13" i="30"/>
  <c r="G13" i="30"/>
  <c r="F13" i="30"/>
  <c r="I13" i="30" s="1"/>
  <c r="AF12" i="30"/>
  <c r="AE12" i="30"/>
  <c r="AD12" i="30"/>
  <c r="AG12" i="30" s="1"/>
  <c r="U12" i="30"/>
  <c r="V22" i="30" s="1"/>
  <c r="W22" i="30" s="1"/>
  <c r="K33" i="45" s="1"/>
  <c r="L33" i="45" s="1"/>
  <c r="T12" i="30"/>
  <c r="S12" i="30"/>
  <c r="R12" i="30"/>
  <c r="H12" i="30"/>
  <c r="G12" i="30"/>
  <c r="F12" i="30"/>
  <c r="I12" i="30" s="1"/>
  <c r="J22" i="30" s="1"/>
  <c r="K22" i="30" s="1"/>
  <c r="K33" i="44" s="1"/>
  <c r="AF11" i="30"/>
  <c r="AE11" i="30"/>
  <c r="AD11" i="30"/>
  <c r="AG11" i="30" s="1"/>
  <c r="AH12" i="30" s="1"/>
  <c r="G33" i="46" s="1"/>
  <c r="H33" i="46" s="1"/>
  <c r="U11" i="30"/>
  <c r="T11" i="30"/>
  <c r="S11" i="30"/>
  <c r="R11" i="30"/>
  <c r="H11" i="30"/>
  <c r="G11" i="30"/>
  <c r="F11" i="30"/>
  <c r="I11" i="30" s="1"/>
  <c r="AG10" i="30"/>
  <c r="AF10" i="30"/>
  <c r="AE10" i="30"/>
  <c r="AD10" i="30"/>
  <c r="T10" i="30"/>
  <c r="S10" i="30"/>
  <c r="R10" i="30"/>
  <c r="U10" i="30" s="1"/>
  <c r="H10" i="30"/>
  <c r="G10" i="30"/>
  <c r="F10" i="30"/>
  <c r="I10" i="30" s="1"/>
  <c r="AF9" i="30"/>
  <c r="AE9" i="30"/>
  <c r="AD9" i="30"/>
  <c r="AG9" i="30" s="1"/>
  <c r="U9" i="30"/>
  <c r="T9" i="30"/>
  <c r="S9" i="30"/>
  <c r="R9" i="30"/>
  <c r="H9" i="30"/>
  <c r="G9" i="30"/>
  <c r="F9" i="30"/>
  <c r="I9" i="30" s="1"/>
  <c r="J7" i="30" s="1"/>
  <c r="K7" i="30" s="1"/>
  <c r="AF8" i="30"/>
  <c r="AE8" i="30"/>
  <c r="AD8" i="30"/>
  <c r="AG8" i="30" s="1"/>
  <c r="T8" i="30"/>
  <c r="S8" i="30"/>
  <c r="R8" i="30"/>
  <c r="U8" i="30" s="1"/>
  <c r="V17" i="30" s="1"/>
  <c r="W17" i="30" s="1"/>
  <c r="I33" i="45" s="1"/>
  <c r="J33" i="45" s="1"/>
  <c r="H8" i="30"/>
  <c r="G8" i="30"/>
  <c r="F8" i="30"/>
  <c r="I8" i="30" s="1"/>
  <c r="AF7" i="30"/>
  <c r="AE7" i="30"/>
  <c r="AD7" i="30"/>
  <c r="AG7" i="30" s="1"/>
  <c r="AH27" i="30" s="1"/>
  <c r="T7" i="30"/>
  <c r="S7" i="30"/>
  <c r="R7" i="30"/>
  <c r="U7" i="30" s="1"/>
  <c r="I7" i="30"/>
  <c r="H7" i="30"/>
  <c r="G7" i="30"/>
  <c r="F7" i="30"/>
  <c r="AB3" i="30"/>
  <c r="AA3" i="30"/>
  <c r="Z3" i="30"/>
  <c r="P3" i="30"/>
  <c r="O3" i="30"/>
  <c r="N3" i="30"/>
  <c r="K3" i="30"/>
  <c r="D3" i="30"/>
  <c r="C3" i="30"/>
  <c r="B3" i="30"/>
  <c r="M2" i="30"/>
  <c r="A2" i="30"/>
  <c r="AG41" i="29"/>
  <c r="AF41" i="29"/>
  <c r="AE41" i="29"/>
  <c r="AD41" i="29"/>
  <c r="T41" i="29"/>
  <c r="S41" i="29"/>
  <c r="R41" i="29"/>
  <c r="U41" i="29" s="1"/>
  <c r="I41" i="29"/>
  <c r="H41" i="29"/>
  <c r="G41" i="29"/>
  <c r="F41" i="29"/>
  <c r="AF40" i="29"/>
  <c r="AE40" i="29"/>
  <c r="AD40" i="29"/>
  <c r="AG40" i="29" s="1"/>
  <c r="U40" i="29"/>
  <c r="T40" i="29"/>
  <c r="S40" i="29"/>
  <c r="R40" i="29"/>
  <c r="H40" i="29"/>
  <c r="G40" i="29"/>
  <c r="F40" i="29"/>
  <c r="I40" i="29" s="1"/>
  <c r="AG39" i="29"/>
  <c r="AF39" i="29"/>
  <c r="AE39" i="29"/>
  <c r="AD39" i="29"/>
  <c r="T39" i="29"/>
  <c r="S39" i="29"/>
  <c r="R39" i="29"/>
  <c r="U39" i="29" s="1"/>
  <c r="I39" i="29"/>
  <c r="H39" i="29"/>
  <c r="G39" i="29"/>
  <c r="F39" i="29"/>
  <c r="AF38" i="29"/>
  <c r="AE38" i="29"/>
  <c r="AD38" i="29"/>
  <c r="AG38" i="29" s="1"/>
  <c r="U38" i="29"/>
  <c r="T38" i="29"/>
  <c r="S38" i="29"/>
  <c r="R38" i="29"/>
  <c r="H38" i="29"/>
  <c r="G38" i="29"/>
  <c r="F38" i="29"/>
  <c r="I38" i="29" s="1"/>
  <c r="AF37" i="29"/>
  <c r="AE37" i="29"/>
  <c r="AD37" i="29"/>
  <c r="AG37" i="29" s="1"/>
  <c r="U37" i="29"/>
  <c r="T37" i="29"/>
  <c r="S37" i="29"/>
  <c r="R37" i="29"/>
  <c r="H37" i="29"/>
  <c r="G37" i="29"/>
  <c r="F37" i="29"/>
  <c r="I37" i="29" s="1"/>
  <c r="AG36" i="29"/>
  <c r="AF36" i="29"/>
  <c r="AE36" i="29"/>
  <c r="AD36" i="29"/>
  <c r="T36" i="29"/>
  <c r="S36" i="29"/>
  <c r="R36" i="29"/>
  <c r="U36" i="29" s="1"/>
  <c r="I36" i="29"/>
  <c r="H36" i="29"/>
  <c r="G36" i="29"/>
  <c r="F36" i="29"/>
  <c r="AF35" i="29"/>
  <c r="AE35" i="29"/>
  <c r="AD35" i="29"/>
  <c r="AG35" i="29" s="1"/>
  <c r="V35" i="29"/>
  <c r="W37" i="29" s="1"/>
  <c r="Q32" i="45" s="1"/>
  <c r="R32" i="45" s="1"/>
  <c r="T35" i="29"/>
  <c r="S35" i="29"/>
  <c r="R35" i="29"/>
  <c r="U35" i="29" s="1"/>
  <c r="I35" i="29"/>
  <c r="H35" i="29"/>
  <c r="G35" i="29"/>
  <c r="F35" i="29"/>
  <c r="AF34" i="29"/>
  <c r="AE34" i="29"/>
  <c r="AD34" i="29"/>
  <c r="AG34" i="29" s="1"/>
  <c r="U34" i="29"/>
  <c r="T34" i="29"/>
  <c r="S34" i="29"/>
  <c r="R34" i="29"/>
  <c r="H34" i="29"/>
  <c r="G34" i="29"/>
  <c r="F34" i="29"/>
  <c r="I34" i="29" s="1"/>
  <c r="AG31" i="29"/>
  <c r="AF31" i="29"/>
  <c r="AE31" i="29"/>
  <c r="AD31" i="29"/>
  <c r="T31" i="29"/>
  <c r="S31" i="29"/>
  <c r="R31" i="29"/>
  <c r="U31" i="29" s="1"/>
  <c r="H31" i="29"/>
  <c r="G31" i="29"/>
  <c r="F31" i="29"/>
  <c r="I31" i="29" s="1"/>
  <c r="AF30" i="29"/>
  <c r="AE30" i="29"/>
  <c r="AD30" i="29"/>
  <c r="AG30" i="29" s="1"/>
  <c r="T30" i="29"/>
  <c r="S30" i="29"/>
  <c r="R30" i="29"/>
  <c r="U30" i="29" s="1"/>
  <c r="H30" i="29"/>
  <c r="G30" i="29"/>
  <c r="F30" i="29"/>
  <c r="I30" i="29" s="1"/>
  <c r="J7" i="29" s="1"/>
  <c r="K7" i="29" s="1"/>
  <c r="AF29" i="29"/>
  <c r="AE29" i="29"/>
  <c r="AD29" i="29"/>
  <c r="AG29" i="29" s="1"/>
  <c r="U29" i="29"/>
  <c r="T29" i="29"/>
  <c r="S29" i="29"/>
  <c r="R29" i="29"/>
  <c r="H29" i="29"/>
  <c r="G29" i="29"/>
  <c r="F29" i="29"/>
  <c r="I29" i="29" s="1"/>
  <c r="AF28" i="29"/>
  <c r="AE28" i="29"/>
  <c r="AD28" i="29"/>
  <c r="AG28" i="29" s="1"/>
  <c r="T28" i="29"/>
  <c r="S28" i="29"/>
  <c r="R28" i="29"/>
  <c r="U28" i="29" s="1"/>
  <c r="H28" i="29"/>
  <c r="G28" i="29"/>
  <c r="F28" i="29"/>
  <c r="I28" i="29" s="1"/>
  <c r="AF27" i="29"/>
  <c r="AE27" i="29"/>
  <c r="AD27" i="29"/>
  <c r="AG27" i="29" s="1"/>
  <c r="T27" i="29"/>
  <c r="S27" i="29"/>
  <c r="R27" i="29"/>
  <c r="U27" i="29" s="1"/>
  <c r="I27" i="29"/>
  <c r="H27" i="29"/>
  <c r="G27" i="29"/>
  <c r="F27" i="29"/>
  <c r="AF26" i="29"/>
  <c r="AE26" i="29"/>
  <c r="AD26" i="29"/>
  <c r="AG26" i="29" s="1"/>
  <c r="U26" i="29"/>
  <c r="T26" i="29"/>
  <c r="S26" i="29"/>
  <c r="R26" i="29"/>
  <c r="H26" i="29"/>
  <c r="G26" i="29"/>
  <c r="F26" i="29"/>
  <c r="I26" i="29" s="1"/>
  <c r="AG25" i="29"/>
  <c r="AF25" i="29"/>
  <c r="AE25" i="29"/>
  <c r="AD25" i="29"/>
  <c r="T25" i="29"/>
  <c r="S25" i="29"/>
  <c r="R25" i="29"/>
  <c r="U25" i="29" s="1"/>
  <c r="H25" i="29"/>
  <c r="G25" i="29"/>
  <c r="F25" i="29"/>
  <c r="I25" i="29" s="1"/>
  <c r="AF24" i="29"/>
  <c r="AE24" i="29"/>
  <c r="AD24" i="29"/>
  <c r="AG24" i="29" s="1"/>
  <c r="T24" i="29"/>
  <c r="S24" i="29"/>
  <c r="R24" i="29"/>
  <c r="U24" i="29" s="1"/>
  <c r="H24" i="29"/>
  <c r="G24" i="29"/>
  <c r="F24" i="29"/>
  <c r="I24" i="29" s="1"/>
  <c r="AG23" i="29"/>
  <c r="AF23" i="29"/>
  <c r="AE23" i="29"/>
  <c r="AD23" i="29"/>
  <c r="T23" i="29"/>
  <c r="S23" i="29"/>
  <c r="R23" i="29"/>
  <c r="U23" i="29" s="1"/>
  <c r="I23" i="29"/>
  <c r="H23" i="29"/>
  <c r="G23" i="29"/>
  <c r="F23" i="29"/>
  <c r="AG22" i="29"/>
  <c r="AF22" i="29"/>
  <c r="AE22" i="29"/>
  <c r="AD22" i="29"/>
  <c r="T22" i="29"/>
  <c r="S22" i="29"/>
  <c r="R22" i="29"/>
  <c r="U22" i="29" s="1"/>
  <c r="H22" i="29"/>
  <c r="G22" i="29"/>
  <c r="F22" i="29"/>
  <c r="I22" i="29" s="1"/>
  <c r="AF21" i="29"/>
  <c r="AE21" i="29"/>
  <c r="AD21" i="29"/>
  <c r="AG21" i="29" s="1"/>
  <c r="T21" i="29"/>
  <c r="S21" i="29"/>
  <c r="R21" i="29"/>
  <c r="U21" i="29" s="1"/>
  <c r="H21" i="29"/>
  <c r="G21" i="29"/>
  <c r="F21" i="29"/>
  <c r="I21" i="29" s="1"/>
  <c r="AF20" i="29"/>
  <c r="AE20" i="29"/>
  <c r="AD20" i="29"/>
  <c r="AG20" i="29" s="1"/>
  <c r="T20" i="29"/>
  <c r="S20" i="29"/>
  <c r="R20" i="29"/>
  <c r="U20" i="29" s="1"/>
  <c r="H20" i="29"/>
  <c r="G20" i="29"/>
  <c r="F20" i="29"/>
  <c r="I20" i="29" s="1"/>
  <c r="AG19" i="29"/>
  <c r="AF19" i="29"/>
  <c r="AE19" i="29"/>
  <c r="AD19" i="29"/>
  <c r="T19" i="29"/>
  <c r="S19" i="29"/>
  <c r="R19" i="29"/>
  <c r="U19" i="29" s="1"/>
  <c r="I19" i="29"/>
  <c r="H19" i="29"/>
  <c r="G19" i="29"/>
  <c r="F19" i="29"/>
  <c r="AF18" i="29"/>
  <c r="AE18" i="29"/>
  <c r="AD18" i="29"/>
  <c r="AG18" i="29" s="1"/>
  <c r="U18" i="29"/>
  <c r="T18" i="29"/>
  <c r="S18" i="29"/>
  <c r="R18" i="29"/>
  <c r="H18" i="29"/>
  <c r="G18" i="29"/>
  <c r="F18" i="29"/>
  <c r="I18" i="29" s="1"/>
  <c r="AG17" i="29"/>
  <c r="AF17" i="29"/>
  <c r="AE17" i="29"/>
  <c r="AD17" i="29"/>
  <c r="T17" i="29"/>
  <c r="S17" i="29"/>
  <c r="R17" i="29"/>
  <c r="U17" i="29" s="1"/>
  <c r="H17" i="29"/>
  <c r="G17" i="29"/>
  <c r="F17" i="29"/>
  <c r="I17" i="29" s="1"/>
  <c r="AF16" i="29"/>
  <c r="AE16" i="29"/>
  <c r="AD16" i="29"/>
  <c r="AG16" i="29" s="1"/>
  <c r="T16" i="29"/>
  <c r="S16" i="29"/>
  <c r="R16" i="29"/>
  <c r="U16" i="29" s="1"/>
  <c r="H16" i="29"/>
  <c r="G16" i="29"/>
  <c r="F16" i="29"/>
  <c r="I16" i="29" s="1"/>
  <c r="AF15" i="29"/>
  <c r="AE15" i="29"/>
  <c r="AD15" i="29"/>
  <c r="AG15" i="29" s="1"/>
  <c r="U15" i="29"/>
  <c r="T15" i="29"/>
  <c r="S15" i="29"/>
  <c r="R15" i="29"/>
  <c r="H15" i="29"/>
  <c r="G15" i="29"/>
  <c r="F15" i="29"/>
  <c r="I15" i="29" s="1"/>
  <c r="AG14" i="29"/>
  <c r="AF14" i="29"/>
  <c r="AE14" i="29"/>
  <c r="AD14" i="29"/>
  <c r="T14" i="29"/>
  <c r="S14" i="29"/>
  <c r="R14" i="29"/>
  <c r="U14" i="29" s="1"/>
  <c r="I14" i="29"/>
  <c r="H14" i="29"/>
  <c r="G14" i="29"/>
  <c r="F14" i="29"/>
  <c r="AF13" i="29"/>
  <c r="AE13" i="29"/>
  <c r="AD13" i="29"/>
  <c r="AG13" i="29" s="1"/>
  <c r="U13" i="29"/>
  <c r="T13" i="29"/>
  <c r="S13" i="29"/>
  <c r="R13" i="29"/>
  <c r="H13" i="29"/>
  <c r="G13" i="29"/>
  <c r="F13" i="29"/>
  <c r="I13" i="29" s="1"/>
  <c r="AF12" i="29"/>
  <c r="AE12" i="29"/>
  <c r="AD12" i="29"/>
  <c r="AG12" i="29" s="1"/>
  <c r="AH22" i="29" s="1"/>
  <c r="U12" i="29"/>
  <c r="T12" i="29"/>
  <c r="S12" i="29"/>
  <c r="R12" i="29"/>
  <c r="I12" i="29"/>
  <c r="H12" i="29"/>
  <c r="G12" i="29"/>
  <c r="F12" i="29"/>
  <c r="AF11" i="29"/>
  <c r="AE11" i="29"/>
  <c r="AD11" i="29"/>
  <c r="AG11" i="29" s="1"/>
  <c r="T11" i="29"/>
  <c r="S11" i="29"/>
  <c r="R11" i="29"/>
  <c r="U11" i="29" s="1"/>
  <c r="H11" i="29"/>
  <c r="G11" i="29"/>
  <c r="F11" i="29"/>
  <c r="I11" i="29" s="1"/>
  <c r="AG10" i="29"/>
  <c r="AF10" i="29"/>
  <c r="AE10" i="29"/>
  <c r="AD10" i="29"/>
  <c r="T10" i="29"/>
  <c r="S10" i="29"/>
  <c r="R10" i="29"/>
  <c r="U10" i="29" s="1"/>
  <c r="H10" i="29"/>
  <c r="G10" i="29"/>
  <c r="F10" i="29"/>
  <c r="I10" i="29" s="1"/>
  <c r="AF9" i="29"/>
  <c r="AE9" i="29"/>
  <c r="AD9" i="29"/>
  <c r="AG9" i="29" s="1"/>
  <c r="T9" i="29"/>
  <c r="S9" i="29"/>
  <c r="R9" i="29"/>
  <c r="U9" i="29" s="1"/>
  <c r="H9" i="29"/>
  <c r="G9" i="29"/>
  <c r="F9" i="29"/>
  <c r="I9" i="29" s="1"/>
  <c r="AF8" i="29"/>
  <c r="AE8" i="29"/>
  <c r="AD8" i="29"/>
  <c r="AG8" i="29" s="1"/>
  <c r="T8" i="29"/>
  <c r="S8" i="29"/>
  <c r="R8" i="29"/>
  <c r="U8" i="29" s="1"/>
  <c r="H8" i="29"/>
  <c r="G8" i="29"/>
  <c r="F8" i="29"/>
  <c r="I8" i="29" s="1"/>
  <c r="AF7" i="29"/>
  <c r="AE7" i="29"/>
  <c r="AD7" i="29"/>
  <c r="AG7" i="29" s="1"/>
  <c r="T7" i="29"/>
  <c r="S7" i="29"/>
  <c r="R7" i="29"/>
  <c r="U7" i="29" s="1"/>
  <c r="V27" i="29" s="1"/>
  <c r="W27" i="29" s="1"/>
  <c r="O32" i="45" s="1"/>
  <c r="P32" i="45" s="1"/>
  <c r="I7" i="29"/>
  <c r="J27" i="29" s="1"/>
  <c r="K27" i="29" s="1"/>
  <c r="O32" i="44" s="1"/>
  <c r="H7" i="29"/>
  <c r="G7" i="29"/>
  <c r="F7" i="29"/>
  <c r="AB3" i="29"/>
  <c r="AA3" i="29"/>
  <c r="Z3" i="29"/>
  <c r="P3" i="29"/>
  <c r="O3" i="29"/>
  <c r="N3" i="29"/>
  <c r="D3" i="29"/>
  <c r="C3" i="29"/>
  <c r="B3" i="29"/>
  <c r="M2" i="29"/>
  <c r="A2" i="29"/>
  <c r="AG41" i="28"/>
  <c r="AF41" i="28"/>
  <c r="AE41" i="28"/>
  <c r="AD41" i="28"/>
  <c r="T41" i="28"/>
  <c r="S41" i="28"/>
  <c r="R41" i="28"/>
  <c r="U41" i="28" s="1"/>
  <c r="I41" i="28"/>
  <c r="H41" i="28"/>
  <c r="G41" i="28"/>
  <c r="F41" i="28"/>
  <c r="AF40" i="28"/>
  <c r="AE40" i="28"/>
  <c r="AD40" i="28"/>
  <c r="AG40" i="28" s="1"/>
  <c r="U40" i="28"/>
  <c r="T40" i="28"/>
  <c r="S40" i="28"/>
  <c r="R40" i="28"/>
  <c r="H40" i="28"/>
  <c r="G40" i="28"/>
  <c r="F40" i="28"/>
  <c r="I40" i="28" s="1"/>
  <c r="AG39" i="28"/>
  <c r="AF39" i="28"/>
  <c r="AE39" i="28"/>
  <c r="AD39" i="28"/>
  <c r="T39" i="28"/>
  <c r="S39" i="28"/>
  <c r="R39" i="28"/>
  <c r="U39" i="28" s="1"/>
  <c r="I39" i="28"/>
  <c r="H39" i="28"/>
  <c r="G39" i="28"/>
  <c r="F39" i="28"/>
  <c r="AF38" i="28"/>
  <c r="AE38" i="28"/>
  <c r="AD38" i="28"/>
  <c r="AG38" i="28" s="1"/>
  <c r="U38" i="28"/>
  <c r="T38" i="28"/>
  <c r="S38" i="28"/>
  <c r="R38" i="28"/>
  <c r="H38" i="28"/>
  <c r="G38" i="28"/>
  <c r="F38" i="28"/>
  <c r="I38" i="28" s="1"/>
  <c r="AG37" i="28"/>
  <c r="AF37" i="28"/>
  <c r="AE37" i="28"/>
  <c r="AD37" i="28"/>
  <c r="T37" i="28"/>
  <c r="S37" i="28"/>
  <c r="R37" i="28"/>
  <c r="U37" i="28" s="1"/>
  <c r="H37" i="28"/>
  <c r="G37" i="28"/>
  <c r="F37" i="28"/>
  <c r="I37" i="28" s="1"/>
  <c r="AF36" i="28"/>
  <c r="AE36" i="28"/>
  <c r="AD36" i="28"/>
  <c r="AG36" i="28" s="1"/>
  <c r="T36" i="28"/>
  <c r="S36" i="28"/>
  <c r="R36" i="28"/>
  <c r="U36" i="28" s="1"/>
  <c r="H36" i="28"/>
  <c r="G36" i="28"/>
  <c r="F36" i="28"/>
  <c r="I36" i="28" s="1"/>
  <c r="AF35" i="28"/>
  <c r="AE35" i="28"/>
  <c r="AD35" i="28"/>
  <c r="AG35" i="28" s="1"/>
  <c r="U35" i="28"/>
  <c r="T35" i="28"/>
  <c r="S35" i="28"/>
  <c r="R35" i="28"/>
  <c r="H35" i="28"/>
  <c r="G35" i="28"/>
  <c r="F35" i="28"/>
  <c r="I35" i="28" s="1"/>
  <c r="AG34" i="28"/>
  <c r="AF34" i="28"/>
  <c r="AE34" i="28"/>
  <c r="AD34" i="28"/>
  <c r="T34" i="28"/>
  <c r="S34" i="28"/>
  <c r="R34" i="28"/>
  <c r="U34" i="28" s="1"/>
  <c r="I34" i="28"/>
  <c r="H34" i="28"/>
  <c r="G34" i="28"/>
  <c r="F34" i="28"/>
  <c r="AG31" i="28"/>
  <c r="AF31" i="28"/>
  <c r="AE31" i="28"/>
  <c r="AD31" i="28"/>
  <c r="T31" i="28"/>
  <c r="S31" i="28"/>
  <c r="R31" i="28"/>
  <c r="U31" i="28" s="1"/>
  <c r="I31" i="28"/>
  <c r="H31" i="28"/>
  <c r="G31" i="28"/>
  <c r="F31" i="28"/>
  <c r="AF30" i="28"/>
  <c r="AE30" i="28"/>
  <c r="AD30" i="28"/>
  <c r="AG30" i="28" s="1"/>
  <c r="T30" i="28"/>
  <c r="S30" i="28"/>
  <c r="R30" i="28"/>
  <c r="U30" i="28" s="1"/>
  <c r="H30" i="28"/>
  <c r="G30" i="28"/>
  <c r="F30" i="28"/>
  <c r="I30" i="28" s="1"/>
  <c r="AG29" i="28"/>
  <c r="AF29" i="28"/>
  <c r="AE29" i="28"/>
  <c r="AD29" i="28"/>
  <c r="T29" i="28"/>
  <c r="S29" i="28"/>
  <c r="R29" i="28"/>
  <c r="U29" i="28" s="1"/>
  <c r="H29" i="28"/>
  <c r="G29" i="28"/>
  <c r="F29" i="28"/>
  <c r="I29" i="28" s="1"/>
  <c r="AF28" i="28"/>
  <c r="AE28" i="28"/>
  <c r="AD28" i="28"/>
  <c r="AG28" i="28" s="1"/>
  <c r="T28" i="28"/>
  <c r="S28" i="28"/>
  <c r="R28" i="28"/>
  <c r="U28" i="28" s="1"/>
  <c r="H28" i="28"/>
  <c r="G28" i="28"/>
  <c r="F28" i="28"/>
  <c r="I28" i="28" s="1"/>
  <c r="AF27" i="28"/>
  <c r="AE27" i="28"/>
  <c r="AD27" i="28"/>
  <c r="AG27" i="28" s="1"/>
  <c r="U27" i="28"/>
  <c r="T27" i="28"/>
  <c r="S27" i="28"/>
  <c r="R27" i="28"/>
  <c r="H27" i="28"/>
  <c r="G27" i="28"/>
  <c r="F27" i="28"/>
  <c r="I27" i="28" s="1"/>
  <c r="AF26" i="28"/>
  <c r="AE26" i="28"/>
  <c r="AD26" i="28"/>
  <c r="AG26" i="28" s="1"/>
  <c r="T26" i="28"/>
  <c r="S26" i="28"/>
  <c r="R26" i="28"/>
  <c r="U26" i="28" s="1"/>
  <c r="H26" i="28"/>
  <c r="G26" i="28"/>
  <c r="F26" i="28"/>
  <c r="I26" i="28" s="1"/>
  <c r="AF25" i="28"/>
  <c r="AE25" i="28"/>
  <c r="AD25" i="28"/>
  <c r="AG25" i="28" s="1"/>
  <c r="T25" i="28"/>
  <c r="S25" i="28"/>
  <c r="R25" i="28"/>
  <c r="U25" i="28" s="1"/>
  <c r="I25" i="28"/>
  <c r="H25" i="28"/>
  <c r="G25" i="28"/>
  <c r="F25" i="28"/>
  <c r="AF24" i="28"/>
  <c r="AE24" i="28"/>
  <c r="AD24" i="28"/>
  <c r="AG24" i="28" s="1"/>
  <c r="T24" i="28"/>
  <c r="S24" i="28"/>
  <c r="R24" i="28"/>
  <c r="U24" i="28" s="1"/>
  <c r="H24" i="28"/>
  <c r="G24" i="28"/>
  <c r="F24" i="28"/>
  <c r="I24" i="28" s="1"/>
  <c r="AG23" i="28"/>
  <c r="AF23" i="28"/>
  <c r="AE23" i="28"/>
  <c r="AD23" i="28"/>
  <c r="T23" i="28"/>
  <c r="S23" i="28"/>
  <c r="R23" i="28"/>
  <c r="U23" i="28" s="1"/>
  <c r="H23" i="28"/>
  <c r="G23" i="28"/>
  <c r="F23" i="28"/>
  <c r="I23" i="28" s="1"/>
  <c r="AF22" i="28"/>
  <c r="AE22" i="28"/>
  <c r="AD22" i="28"/>
  <c r="AG22" i="28" s="1"/>
  <c r="T22" i="28"/>
  <c r="S22" i="28"/>
  <c r="R22" i="28"/>
  <c r="U22" i="28" s="1"/>
  <c r="I22" i="28"/>
  <c r="H22" i="28"/>
  <c r="G22" i="28"/>
  <c r="F22" i="28"/>
  <c r="AF21" i="28"/>
  <c r="AE21" i="28"/>
  <c r="AD21" i="28"/>
  <c r="AG21" i="28" s="1"/>
  <c r="U21" i="28"/>
  <c r="T21" i="28"/>
  <c r="S21" i="28"/>
  <c r="R21" i="28"/>
  <c r="H21" i="28"/>
  <c r="G21" i="28"/>
  <c r="F21" i="28"/>
  <c r="I21" i="28" s="1"/>
  <c r="AG20" i="28"/>
  <c r="AF20" i="28"/>
  <c r="AE20" i="28"/>
  <c r="AD20" i="28"/>
  <c r="T20" i="28"/>
  <c r="S20" i="28"/>
  <c r="R20" i="28"/>
  <c r="U20" i="28" s="1"/>
  <c r="I20" i="28"/>
  <c r="H20" i="28"/>
  <c r="G20" i="28"/>
  <c r="F20" i="28"/>
  <c r="AF19" i="28"/>
  <c r="AE19" i="28"/>
  <c r="AD19" i="28"/>
  <c r="AG19" i="28" s="1"/>
  <c r="T19" i="28"/>
  <c r="S19" i="28"/>
  <c r="R19" i="28"/>
  <c r="U19" i="28" s="1"/>
  <c r="H19" i="28"/>
  <c r="G19" i="28"/>
  <c r="F19" i="28"/>
  <c r="I19" i="28" s="1"/>
  <c r="AF18" i="28"/>
  <c r="AE18" i="28"/>
  <c r="AD18" i="28"/>
  <c r="AG18" i="28" s="1"/>
  <c r="T18" i="28"/>
  <c r="S18" i="28"/>
  <c r="R18" i="28"/>
  <c r="U18" i="28" s="1"/>
  <c r="H18" i="28"/>
  <c r="G18" i="28"/>
  <c r="F18" i="28"/>
  <c r="I18" i="28" s="1"/>
  <c r="AF17" i="28"/>
  <c r="AE17" i="28"/>
  <c r="AD17" i="28"/>
  <c r="AG17" i="28" s="1"/>
  <c r="T17" i="28"/>
  <c r="S17" i="28"/>
  <c r="R17" i="28"/>
  <c r="U17" i="28" s="1"/>
  <c r="H17" i="28"/>
  <c r="G17" i="28"/>
  <c r="F17" i="28"/>
  <c r="I17" i="28" s="1"/>
  <c r="AF16" i="28"/>
  <c r="AE16" i="28"/>
  <c r="AD16" i="28"/>
  <c r="AG16" i="28" s="1"/>
  <c r="T16" i="28"/>
  <c r="S16" i="28"/>
  <c r="R16" i="28"/>
  <c r="U16" i="28" s="1"/>
  <c r="H16" i="28"/>
  <c r="G16" i="28"/>
  <c r="F16" i="28"/>
  <c r="I16" i="28" s="1"/>
  <c r="AF15" i="28"/>
  <c r="AE15" i="28"/>
  <c r="AD15" i="28"/>
  <c r="AG15" i="28" s="1"/>
  <c r="T15" i="28"/>
  <c r="S15" i="28"/>
  <c r="R15" i="28"/>
  <c r="U15" i="28" s="1"/>
  <c r="H15" i="28"/>
  <c r="G15" i="28"/>
  <c r="F15" i="28"/>
  <c r="I15" i="28" s="1"/>
  <c r="AF14" i="28"/>
  <c r="AE14" i="28"/>
  <c r="AD14" i="28"/>
  <c r="AG14" i="28" s="1"/>
  <c r="T14" i="28"/>
  <c r="S14" i="28"/>
  <c r="R14" i="28"/>
  <c r="U14" i="28" s="1"/>
  <c r="H14" i="28"/>
  <c r="G14" i="28"/>
  <c r="F14" i="28"/>
  <c r="I14" i="28" s="1"/>
  <c r="AF13" i="28"/>
  <c r="AE13" i="28"/>
  <c r="AD13" i="28"/>
  <c r="AG13" i="28" s="1"/>
  <c r="U13" i="28"/>
  <c r="T13" i="28"/>
  <c r="S13" i="28"/>
  <c r="R13" i="28"/>
  <c r="H13" i="28"/>
  <c r="G13" i="28"/>
  <c r="F13" i="28"/>
  <c r="I13" i="28" s="1"/>
  <c r="AF12" i="28"/>
  <c r="AE12" i="28"/>
  <c r="AD12" i="28"/>
  <c r="AG12" i="28" s="1"/>
  <c r="T12" i="28"/>
  <c r="S12" i="28"/>
  <c r="R12" i="28"/>
  <c r="U12" i="28" s="1"/>
  <c r="H12" i="28"/>
  <c r="G12" i="28"/>
  <c r="F12" i="28"/>
  <c r="I12" i="28" s="1"/>
  <c r="AF11" i="28"/>
  <c r="AE11" i="28"/>
  <c r="AD11" i="28"/>
  <c r="AG11" i="28" s="1"/>
  <c r="T11" i="28"/>
  <c r="S11" i="28"/>
  <c r="R11" i="28"/>
  <c r="U11" i="28" s="1"/>
  <c r="H11" i="28"/>
  <c r="G11" i="28"/>
  <c r="F11" i="28"/>
  <c r="I11" i="28" s="1"/>
  <c r="AF10" i="28"/>
  <c r="AE10" i="28"/>
  <c r="AD10" i="28"/>
  <c r="AG10" i="28" s="1"/>
  <c r="AH27" i="28" s="1"/>
  <c r="O31" i="46" s="1"/>
  <c r="P31" i="46" s="1"/>
  <c r="U10" i="28"/>
  <c r="T10" i="28"/>
  <c r="S10" i="28"/>
  <c r="R10" i="28"/>
  <c r="H10" i="28"/>
  <c r="G10" i="28"/>
  <c r="F10" i="28"/>
  <c r="I10" i="28" s="1"/>
  <c r="AF9" i="28"/>
  <c r="AE9" i="28"/>
  <c r="AD9" i="28"/>
  <c r="AG9" i="28" s="1"/>
  <c r="T9" i="28"/>
  <c r="S9" i="28"/>
  <c r="R9" i="28"/>
  <c r="U9" i="28" s="1"/>
  <c r="H9" i="28"/>
  <c r="G9" i="28"/>
  <c r="F9" i="28"/>
  <c r="I9" i="28" s="1"/>
  <c r="AF8" i="28"/>
  <c r="AE8" i="28"/>
  <c r="AD8" i="28"/>
  <c r="AG8" i="28" s="1"/>
  <c r="T8" i="28"/>
  <c r="S8" i="28"/>
  <c r="R8" i="28"/>
  <c r="U8" i="28" s="1"/>
  <c r="H8" i="28"/>
  <c r="G8" i="28"/>
  <c r="F8" i="28"/>
  <c r="I8" i="28" s="1"/>
  <c r="AF7" i="28"/>
  <c r="AE7" i="28"/>
  <c r="AD7" i="28"/>
  <c r="AG7" i="28" s="1"/>
  <c r="U7" i="28"/>
  <c r="V27" i="28" s="1"/>
  <c r="W27" i="28" s="1"/>
  <c r="O31" i="45" s="1"/>
  <c r="P31" i="45" s="1"/>
  <c r="T7" i="28"/>
  <c r="S7" i="28"/>
  <c r="R7" i="28"/>
  <c r="H7" i="28"/>
  <c r="G7" i="28"/>
  <c r="F7" i="28"/>
  <c r="I7" i="28" s="1"/>
  <c r="AB3" i="28"/>
  <c r="AA3" i="28"/>
  <c r="Z3" i="28"/>
  <c r="P3" i="28"/>
  <c r="O3" i="28"/>
  <c r="N3" i="28"/>
  <c r="D3" i="28"/>
  <c r="C3" i="28"/>
  <c r="B3" i="28"/>
  <c r="M2" i="28"/>
  <c r="A2" i="28"/>
  <c r="AF41" i="27"/>
  <c r="AE41" i="27"/>
  <c r="AD41" i="27"/>
  <c r="AG41" i="27" s="1"/>
  <c r="U41" i="27"/>
  <c r="T41" i="27"/>
  <c r="S41" i="27"/>
  <c r="R41" i="27"/>
  <c r="H41" i="27"/>
  <c r="G41" i="27"/>
  <c r="F41" i="27"/>
  <c r="I41" i="27" s="1"/>
  <c r="AG40" i="27"/>
  <c r="AF40" i="27"/>
  <c r="AE40" i="27"/>
  <c r="AD40" i="27"/>
  <c r="T40" i="27"/>
  <c r="S40" i="27"/>
  <c r="R40" i="27"/>
  <c r="U40" i="27" s="1"/>
  <c r="I40" i="27"/>
  <c r="H40" i="27"/>
  <c r="G40" i="27"/>
  <c r="F40" i="27"/>
  <c r="AF39" i="27"/>
  <c r="AE39" i="27"/>
  <c r="AD39" i="27"/>
  <c r="AG39" i="27" s="1"/>
  <c r="U39" i="27"/>
  <c r="T39" i="27"/>
  <c r="S39" i="27"/>
  <c r="R39" i="27"/>
  <c r="H39" i="27"/>
  <c r="G39" i="27"/>
  <c r="F39" i="27"/>
  <c r="I39" i="27" s="1"/>
  <c r="AG38" i="27"/>
  <c r="AF38" i="27"/>
  <c r="AE38" i="27"/>
  <c r="AD38" i="27"/>
  <c r="T38" i="27"/>
  <c r="S38" i="27"/>
  <c r="R38" i="27"/>
  <c r="U38" i="27" s="1"/>
  <c r="I38" i="27"/>
  <c r="H38" i="27"/>
  <c r="G38" i="27"/>
  <c r="F38" i="27"/>
  <c r="AF37" i="27"/>
  <c r="AE37" i="27"/>
  <c r="AD37" i="27"/>
  <c r="AG37" i="27" s="1"/>
  <c r="T37" i="27"/>
  <c r="S37" i="27"/>
  <c r="R37" i="27"/>
  <c r="U37" i="27" s="1"/>
  <c r="I37" i="27"/>
  <c r="H37" i="27"/>
  <c r="G37" i="27"/>
  <c r="F37" i="27"/>
  <c r="AF36" i="27"/>
  <c r="AE36" i="27"/>
  <c r="AD36" i="27"/>
  <c r="AG36" i="27" s="1"/>
  <c r="U36" i="27"/>
  <c r="T36" i="27"/>
  <c r="S36" i="27"/>
  <c r="R36" i="27"/>
  <c r="H36" i="27"/>
  <c r="G36" i="27"/>
  <c r="F36" i="27"/>
  <c r="I36" i="27" s="1"/>
  <c r="AH35" i="27"/>
  <c r="AI37" i="27" s="1"/>
  <c r="AG35" i="27"/>
  <c r="AF35" i="27"/>
  <c r="AE35" i="27"/>
  <c r="AD35" i="27"/>
  <c r="U35" i="27"/>
  <c r="T35" i="27"/>
  <c r="S35" i="27"/>
  <c r="R35" i="27"/>
  <c r="H35" i="27"/>
  <c r="G35" i="27"/>
  <c r="F35" i="27"/>
  <c r="I35" i="27" s="1"/>
  <c r="AG34" i="27"/>
  <c r="AF34" i="27"/>
  <c r="AE34" i="27"/>
  <c r="AD34" i="27"/>
  <c r="T34" i="27"/>
  <c r="S34" i="27"/>
  <c r="R34" i="27"/>
  <c r="U34" i="27" s="1"/>
  <c r="I34" i="27"/>
  <c r="H34" i="27"/>
  <c r="G34" i="27"/>
  <c r="F34" i="27"/>
  <c r="AF31" i="27"/>
  <c r="AE31" i="27"/>
  <c r="AD31" i="27"/>
  <c r="AG31" i="27" s="1"/>
  <c r="U31" i="27"/>
  <c r="T31" i="27"/>
  <c r="S31" i="27"/>
  <c r="R31" i="27"/>
  <c r="I31" i="27"/>
  <c r="H31" i="27"/>
  <c r="G31" i="27"/>
  <c r="F31" i="27"/>
  <c r="AF30" i="27"/>
  <c r="AE30" i="27"/>
  <c r="AD30" i="27"/>
  <c r="AG30" i="27" s="1"/>
  <c r="U30" i="27"/>
  <c r="T30" i="27"/>
  <c r="S30" i="27"/>
  <c r="R30" i="27"/>
  <c r="H30" i="27"/>
  <c r="G30" i="27"/>
  <c r="F30" i="27"/>
  <c r="I30" i="27" s="1"/>
  <c r="AF29" i="27"/>
  <c r="AE29" i="27"/>
  <c r="AD29" i="27"/>
  <c r="AG29" i="27" s="1"/>
  <c r="T29" i="27"/>
  <c r="S29" i="27"/>
  <c r="R29" i="27"/>
  <c r="U29" i="27" s="1"/>
  <c r="H29" i="27"/>
  <c r="G29" i="27"/>
  <c r="F29" i="27"/>
  <c r="I29" i="27" s="1"/>
  <c r="AF28" i="27"/>
  <c r="AE28" i="27"/>
  <c r="AD28" i="27"/>
  <c r="AG28" i="27" s="1"/>
  <c r="T28" i="27"/>
  <c r="S28" i="27"/>
  <c r="R28" i="27"/>
  <c r="U28" i="27" s="1"/>
  <c r="H28" i="27"/>
  <c r="G28" i="27"/>
  <c r="F28" i="27"/>
  <c r="I28" i="27" s="1"/>
  <c r="AF27" i="27"/>
  <c r="AE27" i="27"/>
  <c r="AD27" i="27"/>
  <c r="AG27" i="27" s="1"/>
  <c r="U27" i="27"/>
  <c r="T27" i="27"/>
  <c r="S27" i="27"/>
  <c r="R27" i="27"/>
  <c r="H27" i="27"/>
  <c r="G27" i="27"/>
  <c r="F27" i="27"/>
  <c r="I27" i="27" s="1"/>
  <c r="AG26" i="27"/>
  <c r="AF26" i="27"/>
  <c r="AE26" i="27"/>
  <c r="AD26" i="27"/>
  <c r="T26" i="27"/>
  <c r="S26" i="27"/>
  <c r="R26" i="27"/>
  <c r="U26" i="27" s="1"/>
  <c r="I26" i="27"/>
  <c r="H26" i="27"/>
  <c r="G26" i="27"/>
  <c r="F26" i="27"/>
  <c r="AF25" i="27"/>
  <c r="AE25" i="27"/>
  <c r="AD25" i="27"/>
  <c r="AG25" i="27" s="1"/>
  <c r="U25" i="27"/>
  <c r="T25" i="27"/>
  <c r="S25" i="27"/>
  <c r="R25" i="27"/>
  <c r="H25" i="27"/>
  <c r="G25" i="27"/>
  <c r="F25" i="27"/>
  <c r="I25" i="27" s="1"/>
  <c r="AG24" i="27"/>
  <c r="AF24" i="27"/>
  <c r="AE24" i="27"/>
  <c r="AD24" i="27"/>
  <c r="T24" i="27"/>
  <c r="S24" i="27"/>
  <c r="R24" i="27"/>
  <c r="U24" i="27" s="1"/>
  <c r="H24" i="27"/>
  <c r="G24" i="27"/>
  <c r="F24" i="27"/>
  <c r="I24" i="27" s="1"/>
  <c r="AF23" i="27"/>
  <c r="AE23" i="27"/>
  <c r="AD23" i="27"/>
  <c r="AG23" i="27" s="1"/>
  <c r="U23" i="27"/>
  <c r="T23" i="27"/>
  <c r="S23" i="27"/>
  <c r="R23" i="27"/>
  <c r="H23" i="27"/>
  <c r="G23" i="27"/>
  <c r="F23" i="27"/>
  <c r="I23" i="27" s="1"/>
  <c r="AF22" i="27"/>
  <c r="AE22" i="27"/>
  <c r="AD22" i="27"/>
  <c r="AG22" i="27" s="1"/>
  <c r="U22" i="27"/>
  <c r="T22" i="27"/>
  <c r="S22" i="27"/>
  <c r="R22" i="27"/>
  <c r="H22" i="27"/>
  <c r="G22" i="27"/>
  <c r="F22" i="27"/>
  <c r="I22" i="27" s="1"/>
  <c r="AF21" i="27"/>
  <c r="AE21" i="27"/>
  <c r="AD21" i="27"/>
  <c r="AG21" i="27" s="1"/>
  <c r="T21" i="27"/>
  <c r="S21" i="27"/>
  <c r="R21" i="27"/>
  <c r="U21" i="27" s="1"/>
  <c r="H21" i="27"/>
  <c r="G21" i="27"/>
  <c r="F21" i="27"/>
  <c r="I21" i="27" s="1"/>
  <c r="AF20" i="27"/>
  <c r="AE20" i="27"/>
  <c r="AD20" i="27"/>
  <c r="AG20" i="27" s="1"/>
  <c r="T20" i="27"/>
  <c r="S20" i="27"/>
  <c r="R20" i="27"/>
  <c r="U20" i="27" s="1"/>
  <c r="H20" i="27"/>
  <c r="G20" i="27"/>
  <c r="F20" i="27"/>
  <c r="I20" i="27" s="1"/>
  <c r="AF19" i="27"/>
  <c r="AE19" i="27"/>
  <c r="AD19" i="27"/>
  <c r="AG19" i="27" s="1"/>
  <c r="U19" i="27"/>
  <c r="T19" i="27"/>
  <c r="S19" i="27"/>
  <c r="R19" i="27"/>
  <c r="H19" i="27"/>
  <c r="G19" i="27"/>
  <c r="F19" i="27"/>
  <c r="I19" i="27" s="1"/>
  <c r="AG18" i="27"/>
  <c r="AF18" i="27"/>
  <c r="AE18" i="27"/>
  <c r="AD18" i="27"/>
  <c r="T18" i="27"/>
  <c r="S18" i="27"/>
  <c r="R18" i="27"/>
  <c r="U18" i="27" s="1"/>
  <c r="H18" i="27"/>
  <c r="G18" i="27"/>
  <c r="F18" i="27"/>
  <c r="I18" i="27" s="1"/>
  <c r="AF17" i="27"/>
  <c r="AE17" i="27"/>
  <c r="AD17" i="27"/>
  <c r="AG17" i="27" s="1"/>
  <c r="U17" i="27"/>
  <c r="T17" i="27"/>
  <c r="S17" i="27"/>
  <c r="R17" i="27"/>
  <c r="I17" i="27"/>
  <c r="H17" i="27"/>
  <c r="G17" i="27"/>
  <c r="F17" i="27"/>
  <c r="AF16" i="27"/>
  <c r="AE16" i="27"/>
  <c r="AD16" i="27"/>
  <c r="AG16" i="27" s="1"/>
  <c r="T16" i="27"/>
  <c r="S16" i="27"/>
  <c r="R16" i="27"/>
  <c r="U16" i="27" s="1"/>
  <c r="H16" i="27"/>
  <c r="G16" i="27"/>
  <c r="F16" i="27"/>
  <c r="I16" i="27" s="1"/>
  <c r="AG15" i="27"/>
  <c r="AF15" i="27"/>
  <c r="AE15" i="27"/>
  <c r="AD15" i="27"/>
  <c r="T15" i="27"/>
  <c r="S15" i="27"/>
  <c r="R15" i="27"/>
  <c r="U15" i="27" s="1"/>
  <c r="I15" i="27"/>
  <c r="H15" i="27"/>
  <c r="G15" i="27"/>
  <c r="F15" i="27"/>
  <c r="AF14" i="27"/>
  <c r="AE14" i="27"/>
  <c r="AD14" i="27"/>
  <c r="AG14" i="27" s="1"/>
  <c r="T14" i="27"/>
  <c r="S14" i="27"/>
  <c r="R14" i="27"/>
  <c r="U14" i="27" s="1"/>
  <c r="H14" i="27"/>
  <c r="G14" i="27"/>
  <c r="F14" i="27"/>
  <c r="I14" i="27" s="1"/>
  <c r="AF13" i="27"/>
  <c r="AE13" i="27"/>
  <c r="AD13" i="27"/>
  <c r="AG13" i="27" s="1"/>
  <c r="T13" i="27"/>
  <c r="S13" i="27"/>
  <c r="R13" i="27"/>
  <c r="U13" i="27" s="1"/>
  <c r="H13" i="27"/>
  <c r="G13" i="27"/>
  <c r="F13" i="27"/>
  <c r="I13" i="27" s="1"/>
  <c r="AF12" i="27"/>
  <c r="AE12" i="27"/>
  <c r="AD12" i="27"/>
  <c r="AG12" i="27" s="1"/>
  <c r="T12" i="27"/>
  <c r="S12" i="27"/>
  <c r="R12" i="27"/>
  <c r="U12" i="27" s="1"/>
  <c r="H12" i="27"/>
  <c r="G12" i="27"/>
  <c r="F12" i="27"/>
  <c r="I12" i="27" s="1"/>
  <c r="AF11" i="27"/>
  <c r="AE11" i="27"/>
  <c r="AD11" i="27"/>
  <c r="AG11" i="27" s="1"/>
  <c r="T11" i="27"/>
  <c r="S11" i="27"/>
  <c r="R11" i="27"/>
  <c r="U11" i="27" s="1"/>
  <c r="H11" i="27"/>
  <c r="G11" i="27"/>
  <c r="F11" i="27"/>
  <c r="I11" i="27" s="1"/>
  <c r="AG10" i="27"/>
  <c r="AF10" i="27"/>
  <c r="AE10" i="27"/>
  <c r="AD10" i="27"/>
  <c r="T10" i="27"/>
  <c r="S10" i="27"/>
  <c r="R10" i="27"/>
  <c r="U10" i="27" s="1"/>
  <c r="I10" i="27"/>
  <c r="H10" i="27"/>
  <c r="G10" i="27"/>
  <c r="F10" i="27"/>
  <c r="AF9" i="27"/>
  <c r="AE9" i="27"/>
  <c r="AD9" i="27"/>
  <c r="AG9" i="27" s="1"/>
  <c r="U9" i="27"/>
  <c r="T9" i="27"/>
  <c r="S9" i="27"/>
  <c r="R9" i="27"/>
  <c r="H9" i="27"/>
  <c r="G9" i="27"/>
  <c r="F9" i="27"/>
  <c r="I9" i="27" s="1"/>
  <c r="AG8" i="27"/>
  <c r="AF8" i="27"/>
  <c r="AE8" i="27"/>
  <c r="AD8" i="27"/>
  <c r="T8" i="27"/>
  <c r="S8" i="27"/>
  <c r="R8" i="27"/>
  <c r="U8" i="27" s="1"/>
  <c r="H8" i="27"/>
  <c r="G8" i="27"/>
  <c r="F8" i="27"/>
  <c r="I8" i="27" s="1"/>
  <c r="AG7" i="27"/>
  <c r="AF7" i="27"/>
  <c r="AE7" i="27"/>
  <c r="AD7" i="27"/>
  <c r="T7" i="27"/>
  <c r="S7" i="27"/>
  <c r="R7" i="27"/>
  <c r="U7" i="27" s="1"/>
  <c r="H7" i="27"/>
  <c r="G7" i="27"/>
  <c r="F7" i="27"/>
  <c r="I7" i="27" s="1"/>
  <c r="AB3" i="27"/>
  <c r="AA3" i="27"/>
  <c r="Z3" i="27"/>
  <c r="P3" i="27"/>
  <c r="O3" i="27"/>
  <c r="N3" i="27"/>
  <c r="D3" i="27"/>
  <c r="C3" i="27"/>
  <c r="B3" i="27"/>
  <c r="M2" i="27"/>
  <c r="A2" i="27"/>
  <c r="AG41" i="26"/>
  <c r="AF41" i="26"/>
  <c r="AE41" i="26"/>
  <c r="AD41" i="26"/>
  <c r="T41" i="26"/>
  <c r="S41" i="26"/>
  <c r="R41" i="26"/>
  <c r="U41" i="26" s="1"/>
  <c r="I41" i="26"/>
  <c r="H41" i="26"/>
  <c r="G41" i="26"/>
  <c r="F41" i="26"/>
  <c r="AF40" i="26"/>
  <c r="AE40" i="26"/>
  <c r="AD40" i="26"/>
  <c r="AG40" i="26" s="1"/>
  <c r="U40" i="26"/>
  <c r="T40" i="26"/>
  <c r="S40" i="26"/>
  <c r="R40" i="26"/>
  <c r="H40" i="26"/>
  <c r="G40" i="26"/>
  <c r="F40" i="26"/>
  <c r="I40" i="26" s="1"/>
  <c r="AG39" i="26"/>
  <c r="AF39" i="26"/>
  <c r="AE39" i="26"/>
  <c r="AD39" i="26"/>
  <c r="T39" i="26"/>
  <c r="S39" i="26"/>
  <c r="R39" i="26"/>
  <c r="U39" i="26" s="1"/>
  <c r="I39" i="26"/>
  <c r="H39" i="26"/>
  <c r="G39" i="26"/>
  <c r="F39" i="26"/>
  <c r="AF38" i="26"/>
  <c r="AE38" i="26"/>
  <c r="AD38" i="26"/>
  <c r="AG38" i="26" s="1"/>
  <c r="U38" i="26"/>
  <c r="T38" i="26"/>
  <c r="S38" i="26"/>
  <c r="R38" i="26"/>
  <c r="H38" i="26"/>
  <c r="G38" i="26"/>
  <c r="F38" i="26"/>
  <c r="I38" i="26" s="1"/>
  <c r="AF37" i="26"/>
  <c r="AE37" i="26"/>
  <c r="AD37" i="26"/>
  <c r="AG37" i="26" s="1"/>
  <c r="U37" i="26"/>
  <c r="T37" i="26"/>
  <c r="S37" i="26"/>
  <c r="R37" i="26"/>
  <c r="H37" i="26"/>
  <c r="G37" i="26"/>
  <c r="F37" i="26"/>
  <c r="I37" i="26" s="1"/>
  <c r="AG36" i="26"/>
  <c r="AF36" i="26"/>
  <c r="AE36" i="26"/>
  <c r="AD36" i="26"/>
  <c r="T36" i="26"/>
  <c r="S36" i="26"/>
  <c r="R36" i="26"/>
  <c r="U36" i="26" s="1"/>
  <c r="I36" i="26"/>
  <c r="H36" i="26"/>
  <c r="G36" i="26"/>
  <c r="F36" i="26"/>
  <c r="AF35" i="26"/>
  <c r="AE35" i="26"/>
  <c r="AD35" i="26"/>
  <c r="AG35" i="26" s="1"/>
  <c r="T35" i="26"/>
  <c r="S35" i="26"/>
  <c r="R35" i="26"/>
  <c r="U35" i="26" s="1"/>
  <c r="J35" i="26"/>
  <c r="K37" i="26" s="1"/>
  <c r="Q29" i="44" s="1"/>
  <c r="I35" i="26"/>
  <c r="H35" i="26"/>
  <c r="G35" i="26"/>
  <c r="F35" i="26"/>
  <c r="AF34" i="26"/>
  <c r="AE34" i="26"/>
  <c r="AD34" i="26"/>
  <c r="AG34" i="26" s="1"/>
  <c r="U34" i="26"/>
  <c r="V35" i="26" s="1"/>
  <c r="W37" i="26" s="1"/>
  <c r="Q29" i="45" s="1"/>
  <c r="R29" i="45" s="1"/>
  <c r="T34" i="26"/>
  <c r="S34" i="26"/>
  <c r="R34" i="26"/>
  <c r="H34" i="26"/>
  <c r="G34" i="26"/>
  <c r="F34" i="26"/>
  <c r="I34" i="26" s="1"/>
  <c r="AG31" i="26"/>
  <c r="AF31" i="26"/>
  <c r="AE31" i="26"/>
  <c r="AD31" i="26"/>
  <c r="T31" i="26"/>
  <c r="S31" i="26"/>
  <c r="R31" i="26"/>
  <c r="U31" i="26" s="1"/>
  <c r="H31" i="26"/>
  <c r="G31" i="26"/>
  <c r="F31" i="26"/>
  <c r="I31" i="26" s="1"/>
  <c r="AF30" i="26"/>
  <c r="AE30" i="26"/>
  <c r="AD30" i="26"/>
  <c r="AG30" i="26" s="1"/>
  <c r="T30" i="26"/>
  <c r="S30" i="26"/>
  <c r="R30" i="26"/>
  <c r="U30" i="26" s="1"/>
  <c r="I30" i="26"/>
  <c r="H30" i="26"/>
  <c r="G30" i="26"/>
  <c r="F30" i="26"/>
  <c r="AF29" i="26"/>
  <c r="AE29" i="26"/>
  <c r="AD29" i="26"/>
  <c r="AG29" i="26" s="1"/>
  <c r="U29" i="26"/>
  <c r="T29" i="26"/>
  <c r="S29" i="26"/>
  <c r="R29" i="26"/>
  <c r="H29" i="26"/>
  <c r="G29" i="26"/>
  <c r="F29" i="26"/>
  <c r="I29" i="26" s="1"/>
  <c r="AF28" i="26"/>
  <c r="AE28" i="26"/>
  <c r="AD28" i="26"/>
  <c r="AG28" i="26" s="1"/>
  <c r="T28" i="26"/>
  <c r="S28" i="26"/>
  <c r="R28" i="26"/>
  <c r="U28" i="26" s="1"/>
  <c r="H28" i="26"/>
  <c r="G28" i="26"/>
  <c r="F28" i="26"/>
  <c r="I28" i="26" s="1"/>
  <c r="AF27" i="26"/>
  <c r="AE27" i="26"/>
  <c r="AD27" i="26"/>
  <c r="AG27" i="26" s="1"/>
  <c r="T27" i="26"/>
  <c r="S27" i="26"/>
  <c r="R27" i="26"/>
  <c r="U27" i="26" s="1"/>
  <c r="I27" i="26"/>
  <c r="H27" i="26"/>
  <c r="G27" i="26"/>
  <c r="F27" i="26"/>
  <c r="AF26" i="26"/>
  <c r="AE26" i="26"/>
  <c r="AD26" i="26"/>
  <c r="AG26" i="26" s="1"/>
  <c r="U26" i="26"/>
  <c r="T26" i="26"/>
  <c r="S26" i="26"/>
  <c r="R26" i="26"/>
  <c r="H26" i="26"/>
  <c r="G26" i="26"/>
  <c r="F26" i="26"/>
  <c r="I26" i="26" s="1"/>
  <c r="AG25" i="26"/>
  <c r="AF25" i="26"/>
  <c r="AE25" i="26"/>
  <c r="AD25" i="26"/>
  <c r="T25" i="26"/>
  <c r="S25" i="26"/>
  <c r="R25" i="26"/>
  <c r="U25" i="26" s="1"/>
  <c r="I25" i="26"/>
  <c r="H25" i="26"/>
  <c r="G25" i="26"/>
  <c r="F25" i="26"/>
  <c r="AF24" i="26"/>
  <c r="AE24" i="26"/>
  <c r="AD24" i="26"/>
  <c r="AG24" i="26" s="1"/>
  <c r="T24" i="26"/>
  <c r="S24" i="26"/>
  <c r="R24" i="26"/>
  <c r="U24" i="26" s="1"/>
  <c r="H24" i="26"/>
  <c r="G24" i="26"/>
  <c r="F24" i="26"/>
  <c r="I24" i="26" s="1"/>
  <c r="AG23" i="26"/>
  <c r="AF23" i="26"/>
  <c r="AE23" i="26"/>
  <c r="AD23" i="26"/>
  <c r="T23" i="26"/>
  <c r="S23" i="26"/>
  <c r="R23" i="26"/>
  <c r="U23" i="26" s="1"/>
  <c r="I23" i="26"/>
  <c r="H23" i="26"/>
  <c r="G23" i="26"/>
  <c r="F23" i="26"/>
  <c r="AG22" i="26"/>
  <c r="AF22" i="26"/>
  <c r="AE22" i="26"/>
  <c r="AD22" i="26"/>
  <c r="T22" i="26"/>
  <c r="S22" i="26"/>
  <c r="R22" i="26"/>
  <c r="U22" i="26" s="1"/>
  <c r="H22" i="26"/>
  <c r="G22" i="26"/>
  <c r="F22" i="26"/>
  <c r="I22" i="26" s="1"/>
  <c r="AF21" i="26"/>
  <c r="AE21" i="26"/>
  <c r="AD21" i="26"/>
  <c r="AG21" i="26" s="1"/>
  <c r="T21" i="26"/>
  <c r="S21" i="26"/>
  <c r="R21" i="26"/>
  <c r="U21" i="26" s="1"/>
  <c r="H21" i="26"/>
  <c r="G21" i="26"/>
  <c r="F21" i="26"/>
  <c r="I21" i="26" s="1"/>
  <c r="AF20" i="26"/>
  <c r="AE20" i="26"/>
  <c r="AD20" i="26"/>
  <c r="AG20" i="26" s="1"/>
  <c r="T20" i="26"/>
  <c r="S20" i="26"/>
  <c r="R20" i="26"/>
  <c r="U20" i="26" s="1"/>
  <c r="H20" i="26"/>
  <c r="G20" i="26"/>
  <c r="F20" i="26"/>
  <c r="I20" i="26" s="1"/>
  <c r="AF19" i="26"/>
  <c r="AE19" i="26"/>
  <c r="AD19" i="26"/>
  <c r="AG19" i="26" s="1"/>
  <c r="T19" i="26"/>
  <c r="S19" i="26"/>
  <c r="R19" i="26"/>
  <c r="U19" i="26" s="1"/>
  <c r="I19" i="26"/>
  <c r="H19" i="26"/>
  <c r="G19" i="26"/>
  <c r="F19" i="26"/>
  <c r="AF18" i="26"/>
  <c r="AE18" i="26"/>
  <c r="AD18" i="26"/>
  <c r="AG18" i="26" s="1"/>
  <c r="T18" i="26"/>
  <c r="S18" i="26"/>
  <c r="R18" i="26"/>
  <c r="U18" i="26" s="1"/>
  <c r="H18" i="26"/>
  <c r="G18" i="26"/>
  <c r="F18" i="26"/>
  <c r="I18" i="26" s="1"/>
  <c r="AG17" i="26"/>
  <c r="AF17" i="26"/>
  <c r="AE17" i="26"/>
  <c r="AD17" i="26"/>
  <c r="T17" i="26"/>
  <c r="S17" i="26"/>
  <c r="R17" i="26"/>
  <c r="U17" i="26" s="1"/>
  <c r="H17" i="26"/>
  <c r="G17" i="26"/>
  <c r="F17" i="26"/>
  <c r="I17" i="26" s="1"/>
  <c r="AF16" i="26"/>
  <c r="AE16" i="26"/>
  <c r="AD16" i="26"/>
  <c r="AG16" i="26" s="1"/>
  <c r="T16" i="26"/>
  <c r="S16" i="26"/>
  <c r="R16" i="26"/>
  <c r="U16" i="26" s="1"/>
  <c r="H16" i="26"/>
  <c r="G16" i="26"/>
  <c r="F16" i="26"/>
  <c r="I16" i="26" s="1"/>
  <c r="AF15" i="26"/>
  <c r="AE15" i="26"/>
  <c r="AD15" i="26"/>
  <c r="AG15" i="26" s="1"/>
  <c r="U15" i="26"/>
  <c r="T15" i="26"/>
  <c r="S15" i="26"/>
  <c r="R15" i="26"/>
  <c r="H15" i="26"/>
  <c r="G15" i="26"/>
  <c r="F15" i="26"/>
  <c r="I15" i="26" s="1"/>
  <c r="AF14" i="26"/>
  <c r="AE14" i="26"/>
  <c r="AD14" i="26"/>
  <c r="AG14" i="26" s="1"/>
  <c r="T14" i="26"/>
  <c r="S14" i="26"/>
  <c r="R14" i="26"/>
  <c r="U14" i="26" s="1"/>
  <c r="H14" i="26"/>
  <c r="G14" i="26"/>
  <c r="F14" i="26"/>
  <c r="I14" i="26" s="1"/>
  <c r="AF13" i="26"/>
  <c r="AE13" i="26"/>
  <c r="AD13" i="26"/>
  <c r="AG13" i="26" s="1"/>
  <c r="U13" i="26"/>
  <c r="T13" i="26"/>
  <c r="S13" i="26"/>
  <c r="R13" i="26"/>
  <c r="H13" i="26"/>
  <c r="G13" i="26"/>
  <c r="F13" i="26"/>
  <c r="I13" i="26" s="1"/>
  <c r="AF12" i="26"/>
  <c r="AE12" i="26"/>
  <c r="AD12" i="26"/>
  <c r="AG12" i="26" s="1"/>
  <c r="T12" i="26"/>
  <c r="S12" i="26"/>
  <c r="R12" i="26"/>
  <c r="U12" i="26" s="1"/>
  <c r="H12" i="26"/>
  <c r="G12" i="26"/>
  <c r="F12" i="26"/>
  <c r="I12" i="26" s="1"/>
  <c r="AF11" i="26"/>
  <c r="AE11" i="26"/>
  <c r="AD11" i="26"/>
  <c r="AG11" i="26" s="1"/>
  <c r="T11" i="26"/>
  <c r="S11" i="26"/>
  <c r="R11" i="26"/>
  <c r="U11" i="26" s="1"/>
  <c r="H11" i="26"/>
  <c r="G11" i="26"/>
  <c r="F11" i="26"/>
  <c r="I11" i="26" s="1"/>
  <c r="AG10" i="26"/>
  <c r="AF10" i="26"/>
  <c r="AE10" i="26"/>
  <c r="AD10" i="26"/>
  <c r="T10" i="26"/>
  <c r="S10" i="26"/>
  <c r="R10" i="26"/>
  <c r="U10" i="26" s="1"/>
  <c r="I10" i="26"/>
  <c r="H10" i="26"/>
  <c r="G10" i="26"/>
  <c r="F10" i="26"/>
  <c r="AF9" i="26"/>
  <c r="AE9" i="26"/>
  <c r="AD9" i="26"/>
  <c r="AG9" i="26" s="1"/>
  <c r="T9" i="26"/>
  <c r="S9" i="26"/>
  <c r="R9" i="26"/>
  <c r="U9" i="26" s="1"/>
  <c r="V7" i="26" s="1"/>
  <c r="W7" i="26" s="1"/>
  <c r="H9" i="26"/>
  <c r="G9" i="26"/>
  <c r="F9" i="26"/>
  <c r="I9" i="26" s="1"/>
  <c r="AF8" i="26"/>
  <c r="AE8" i="26"/>
  <c r="AD8" i="26"/>
  <c r="AG8" i="26" s="1"/>
  <c r="T8" i="26"/>
  <c r="S8" i="26"/>
  <c r="R8" i="26"/>
  <c r="U8" i="26" s="1"/>
  <c r="H8" i="26"/>
  <c r="G8" i="26"/>
  <c r="F8" i="26"/>
  <c r="I8" i="26" s="1"/>
  <c r="AF7" i="26"/>
  <c r="AE7" i="26"/>
  <c r="AD7" i="26"/>
  <c r="AG7" i="26" s="1"/>
  <c r="T7" i="26"/>
  <c r="S7" i="26"/>
  <c r="R7" i="26"/>
  <c r="U7" i="26" s="1"/>
  <c r="V27" i="26" s="1"/>
  <c r="W27" i="26" s="1"/>
  <c r="O29" i="45" s="1"/>
  <c r="P29" i="45" s="1"/>
  <c r="I7" i="26"/>
  <c r="J27" i="26" s="1"/>
  <c r="K27" i="26" s="1"/>
  <c r="O29" i="44" s="1"/>
  <c r="H7" i="26"/>
  <c r="G7" i="26"/>
  <c r="F7" i="26"/>
  <c r="AB3" i="26"/>
  <c r="AA3" i="26"/>
  <c r="Z3" i="26"/>
  <c r="P3" i="26"/>
  <c r="O3" i="26"/>
  <c r="N3" i="26"/>
  <c r="D3" i="26"/>
  <c r="C3" i="26"/>
  <c r="B3" i="26"/>
  <c r="M2" i="26"/>
  <c r="A2" i="26"/>
  <c r="AG41" i="25"/>
  <c r="AF41" i="25"/>
  <c r="AE41" i="25"/>
  <c r="AD41" i="25"/>
  <c r="T41" i="25"/>
  <c r="S41" i="25"/>
  <c r="R41" i="25"/>
  <c r="U41" i="25" s="1"/>
  <c r="I41" i="25"/>
  <c r="H41" i="25"/>
  <c r="G41" i="25"/>
  <c r="F41" i="25"/>
  <c r="AF40" i="25"/>
  <c r="AE40" i="25"/>
  <c r="AD40" i="25"/>
  <c r="AG40" i="25" s="1"/>
  <c r="U40" i="25"/>
  <c r="T40" i="25"/>
  <c r="S40" i="25"/>
  <c r="R40" i="25"/>
  <c r="H40" i="25"/>
  <c r="G40" i="25"/>
  <c r="F40" i="25"/>
  <c r="I40" i="25" s="1"/>
  <c r="AG39" i="25"/>
  <c r="AF39" i="25"/>
  <c r="AE39" i="25"/>
  <c r="AD39" i="25"/>
  <c r="T39" i="25"/>
  <c r="S39" i="25"/>
  <c r="R39" i="25"/>
  <c r="U39" i="25" s="1"/>
  <c r="I39" i="25"/>
  <c r="H39" i="25"/>
  <c r="G39" i="25"/>
  <c r="F39" i="25"/>
  <c r="AF38" i="25"/>
  <c r="AE38" i="25"/>
  <c r="AD38" i="25"/>
  <c r="AG38" i="25" s="1"/>
  <c r="U38" i="25"/>
  <c r="T38" i="25"/>
  <c r="S38" i="25"/>
  <c r="R38" i="25"/>
  <c r="H38" i="25"/>
  <c r="G38" i="25"/>
  <c r="F38" i="25"/>
  <c r="I38" i="25" s="1"/>
  <c r="AG37" i="25"/>
  <c r="AF37" i="25"/>
  <c r="AE37" i="25"/>
  <c r="AD37" i="25"/>
  <c r="T37" i="25"/>
  <c r="S37" i="25"/>
  <c r="R37" i="25"/>
  <c r="U37" i="25" s="1"/>
  <c r="H37" i="25"/>
  <c r="G37" i="25"/>
  <c r="F37" i="25"/>
  <c r="I37" i="25" s="1"/>
  <c r="AG36" i="25"/>
  <c r="AF36" i="25"/>
  <c r="AE36" i="25"/>
  <c r="AD36" i="25"/>
  <c r="T36" i="25"/>
  <c r="S36" i="25"/>
  <c r="R36" i="25"/>
  <c r="U36" i="25" s="1"/>
  <c r="H36" i="25"/>
  <c r="G36" i="25"/>
  <c r="F36" i="25"/>
  <c r="I36" i="25" s="1"/>
  <c r="AF35" i="25"/>
  <c r="AE35" i="25"/>
  <c r="AD35" i="25"/>
  <c r="AG35" i="25" s="1"/>
  <c r="U35" i="25"/>
  <c r="V35" i="25" s="1"/>
  <c r="W37" i="25" s="1"/>
  <c r="Q28" i="45" s="1"/>
  <c r="R28" i="45" s="1"/>
  <c r="T35" i="25"/>
  <c r="S35" i="25"/>
  <c r="R35" i="25"/>
  <c r="H35" i="25"/>
  <c r="G35" i="25"/>
  <c r="F35" i="25"/>
  <c r="I35" i="25" s="1"/>
  <c r="AG34" i="25"/>
  <c r="AF34" i="25"/>
  <c r="AE34" i="25"/>
  <c r="AD34" i="25"/>
  <c r="T34" i="25"/>
  <c r="S34" i="25"/>
  <c r="R34" i="25"/>
  <c r="U34" i="25" s="1"/>
  <c r="I34" i="25"/>
  <c r="H34" i="25"/>
  <c r="G34" i="25"/>
  <c r="F34" i="25"/>
  <c r="AG31" i="25"/>
  <c r="AF31" i="25"/>
  <c r="AE31" i="25"/>
  <c r="AD31" i="25"/>
  <c r="T31" i="25"/>
  <c r="S31" i="25"/>
  <c r="R31" i="25"/>
  <c r="U31" i="25" s="1"/>
  <c r="I31" i="25"/>
  <c r="H31" i="25"/>
  <c r="G31" i="25"/>
  <c r="F31" i="25"/>
  <c r="AF30" i="25"/>
  <c r="AE30" i="25"/>
  <c r="AD30" i="25"/>
  <c r="AG30" i="25" s="1"/>
  <c r="U30" i="25"/>
  <c r="T30" i="25"/>
  <c r="S30" i="25"/>
  <c r="R30" i="25"/>
  <c r="H30" i="25"/>
  <c r="G30" i="25"/>
  <c r="F30" i="25"/>
  <c r="I30" i="25" s="1"/>
  <c r="AG29" i="25"/>
  <c r="AF29" i="25"/>
  <c r="AE29" i="25"/>
  <c r="AD29" i="25"/>
  <c r="T29" i="25"/>
  <c r="S29" i="25"/>
  <c r="R29" i="25"/>
  <c r="U29" i="25" s="1"/>
  <c r="H29" i="25"/>
  <c r="G29" i="25"/>
  <c r="F29" i="25"/>
  <c r="I29" i="25" s="1"/>
  <c r="AF28" i="25"/>
  <c r="AE28" i="25"/>
  <c r="AD28" i="25"/>
  <c r="AG28" i="25" s="1"/>
  <c r="T28" i="25"/>
  <c r="S28" i="25"/>
  <c r="R28" i="25"/>
  <c r="U28" i="25" s="1"/>
  <c r="H28" i="25"/>
  <c r="G28" i="25"/>
  <c r="F28" i="25"/>
  <c r="I28" i="25" s="1"/>
  <c r="AF27" i="25"/>
  <c r="AE27" i="25"/>
  <c r="AD27" i="25"/>
  <c r="AG27" i="25" s="1"/>
  <c r="U27" i="25"/>
  <c r="T27" i="25"/>
  <c r="S27" i="25"/>
  <c r="R27" i="25"/>
  <c r="H27" i="25"/>
  <c r="G27" i="25"/>
  <c r="F27" i="25"/>
  <c r="I27" i="25" s="1"/>
  <c r="AF26" i="25"/>
  <c r="AE26" i="25"/>
  <c r="AD26" i="25"/>
  <c r="AG26" i="25" s="1"/>
  <c r="T26" i="25"/>
  <c r="S26" i="25"/>
  <c r="R26" i="25"/>
  <c r="U26" i="25" s="1"/>
  <c r="H26" i="25"/>
  <c r="G26" i="25"/>
  <c r="F26" i="25"/>
  <c r="I26" i="25" s="1"/>
  <c r="AF25" i="25"/>
  <c r="AE25" i="25"/>
  <c r="AD25" i="25"/>
  <c r="AG25" i="25" s="1"/>
  <c r="T25" i="25"/>
  <c r="S25" i="25"/>
  <c r="R25" i="25"/>
  <c r="U25" i="25" s="1"/>
  <c r="H25" i="25"/>
  <c r="G25" i="25"/>
  <c r="F25" i="25"/>
  <c r="I25" i="25" s="1"/>
  <c r="AF24" i="25"/>
  <c r="AE24" i="25"/>
  <c r="AD24" i="25"/>
  <c r="AG24" i="25" s="1"/>
  <c r="T24" i="25"/>
  <c r="S24" i="25"/>
  <c r="R24" i="25"/>
  <c r="U24" i="25" s="1"/>
  <c r="H24" i="25"/>
  <c r="G24" i="25"/>
  <c r="F24" i="25"/>
  <c r="I24" i="25" s="1"/>
  <c r="AG23" i="25"/>
  <c r="AF23" i="25"/>
  <c r="AE23" i="25"/>
  <c r="AD23" i="25"/>
  <c r="T23" i="25"/>
  <c r="S23" i="25"/>
  <c r="R23" i="25"/>
  <c r="U23" i="25" s="1"/>
  <c r="I23" i="25"/>
  <c r="H23" i="25"/>
  <c r="G23" i="25"/>
  <c r="F23" i="25"/>
  <c r="AF22" i="25"/>
  <c r="AE22" i="25"/>
  <c r="AD22" i="25"/>
  <c r="AG22" i="25" s="1"/>
  <c r="T22" i="25"/>
  <c r="S22" i="25"/>
  <c r="R22" i="25"/>
  <c r="U22" i="25" s="1"/>
  <c r="I22" i="25"/>
  <c r="H22" i="25"/>
  <c r="G22" i="25"/>
  <c r="F22" i="25"/>
  <c r="AF21" i="25"/>
  <c r="AE21" i="25"/>
  <c r="AD21" i="25"/>
  <c r="AG21" i="25" s="1"/>
  <c r="T21" i="25"/>
  <c r="S21" i="25"/>
  <c r="R21" i="25"/>
  <c r="U21" i="25" s="1"/>
  <c r="H21" i="25"/>
  <c r="G21" i="25"/>
  <c r="F21" i="25"/>
  <c r="I21" i="25" s="1"/>
  <c r="AG20" i="25"/>
  <c r="AF20" i="25"/>
  <c r="AE20" i="25"/>
  <c r="AD20" i="25"/>
  <c r="T20" i="25"/>
  <c r="S20" i="25"/>
  <c r="R20" i="25"/>
  <c r="U20" i="25" s="1"/>
  <c r="I20" i="25"/>
  <c r="H20" i="25"/>
  <c r="G20" i="25"/>
  <c r="F20" i="25"/>
  <c r="AF19" i="25"/>
  <c r="AE19" i="25"/>
  <c r="AD19" i="25"/>
  <c r="AG19" i="25" s="1"/>
  <c r="T19" i="25"/>
  <c r="S19" i="25"/>
  <c r="R19" i="25"/>
  <c r="U19" i="25" s="1"/>
  <c r="H19" i="25"/>
  <c r="G19" i="25"/>
  <c r="F19" i="25"/>
  <c r="I19" i="25" s="1"/>
  <c r="AF18" i="25"/>
  <c r="AE18" i="25"/>
  <c r="AD18" i="25"/>
  <c r="AG18" i="25" s="1"/>
  <c r="T18" i="25"/>
  <c r="S18" i="25"/>
  <c r="R18" i="25"/>
  <c r="U18" i="25" s="1"/>
  <c r="H18" i="25"/>
  <c r="G18" i="25"/>
  <c r="F18" i="25"/>
  <c r="I18" i="25" s="1"/>
  <c r="AF17" i="25"/>
  <c r="AE17" i="25"/>
  <c r="AD17" i="25"/>
  <c r="AG17" i="25" s="1"/>
  <c r="T17" i="25"/>
  <c r="S17" i="25"/>
  <c r="R17" i="25"/>
  <c r="U17" i="25" s="1"/>
  <c r="H17" i="25"/>
  <c r="G17" i="25"/>
  <c r="F17" i="25"/>
  <c r="I17" i="25" s="1"/>
  <c r="AF16" i="25"/>
  <c r="AE16" i="25"/>
  <c r="AD16" i="25"/>
  <c r="AG16" i="25" s="1"/>
  <c r="T16" i="25"/>
  <c r="S16" i="25"/>
  <c r="R16" i="25"/>
  <c r="U16" i="25" s="1"/>
  <c r="H16" i="25"/>
  <c r="G16" i="25"/>
  <c r="F16" i="25"/>
  <c r="I16" i="25" s="1"/>
  <c r="AF15" i="25"/>
  <c r="AE15" i="25"/>
  <c r="AD15" i="25"/>
  <c r="AG15" i="25" s="1"/>
  <c r="T15" i="25"/>
  <c r="S15" i="25"/>
  <c r="R15" i="25"/>
  <c r="U15" i="25" s="1"/>
  <c r="H15" i="25"/>
  <c r="G15" i="25"/>
  <c r="F15" i="25"/>
  <c r="I15" i="25" s="1"/>
  <c r="AF14" i="25"/>
  <c r="AE14" i="25"/>
  <c r="AD14" i="25"/>
  <c r="AG14" i="25" s="1"/>
  <c r="T14" i="25"/>
  <c r="S14" i="25"/>
  <c r="R14" i="25"/>
  <c r="U14" i="25" s="1"/>
  <c r="H14" i="25"/>
  <c r="G14" i="25"/>
  <c r="F14" i="25"/>
  <c r="I14" i="25" s="1"/>
  <c r="AF13" i="25"/>
  <c r="AE13" i="25"/>
  <c r="AD13" i="25"/>
  <c r="AG13" i="25" s="1"/>
  <c r="T13" i="25"/>
  <c r="S13" i="25"/>
  <c r="R13" i="25"/>
  <c r="U13" i="25" s="1"/>
  <c r="H13" i="25"/>
  <c r="G13" i="25"/>
  <c r="F13" i="25"/>
  <c r="I13" i="25" s="1"/>
  <c r="AG12" i="25"/>
  <c r="AF12" i="25"/>
  <c r="AE12" i="25"/>
  <c r="AD12" i="25"/>
  <c r="U12" i="25"/>
  <c r="T12" i="25"/>
  <c r="S12" i="25"/>
  <c r="R12" i="25"/>
  <c r="H12" i="25"/>
  <c r="G12" i="25"/>
  <c r="F12" i="25"/>
  <c r="I12" i="25" s="1"/>
  <c r="AF11" i="25"/>
  <c r="AE11" i="25"/>
  <c r="AD11" i="25"/>
  <c r="AG11" i="25" s="1"/>
  <c r="T11" i="25"/>
  <c r="S11" i="25"/>
  <c r="R11" i="25"/>
  <c r="U11" i="25" s="1"/>
  <c r="H11" i="25"/>
  <c r="G11" i="25"/>
  <c r="F11" i="25"/>
  <c r="I11" i="25" s="1"/>
  <c r="AF10" i="25"/>
  <c r="AE10" i="25"/>
  <c r="AD10" i="25"/>
  <c r="AG10" i="25" s="1"/>
  <c r="U10" i="25"/>
  <c r="T10" i="25"/>
  <c r="S10" i="25"/>
  <c r="R10" i="25"/>
  <c r="H10" i="25"/>
  <c r="G10" i="25"/>
  <c r="F10" i="25"/>
  <c r="I10" i="25" s="1"/>
  <c r="AF9" i="25"/>
  <c r="AE9" i="25"/>
  <c r="AD9" i="25"/>
  <c r="AG9" i="25" s="1"/>
  <c r="T9" i="25"/>
  <c r="S9" i="25"/>
  <c r="R9" i="25"/>
  <c r="U9" i="25" s="1"/>
  <c r="H9" i="25"/>
  <c r="G9" i="25"/>
  <c r="F9" i="25"/>
  <c r="I9" i="25" s="1"/>
  <c r="AF8" i="25"/>
  <c r="AE8" i="25"/>
  <c r="AD8" i="25"/>
  <c r="AG8" i="25" s="1"/>
  <c r="T8" i="25"/>
  <c r="S8" i="25"/>
  <c r="R8" i="25"/>
  <c r="U8" i="25" s="1"/>
  <c r="H8" i="25"/>
  <c r="G8" i="25"/>
  <c r="F8" i="25"/>
  <c r="I8" i="25" s="1"/>
  <c r="AF7" i="25"/>
  <c r="AE7" i="25"/>
  <c r="AD7" i="25"/>
  <c r="AG7" i="25" s="1"/>
  <c r="AH27" i="25" s="1"/>
  <c r="U7" i="25"/>
  <c r="V27" i="25" s="1"/>
  <c r="W27" i="25" s="1"/>
  <c r="O28" i="45" s="1"/>
  <c r="P28" i="45" s="1"/>
  <c r="T7" i="25"/>
  <c r="S7" i="25"/>
  <c r="R7" i="25"/>
  <c r="H7" i="25"/>
  <c r="G7" i="25"/>
  <c r="F7" i="25"/>
  <c r="I7" i="25" s="1"/>
  <c r="J27" i="25" s="1"/>
  <c r="K27" i="25" s="1"/>
  <c r="O28" i="44" s="1"/>
  <c r="AB3" i="25"/>
  <c r="AA3" i="25"/>
  <c r="Z3" i="25"/>
  <c r="P3" i="25"/>
  <c r="O3" i="25"/>
  <c r="N3" i="25"/>
  <c r="D3" i="25"/>
  <c r="C3" i="25"/>
  <c r="B3" i="25"/>
  <c r="M2" i="25"/>
  <c r="A2" i="25"/>
  <c r="AF41" i="24"/>
  <c r="AE41" i="24"/>
  <c r="AD41" i="24"/>
  <c r="AG41" i="24" s="1"/>
  <c r="U41" i="24"/>
  <c r="T41" i="24"/>
  <c r="S41" i="24"/>
  <c r="R41" i="24"/>
  <c r="H41" i="24"/>
  <c r="G41" i="24"/>
  <c r="F41" i="24"/>
  <c r="I41" i="24" s="1"/>
  <c r="AG40" i="24"/>
  <c r="AF40" i="24"/>
  <c r="AE40" i="24"/>
  <c r="AD40" i="24"/>
  <c r="T40" i="24"/>
  <c r="S40" i="24"/>
  <c r="R40" i="24"/>
  <c r="U40" i="24" s="1"/>
  <c r="I40" i="24"/>
  <c r="H40" i="24"/>
  <c r="G40" i="24"/>
  <c r="F40" i="24"/>
  <c r="AF39" i="24"/>
  <c r="AE39" i="24"/>
  <c r="AD39" i="24"/>
  <c r="AG39" i="24" s="1"/>
  <c r="U39" i="24"/>
  <c r="T39" i="24"/>
  <c r="S39" i="24"/>
  <c r="R39" i="24"/>
  <c r="H39" i="24"/>
  <c r="G39" i="24"/>
  <c r="F39" i="24"/>
  <c r="I39" i="24" s="1"/>
  <c r="AG38" i="24"/>
  <c r="AF38" i="24"/>
  <c r="AE38" i="24"/>
  <c r="AD38" i="24"/>
  <c r="T38" i="24"/>
  <c r="S38" i="24"/>
  <c r="R38" i="24"/>
  <c r="U38" i="24" s="1"/>
  <c r="I38" i="24"/>
  <c r="H38" i="24"/>
  <c r="G38" i="24"/>
  <c r="F38" i="24"/>
  <c r="AF37" i="24"/>
  <c r="AE37" i="24"/>
  <c r="AD37" i="24"/>
  <c r="AG37" i="24" s="1"/>
  <c r="T37" i="24"/>
  <c r="S37" i="24"/>
  <c r="R37" i="24"/>
  <c r="U37" i="24" s="1"/>
  <c r="I37" i="24"/>
  <c r="H37" i="24"/>
  <c r="G37" i="24"/>
  <c r="F37" i="24"/>
  <c r="AF36" i="24"/>
  <c r="AE36" i="24"/>
  <c r="AD36" i="24"/>
  <c r="AG36" i="24" s="1"/>
  <c r="U36" i="24"/>
  <c r="T36" i="24"/>
  <c r="S36" i="24"/>
  <c r="R36" i="24"/>
  <c r="H36" i="24"/>
  <c r="G36" i="24"/>
  <c r="F36" i="24"/>
  <c r="I36" i="24" s="1"/>
  <c r="AG35" i="24"/>
  <c r="AF35" i="24"/>
  <c r="AE35" i="24"/>
  <c r="AD35" i="24"/>
  <c r="U35" i="24"/>
  <c r="T35" i="24"/>
  <c r="S35" i="24"/>
  <c r="R35" i="24"/>
  <c r="H35" i="24"/>
  <c r="G35" i="24"/>
  <c r="F35" i="24"/>
  <c r="I35" i="24" s="1"/>
  <c r="AG34" i="24"/>
  <c r="AF34" i="24"/>
  <c r="AE34" i="24"/>
  <c r="AD34" i="24"/>
  <c r="T34" i="24"/>
  <c r="S34" i="24"/>
  <c r="R34" i="24"/>
  <c r="U34" i="24" s="1"/>
  <c r="I34" i="24"/>
  <c r="H34" i="24"/>
  <c r="G34" i="24"/>
  <c r="F34" i="24"/>
  <c r="AF31" i="24"/>
  <c r="AE31" i="24"/>
  <c r="AD31" i="24"/>
  <c r="AG31" i="24" s="1"/>
  <c r="U31" i="24"/>
  <c r="T31" i="24"/>
  <c r="S31" i="24"/>
  <c r="R31" i="24"/>
  <c r="I31" i="24"/>
  <c r="H31" i="24"/>
  <c r="G31" i="24"/>
  <c r="F31" i="24"/>
  <c r="AF30" i="24"/>
  <c r="AE30" i="24"/>
  <c r="AD30" i="24"/>
  <c r="AG30" i="24" s="1"/>
  <c r="U30" i="24"/>
  <c r="T30" i="24"/>
  <c r="S30" i="24"/>
  <c r="R30" i="24"/>
  <c r="H30" i="24"/>
  <c r="G30" i="24"/>
  <c r="F30" i="24"/>
  <c r="I30" i="24" s="1"/>
  <c r="AG29" i="24"/>
  <c r="AF29" i="24"/>
  <c r="AE29" i="24"/>
  <c r="AD29" i="24"/>
  <c r="T29" i="24"/>
  <c r="S29" i="24"/>
  <c r="R29" i="24"/>
  <c r="U29" i="24" s="1"/>
  <c r="H29" i="24"/>
  <c r="G29" i="24"/>
  <c r="F29" i="24"/>
  <c r="I29" i="24" s="1"/>
  <c r="AF28" i="24"/>
  <c r="AE28" i="24"/>
  <c r="AD28" i="24"/>
  <c r="AG28" i="24" s="1"/>
  <c r="T28" i="24"/>
  <c r="S28" i="24"/>
  <c r="R28" i="24"/>
  <c r="U28" i="24" s="1"/>
  <c r="H28" i="24"/>
  <c r="G28" i="24"/>
  <c r="F28" i="24"/>
  <c r="I28" i="24" s="1"/>
  <c r="AG27" i="24"/>
  <c r="AF27" i="24"/>
  <c r="AE27" i="24"/>
  <c r="AD27" i="24"/>
  <c r="T27" i="24"/>
  <c r="S27" i="24"/>
  <c r="R27" i="24"/>
  <c r="U27" i="24" s="1"/>
  <c r="H27" i="24"/>
  <c r="G27" i="24"/>
  <c r="F27" i="24"/>
  <c r="I27" i="24" s="1"/>
  <c r="AG26" i="24"/>
  <c r="AF26" i="24"/>
  <c r="AE26" i="24"/>
  <c r="AD26" i="24"/>
  <c r="T26" i="24"/>
  <c r="S26" i="24"/>
  <c r="R26" i="24"/>
  <c r="U26" i="24" s="1"/>
  <c r="I26" i="24"/>
  <c r="H26" i="24"/>
  <c r="G26" i="24"/>
  <c r="F26" i="24"/>
  <c r="AF25" i="24"/>
  <c r="AE25" i="24"/>
  <c r="AD25" i="24"/>
  <c r="AG25" i="24" s="1"/>
  <c r="T25" i="24"/>
  <c r="S25" i="24"/>
  <c r="R25" i="24"/>
  <c r="U25" i="24" s="1"/>
  <c r="H25" i="24"/>
  <c r="G25" i="24"/>
  <c r="F25" i="24"/>
  <c r="I25" i="24" s="1"/>
  <c r="AF24" i="24"/>
  <c r="AE24" i="24"/>
  <c r="AD24" i="24"/>
  <c r="AG24" i="24" s="1"/>
  <c r="T24" i="24"/>
  <c r="S24" i="24"/>
  <c r="R24" i="24"/>
  <c r="U24" i="24" s="1"/>
  <c r="H24" i="24"/>
  <c r="G24" i="24"/>
  <c r="F24" i="24"/>
  <c r="I24" i="24" s="1"/>
  <c r="AF23" i="24"/>
  <c r="AE23" i="24"/>
  <c r="AD23" i="24"/>
  <c r="AG23" i="24" s="1"/>
  <c r="U23" i="24"/>
  <c r="T23" i="24"/>
  <c r="S23" i="24"/>
  <c r="R23" i="24"/>
  <c r="H23" i="24"/>
  <c r="G23" i="24"/>
  <c r="F23" i="24"/>
  <c r="I23" i="24" s="1"/>
  <c r="AF22" i="24"/>
  <c r="AE22" i="24"/>
  <c r="AD22" i="24"/>
  <c r="AG22" i="24" s="1"/>
  <c r="U22" i="24"/>
  <c r="T22" i="24"/>
  <c r="S22" i="24"/>
  <c r="R22" i="24"/>
  <c r="I22" i="24"/>
  <c r="H22" i="24"/>
  <c r="G22" i="24"/>
  <c r="F22" i="24"/>
  <c r="AF21" i="24"/>
  <c r="AE21" i="24"/>
  <c r="AD21" i="24"/>
  <c r="AG21" i="24" s="1"/>
  <c r="T21" i="24"/>
  <c r="S21" i="24"/>
  <c r="R21" i="24"/>
  <c r="U21" i="24" s="1"/>
  <c r="H21" i="24"/>
  <c r="G21" i="24"/>
  <c r="F21" i="24"/>
  <c r="I21" i="24" s="1"/>
  <c r="AF20" i="24"/>
  <c r="AE20" i="24"/>
  <c r="AD20" i="24"/>
  <c r="AG20" i="24" s="1"/>
  <c r="T20" i="24"/>
  <c r="S20" i="24"/>
  <c r="R20" i="24"/>
  <c r="U20" i="24" s="1"/>
  <c r="H20" i="24"/>
  <c r="G20" i="24"/>
  <c r="F20" i="24"/>
  <c r="I20" i="24" s="1"/>
  <c r="AF19" i="24"/>
  <c r="AE19" i="24"/>
  <c r="AD19" i="24"/>
  <c r="AG19" i="24" s="1"/>
  <c r="T19" i="24"/>
  <c r="S19" i="24"/>
  <c r="R19" i="24"/>
  <c r="U19" i="24" s="1"/>
  <c r="H19" i="24"/>
  <c r="G19" i="24"/>
  <c r="F19" i="24"/>
  <c r="I19" i="24" s="1"/>
  <c r="AF18" i="24"/>
  <c r="AE18" i="24"/>
  <c r="AD18" i="24"/>
  <c r="AG18" i="24" s="1"/>
  <c r="T18" i="24"/>
  <c r="S18" i="24"/>
  <c r="R18" i="24"/>
  <c r="U18" i="24" s="1"/>
  <c r="H18" i="24"/>
  <c r="G18" i="24"/>
  <c r="F18" i="24"/>
  <c r="I18" i="24" s="1"/>
  <c r="AF17" i="24"/>
  <c r="AE17" i="24"/>
  <c r="AD17" i="24"/>
  <c r="AG17" i="24" s="1"/>
  <c r="T17" i="24"/>
  <c r="S17" i="24"/>
  <c r="R17" i="24"/>
  <c r="U17" i="24" s="1"/>
  <c r="I17" i="24"/>
  <c r="H17" i="24"/>
  <c r="G17" i="24"/>
  <c r="F17" i="24"/>
  <c r="AF16" i="24"/>
  <c r="AE16" i="24"/>
  <c r="AD16" i="24"/>
  <c r="AG16" i="24" s="1"/>
  <c r="T16" i="24"/>
  <c r="S16" i="24"/>
  <c r="R16" i="24"/>
  <c r="U16" i="24" s="1"/>
  <c r="H16" i="24"/>
  <c r="G16" i="24"/>
  <c r="F16" i="24"/>
  <c r="I16" i="24" s="1"/>
  <c r="AG15" i="24"/>
  <c r="AF15" i="24"/>
  <c r="AE15" i="24"/>
  <c r="AD15" i="24"/>
  <c r="T15" i="24"/>
  <c r="S15" i="24"/>
  <c r="R15" i="24"/>
  <c r="U15" i="24" s="1"/>
  <c r="I15" i="24"/>
  <c r="H15" i="24"/>
  <c r="G15" i="24"/>
  <c r="F15" i="24"/>
  <c r="AF14" i="24"/>
  <c r="AE14" i="24"/>
  <c r="AD14" i="24"/>
  <c r="AG14" i="24" s="1"/>
  <c r="T14" i="24"/>
  <c r="S14" i="24"/>
  <c r="R14" i="24"/>
  <c r="U14" i="24" s="1"/>
  <c r="H14" i="24"/>
  <c r="G14" i="24"/>
  <c r="F14" i="24"/>
  <c r="I14" i="24" s="1"/>
  <c r="AG13" i="24"/>
  <c r="AF13" i="24"/>
  <c r="AE13" i="24"/>
  <c r="AD13" i="24"/>
  <c r="T13" i="24"/>
  <c r="S13" i="24"/>
  <c r="R13" i="24"/>
  <c r="U13" i="24" s="1"/>
  <c r="I13" i="24"/>
  <c r="H13" i="24"/>
  <c r="G13" i="24"/>
  <c r="F13" i="24"/>
  <c r="AF12" i="24"/>
  <c r="AE12" i="24"/>
  <c r="AD12" i="24"/>
  <c r="AG12" i="24" s="1"/>
  <c r="T12" i="24"/>
  <c r="S12" i="24"/>
  <c r="R12" i="24"/>
  <c r="U12" i="24" s="1"/>
  <c r="H12" i="24"/>
  <c r="G12" i="24"/>
  <c r="F12" i="24"/>
  <c r="I12" i="24" s="1"/>
  <c r="AF11" i="24"/>
  <c r="AE11" i="24"/>
  <c r="AD11" i="24"/>
  <c r="AG11" i="24" s="1"/>
  <c r="T11" i="24"/>
  <c r="S11" i="24"/>
  <c r="R11" i="24"/>
  <c r="U11" i="24" s="1"/>
  <c r="H11" i="24"/>
  <c r="G11" i="24"/>
  <c r="F11" i="24"/>
  <c r="I11" i="24" s="1"/>
  <c r="AF10" i="24"/>
  <c r="AE10" i="24"/>
  <c r="AD10" i="24"/>
  <c r="AG10" i="24" s="1"/>
  <c r="AH27" i="24" s="1"/>
  <c r="U10" i="24"/>
  <c r="T10" i="24"/>
  <c r="S10" i="24"/>
  <c r="R10" i="24"/>
  <c r="H10" i="24"/>
  <c r="G10" i="24"/>
  <c r="F10" i="24"/>
  <c r="I10" i="24" s="1"/>
  <c r="AF9" i="24"/>
  <c r="AE9" i="24"/>
  <c r="AD9" i="24"/>
  <c r="AG9" i="24" s="1"/>
  <c r="T9" i="24"/>
  <c r="S9" i="24"/>
  <c r="R9" i="24"/>
  <c r="U9" i="24" s="1"/>
  <c r="H9" i="24"/>
  <c r="G9" i="24"/>
  <c r="F9" i="24"/>
  <c r="I9" i="24" s="1"/>
  <c r="AF8" i="24"/>
  <c r="AE8" i="24"/>
  <c r="AD8" i="24"/>
  <c r="AG8" i="24" s="1"/>
  <c r="T8" i="24"/>
  <c r="S8" i="24"/>
  <c r="R8" i="24"/>
  <c r="U8" i="24" s="1"/>
  <c r="H8" i="24"/>
  <c r="G8" i="24"/>
  <c r="F8" i="24"/>
  <c r="I8" i="24" s="1"/>
  <c r="AG7" i="24"/>
  <c r="AF7" i="24"/>
  <c r="AE7" i="24"/>
  <c r="AD7" i="24"/>
  <c r="U7" i="24"/>
  <c r="T7" i="24"/>
  <c r="S7" i="24"/>
  <c r="R7" i="24"/>
  <c r="H7" i="24"/>
  <c r="G7" i="24"/>
  <c r="F7" i="24"/>
  <c r="I7" i="24" s="1"/>
  <c r="J27" i="24" s="1"/>
  <c r="K27" i="24" s="1"/>
  <c r="O27" i="44" s="1"/>
  <c r="AB3" i="24"/>
  <c r="AA3" i="24"/>
  <c r="Z3" i="24"/>
  <c r="P3" i="24"/>
  <c r="O3" i="24"/>
  <c r="N3" i="24"/>
  <c r="D3" i="24"/>
  <c r="C3" i="24"/>
  <c r="B3" i="24"/>
  <c r="M2" i="24"/>
  <c r="A2" i="24"/>
  <c r="AF41" i="23"/>
  <c r="AE41" i="23"/>
  <c r="AD41" i="23"/>
  <c r="AG41" i="23" s="1"/>
  <c r="U41" i="23"/>
  <c r="T41" i="23"/>
  <c r="S41" i="23"/>
  <c r="R41" i="23"/>
  <c r="H41" i="23"/>
  <c r="G41" i="23"/>
  <c r="F41" i="23"/>
  <c r="I41" i="23" s="1"/>
  <c r="AG40" i="23"/>
  <c r="AF40" i="23"/>
  <c r="AE40" i="23"/>
  <c r="AD40" i="23"/>
  <c r="T40" i="23"/>
  <c r="S40" i="23"/>
  <c r="R40" i="23"/>
  <c r="U40" i="23" s="1"/>
  <c r="I40" i="23"/>
  <c r="H40" i="23"/>
  <c r="G40" i="23"/>
  <c r="F40" i="23"/>
  <c r="AF39" i="23"/>
  <c r="AE39" i="23"/>
  <c r="AD39" i="23"/>
  <c r="AG39" i="23" s="1"/>
  <c r="U39" i="23"/>
  <c r="T39" i="23"/>
  <c r="S39" i="23"/>
  <c r="R39" i="23"/>
  <c r="H39" i="23"/>
  <c r="G39" i="23"/>
  <c r="F39" i="23"/>
  <c r="I39" i="23" s="1"/>
  <c r="AG38" i="23"/>
  <c r="AF38" i="23"/>
  <c r="AE38" i="23"/>
  <c r="AD38" i="23"/>
  <c r="T38" i="23"/>
  <c r="S38" i="23"/>
  <c r="R38" i="23"/>
  <c r="U38" i="23" s="1"/>
  <c r="I38" i="23"/>
  <c r="H38" i="23"/>
  <c r="G38" i="23"/>
  <c r="F38" i="23"/>
  <c r="AF37" i="23"/>
  <c r="AE37" i="23"/>
  <c r="AD37" i="23"/>
  <c r="AG37" i="23" s="1"/>
  <c r="U37" i="23"/>
  <c r="T37" i="23"/>
  <c r="S37" i="23"/>
  <c r="R37" i="23"/>
  <c r="H37" i="23"/>
  <c r="G37" i="23"/>
  <c r="F37" i="23"/>
  <c r="I37" i="23" s="1"/>
  <c r="AF36" i="23"/>
  <c r="AE36" i="23"/>
  <c r="AD36" i="23"/>
  <c r="AG36" i="23" s="1"/>
  <c r="T36" i="23"/>
  <c r="S36" i="23"/>
  <c r="R36" i="23"/>
  <c r="U36" i="23" s="1"/>
  <c r="H36" i="23"/>
  <c r="G36" i="23"/>
  <c r="F36" i="23"/>
  <c r="I36" i="23" s="1"/>
  <c r="AG35" i="23"/>
  <c r="AF35" i="23"/>
  <c r="AE35" i="23"/>
  <c r="AD35" i="23"/>
  <c r="T35" i="23"/>
  <c r="S35" i="23"/>
  <c r="R35" i="23"/>
  <c r="U35" i="23" s="1"/>
  <c r="I35" i="23"/>
  <c r="H35" i="23"/>
  <c r="G35" i="23"/>
  <c r="F35" i="23"/>
  <c r="AF34" i="23"/>
  <c r="AE34" i="23"/>
  <c r="AD34" i="23"/>
  <c r="AG34" i="23" s="1"/>
  <c r="AH35" i="23" s="1"/>
  <c r="AI37" i="23" s="1"/>
  <c r="U34" i="23"/>
  <c r="T34" i="23"/>
  <c r="S34" i="23"/>
  <c r="R34" i="23"/>
  <c r="H34" i="23"/>
  <c r="G34" i="23"/>
  <c r="F34" i="23"/>
  <c r="I34" i="23" s="1"/>
  <c r="J35" i="23" s="1"/>
  <c r="K37" i="23" s="1"/>
  <c r="Q26" i="44" s="1"/>
  <c r="AF31" i="23"/>
  <c r="AE31" i="23"/>
  <c r="AD31" i="23"/>
  <c r="AG31" i="23" s="1"/>
  <c r="U31" i="23"/>
  <c r="T31" i="23"/>
  <c r="S31" i="23"/>
  <c r="R31" i="23"/>
  <c r="H31" i="23"/>
  <c r="G31" i="23"/>
  <c r="F31" i="23"/>
  <c r="I31" i="23" s="1"/>
  <c r="AG30" i="23"/>
  <c r="AF30" i="23"/>
  <c r="AE30" i="23"/>
  <c r="AD30" i="23"/>
  <c r="T30" i="23"/>
  <c r="S30" i="23"/>
  <c r="R30" i="23"/>
  <c r="U30" i="23" s="1"/>
  <c r="H30" i="23"/>
  <c r="G30" i="23"/>
  <c r="F30" i="23"/>
  <c r="I30" i="23" s="1"/>
  <c r="AF29" i="23"/>
  <c r="AE29" i="23"/>
  <c r="AD29" i="23"/>
  <c r="AG29" i="23" s="1"/>
  <c r="U29" i="23"/>
  <c r="T29" i="23"/>
  <c r="S29" i="23"/>
  <c r="R29" i="23"/>
  <c r="H29" i="23"/>
  <c r="G29" i="23"/>
  <c r="F29" i="23"/>
  <c r="I29" i="23" s="1"/>
  <c r="AF28" i="23"/>
  <c r="AE28" i="23"/>
  <c r="AD28" i="23"/>
  <c r="AG28" i="23" s="1"/>
  <c r="T28" i="23"/>
  <c r="S28" i="23"/>
  <c r="R28" i="23"/>
  <c r="U28" i="23" s="1"/>
  <c r="H28" i="23"/>
  <c r="G28" i="23"/>
  <c r="F28" i="23"/>
  <c r="I28" i="23" s="1"/>
  <c r="AF27" i="23"/>
  <c r="AE27" i="23"/>
  <c r="AD27" i="23"/>
  <c r="AG27" i="23" s="1"/>
  <c r="T27" i="23"/>
  <c r="S27" i="23"/>
  <c r="R27" i="23"/>
  <c r="U27" i="23" s="1"/>
  <c r="H27" i="23"/>
  <c r="G27" i="23"/>
  <c r="F27" i="23"/>
  <c r="I27" i="23" s="1"/>
  <c r="AG26" i="23"/>
  <c r="AF26" i="23"/>
  <c r="AE26" i="23"/>
  <c r="AD26" i="23"/>
  <c r="T26" i="23"/>
  <c r="S26" i="23"/>
  <c r="R26" i="23"/>
  <c r="U26" i="23" s="1"/>
  <c r="I26" i="23"/>
  <c r="H26" i="23"/>
  <c r="G26" i="23"/>
  <c r="F26" i="23"/>
  <c r="AF25" i="23"/>
  <c r="AE25" i="23"/>
  <c r="AD25" i="23"/>
  <c r="AG25" i="23" s="1"/>
  <c r="U25" i="23"/>
  <c r="T25" i="23"/>
  <c r="S25" i="23"/>
  <c r="R25" i="23"/>
  <c r="H25" i="23"/>
  <c r="G25" i="23"/>
  <c r="F25" i="23"/>
  <c r="I25" i="23" s="1"/>
  <c r="AG24" i="23"/>
  <c r="AF24" i="23"/>
  <c r="AE24" i="23"/>
  <c r="AD24" i="23"/>
  <c r="T24" i="23"/>
  <c r="S24" i="23"/>
  <c r="R24" i="23"/>
  <c r="U24" i="23" s="1"/>
  <c r="H24" i="23"/>
  <c r="G24" i="23"/>
  <c r="F24" i="23"/>
  <c r="I24" i="23" s="1"/>
  <c r="AF23" i="23"/>
  <c r="AE23" i="23"/>
  <c r="AD23" i="23"/>
  <c r="AG23" i="23" s="1"/>
  <c r="T23" i="23"/>
  <c r="S23" i="23"/>
  <c r="R23" i="23"/>
  <c r="U23" i="23" s="1"/>
  <c r="H23" i="23"/>
  <c r="G23" i="23"/>
  <c r="F23" i="23"/>
  <c r="I23" i="23" s="1"/>
  <c r="AG22" i="23"/>
  <c r="AF22" i="23"/>
  <c r="AE22" i="23"/>
  <c r="AD22" i="23"/>
  <c r="U22" i="23"/>
  <c r="T22" i="23"/>
  <c r="S22" i="23"/>
  <c r="R22" i="23"/>
  <c r="H22" i="23"/>
  <c r="G22" i="23"/>
  <c r="F22" i="23"/>
  <c r="I22" i="23" s="1"/>
  <c r="AG21" i="23"/>
  <c r="AF21" i="23"/>
  <c r="AE21" i="23"/>
  <c r="AD21" i="23"/>
  <c r="T21" i="23"/>
  <c r="S21" i="23"/>
  <c r="R21" i="23"/>
  <c r="U21" i="23" s="1"/>
  <c r="H21" i="23"/>
  <c r="G21" i="23"/>
  <c r="F21" i="23"/>
  <c r="I21" i="23" s="1"/>
  <c r="AF20" i="23"/>
  <c r="AE20" i="23"/>
  <c r="AD20" i="23"/>
  <c r="AG20" i="23" s="1"/>
  <c r="U20" i="23"/>
  <c r="T20" i="23"/>
  <c r="S20" i="23"/>
  <c r="R20" i="23"/>
  <c r="H20" i="23"/>
  <c r="G20" i="23"/>
  <c r="F20" i="23"/>
  <c r="I20" i="23" s="1"/>
  <c r="AG19" i="23"/>
  <c r="AF19" i="23"/>
  <c r="AE19" i="23"/>
  <c r="AD19" i="23"/>
  <c r="T19" i="23"/>
  <c r="S19" i="23"/>
  <c r="R19" i="23"/>
  <c r="U19" i="23" s="1"/>
  <c r="H19" i="23"/>
  <c r="G19" i="23"/>
  <c r="F19" i="23"/>
  <c r="I19" i="23" s="1"/>
  <c r="AF18" i="23"/>
  <c r="AE18" i="23"/>
  <c r="AD18" i="23"/>
  <c r="AG18" i="23" s="1"/>
  <c r="U18" i="23"/>
  <c r="T18" i="23"/>
  <c r="S18" i="23"/>
  <c r="R18" i="23"/>
  <c r="H18" i="23"/>
  <c r="G18" i="23"/>
  <c r="F18" i="23"/>
  <c r="I18" i="23" s="1"/>
  <c r="AF17" i="23"/>
  <c r="AE17" i="23"/>
  <c r="AD17" i="23"/>
  <c r="AG17" i="23" s="1"/>
  <c r="T17" i="23"/>
  <c r="S17" i="23"/>
  <c r="R17" i="23"/>
  <c r="U17" i="23" s="1"/>
  <c r="H17" i="23"/>
  <c r="G17" i="23"/>
  <c r="F17" i="23"/>
  <c r="I17" i="23" s="1"/>
  <c r="AF16" i="23"/>
  <c r="AE16" i="23"/>
  <c r="AD16" i="23"/>
  <c r="AG16" i="23" s="1"/>
  <c r="T16" i="23"/>
  <c r="S16" i="23"/>
  <c r="R16" i="23"/>
  <c r="U16" i="23" s="1"/>
  <c r="H16" i="23"/>
  <c r="G16" i="23"/>
  <c r="F16" i="23"/>
  <c r="I16" i="23" s="1"/>
  <c r="AF15" i="23"/>
  <c r="AE15" i="23"/>
  <c r="AD15" i="23"/>
  <c r="AG15" i="23" s="1"/>
  <c r="T15" i="23"/>
  <c r="S15" i="23"/>
  <c r="R15" i="23"/>
  <c r="U15" i="23" s="1"/>
  <c r="H15" i="23"/>
  <c r="G15" i="23"/>
  <c r="F15" i="23"/>
  <c r="I15" i="23" s="1"/>
  <c r="AF14" i="23"/>
  <c r="AE14" i="23"/>
  <c r="AD14" i="23"/>
  <c r="AG14" i="23" s="1"/>
  <c r="T14" i="23"/>
  <c r="S14" i="23"/>
  <c r="R14" i="23"/>
  <c r="U14" i="23" s="1"/>
  <c r="H14" i="23"/>
  <c r="G14" i="23"/>
  <c r="F14" i="23"/>
  <c r="I14" i="23" s="1"/>
  <c r="AG13" i="23"/>
  <c r="AF13" i="23"/>
  <c r="AE13" i="23"/>
  <c r="AD13" i="23"/>
  <c r="T13" i="23"/>
  <c r="S13" i="23"/>
  <c r="R13" i="23"/>
  <c r="U13" i="23" s="1"/>
  <c r="I13" i="23"/>
  <c r="H13" i="23"/>
  <c r="G13" i="23"/>
  <c r="F13" i="23"/>
  <c r="AF12" i="23"/>
  <c r="AE12" i="23"/>
  <c r="AD12" i="23"/>
  <c r="AG12" i="23" s="1"/>
  <c r="AH22" i="23" s="1"/>
  <c r="T12" i="23"/>
  <c r="S12" i="23"/>
  <c r="R12" i="23"/>
  <c r="U12" i="23" s="1"/>
  <c r="H12" i="23"/>
  <c r="G12" i="23"/>
  <c r="F12" i="23"/>
  <c r="I12" i="23" s="1"/>
  <c r="AF11" i="23"/>
  <c r="AE11" i="23"/>
  <c r="AD11" i="23"/>
  <c r="AG11" i="23" s="1"/>
  <c r="T11" i="23"/>
  <c r="S11" i="23"/>
  <c r="R11" i="23"/>
  <c r="U11" i="23" s="1"/>
  <c r="H11" i="23"/>
  <c r="G11" i="23"/>
  <c r="F11" i="23"/>
  <c r="I11" i="23" s="1"/>
  <c r="AG10" i="23"/>
  <c r="AF10" i="23"/>
  <c r="AE10" i="23"/>
  <c r="AD10" i="23"/>
  <c r="T10" i="23"/>
  <c r="S10" i="23"/>
  <c r="R10" i="23"/>
  <c r="U10" i="23" s="1"/>
  <c r="I10" i="23"/>
  <c r="H10" i="23"/>
  <c r="G10" i="23"/>
  <c r="F10" i="23"/>
  <c r="AF9" i="23"/>
  <c r="AE9" i="23"/>
  <c r="AD9" i="23"/>
  <c r="AG9" i="23" s="1"/>
  <c r="T9" i="23"/>
  <c r="S9" i="23"/>
  <c r="R9" i="23"/>
  <c r="U9" i="23" s="1"/>
  <c r="H9" i="23"/>
  <c r="G9" i="23"/>
  <c r="F9" i="23"/>
  <c r="I9" i="23" s="1"/>
  <c r="AF8" i="23"/>
  <c r="AE8" i="23"/>
  <c r="AD8" i="23"/>
  <c r="AG8" i="23" s="1"/>
  <c r="T8" i="23"/>
  <c r="S8" i="23"/>
  <c r="R8" i="23"/>
  <c r="U8" i="23" s="1"/>
  <c r="H8" i="23"/>
  <c r="G8" i="23"/>
  <c r="F8" i="23"/>
  <c r="I8" i="23" s="1"/>
  <c r="AF7" i="23"/>
  <c r="AE7" i="23"/>
  <c r="AD7" i="23"/>
  <c r="AG7" i="23" s="1"/>
  <c r="AH27" i="23" s="1"/>
  <c r="T7" i="23"/>
  <c r="S7" i="23"/>
  <c r="R7" i="23"/>
  <c r="U7" i="23" s="1"/>
  <c r="H7" i="23"/>
  <c r="G7" i="23"/>
  <c r="F7" i="23"/>
  <c r="I7" i="23" s="1"/>
  <c r="J27" i="23" s="1"/>
  <c r="K27" i="23" s="1"/>
  <c r="O26" i="44" s="1"/>
  <c r="AB3" i="23"/>
  <c r="AA3" i="23"/>
  <c r="Z3" i="23"/>
  <c r="P3" i="23"/>
  <c r="O3" i="23"/>
  <c r="N3" i="23"/>
  <c r="D3" i="23"/>
  <c r="C3" i="23"/>
  <c r="B3" i="23"/>
  <c r="M2" i="23"/>
  <c r="A2" i="23"/>
  <c r="AG41" i="22"/>
  <c r="AF41" i="22"/>
  <c r="AE41" i="22"/>
  <c r="AD41" i="22"/>
  <c r="T41" i="22"/>
  <c r="S41" i="22"/>
  <c r="R41" i="22"/>
  <c r="U41" i="22" s="1"/>
  <c r="I41" i="22"/>
  <c r="H41" i="22"/>
  <c r="G41" i="22"/>
  <c r="F41" i="22"/>
  <c r="AF40" i="22"/>
  <c r="AE40" i="22"/>
  <c r="AD40" i="22"/>
  <c r="AG40" i="22" s="1"/>
  <c r="U40" i="22"/>
  <c r="T40" i="22"/>
  <c r="S40" i="22"/>
  <c r="R40" i="22"/>
  <c r="H40" i="22"/>
  <c r="G40" i="22"/>
  <c r="F40" i="22"/>
  <c r="I40" i="22" s="1"/>
  <c r="AG39" i="22"/>
  <c r="AF39" i="22"/>
  <c r="AE39" i="22"/>
  <c r="AD39" i="22"/>
  <c r="T39" i="22"/>
  <c r="S39" i="22"/>
  <c r="R39" i="22"/>
  <c r="U39" i="22" s="1"/>
  <c r="I39" i="22"/>
  <c r="H39" i="22"/>
  <c r="G39" i="22"/>
  <c r="F39" i="22"/>
  <c r="AF38" i="22"/>
  <c r="AE38" i="22"/>
  <c r="AD38" i="22"/>
  <c r="AG38" i="22" s="1"/>
  <c r="U38" i="22"/>
  <c r="T38" i="22"/>
  <c r="S38" i="22"/>
  <c r="R38" i="22"/>
  <c r="H38" i="22"/>
  <c r="G38" i="22"/>
  <c r="F38" i="22"/>
  <c r="I38" i="22" s="1"/>
  <c r="AF37" i="22"/>
  <c r="AE37" i="22"/>
  <c r="AD37" i="22"/>
  <c r="AG37" i="22" s="1"/>
  <c r="U37" i="22"/>
  <c r="T37" i="22"/>
  <c r="S37" i="22"/>
  <c r="R37" i="22"/>
  <c r="H37" i="22"/>
  <c r="G37" i="22"/>
  <c r="F37" i="22"/>
  <c r="I37" i="22" s="1"/>
  <c r="AG36" i="22"/>
  <c r="AF36" i="22"/>
  <c r="AE36" i="22"/>
  <c r="AD36" i="22"/>
  <c r="T36" i="22"/>
  <c r="S36" i="22"/>
  <c r="R36" i="22"/>
  <c r="U36" i="22" s="1"/>
  <c r="I36" i="22"/>
  <c r="H36" i="22"/>
  <c r="G36" i="22"/>
  <c r="F36" i="22"/>
  <c r="AF35" i="22"/>
  <c r="AE35" i="22"/>
  <c r="AD35" i="22"/>
  <c r="AG35" i="22" s="1"/>
  <c r="V35" i="22"/>
  <c r="W37" i="22" s="1"/>
  <c r="Q25" i="45" s="1"/>
  <c r="R25" i="45" s="1"/>
  <c r="T35" i="22"/>
  <c r="S35" i="22"/>
  <c r="R35" i="22"/>
  <c r="U35" i="22" s="1"/>
  <c r="I35" i="22"/>
  <c r="H35" i="22"/>
  <c r="G35" i="22"/>
  <c r="F35" i="22"/>
  <c r="AF34" i="22"/>
  <c r="AE34" i="22"/>
  <c r="AD34" i="22"/>
  <c r="AG34" i="22" s="1"/>
  <c r="AH35" i="22" s="1"/>
  <c r="AI37" i="22" s="1"/>
  <c r="U34" i="22"/>
  <c r="T34" i="22"/>
  <c r="S34" i="22"/>
  <c r="R34" i="22"/>
  <c r="H34" i="22"/>
  <c r="G34" i="22"/>
  <c r="F34" i="22"/>
  <c r="I34" i="22" s="1"/>
  <c r="J35" i="22" s="1"/>
  <c r="K37" i="22" s="1"/>
  <c r="Q25" i="44" s="1"/>
  <c r="AG31" i="22"/>
  <c r="AF31" i="22"/>
  <c r="AE31" i="22"/>
  <c r="AD31" i="22"/>
  <c r="T31" i="22"/>
  <c r="S31" i="22"/>
  <c r="R31" i="22"/>
  <c r="U31" i="22" s="1"/>
  <c r="H31" i="22"/>
  <c r="G31" i="22"/>
  <c r="F31" i="22"/>
  <c r="I31" i="22" s="1"/>
  <c r="AF30" i="22"/>
  <c r="AE30" i="22"/>
  <c r="AD30" i="22"/>
  <c r="AG30" i="22" s="1"/>
  <c r="T30" i="22"/>
  <c r="S30" i="22"/>
  <c r="R30" i="22"/>
  <c r="U30" i="22" s="1"/>
  <c r="H30" i="22"/>
  <c r="G30" i="22"/>
  <c r="F30" i="22"/>
  <c r="I30" i="22" s="1"/>
  <c r="AF29" i="22"/>
  <c r="AE29" i="22"/>
  <c r="AD29" i="22"/>
  <c r="AG29" i="22" s="1"/>
  <c r="T29" i="22"/>
  <c r="S29" i="22"/>
  <c r="R29" i="22"/>
  <c r="U29" i="22" s="1"/>
  <c r="H29" i="22"/>
  <c r="G29" i="22"/>
  <c r="F29" i="22"/>
  <c r="I29" i="22" s="1"/>
  <c r="AF28" i="22"/>
  <c r="AE28" i="22"/>
  <c r="AD28" i="22"/>
  <c r="AG28" i="22" s="1"/>
  <c r="T28" i="22"/>
  <c r="S28" i="22"/>
  <c r="R28" i="22"/>
  <c r="U28" i="22" s="1"/>
  <c r="H28" i="22"/>
  <c r="G28" i="22"/>
  <c r="F28" i="22"/>
  <c r="I28" i="22" s="1"/>
  <c r="AF27" i="22"/>
  <c r="AE27" i="22"/>
  <c r="AD27" i="22"/>
  <c r="AG27" i="22" s="1"/>
  <c r="T27" i="22"/>
  <c r="S27" i="22"/>
  <c r="R27" i="22"/>
  <c r="U27" i="22" s="1"/>
  <c r="I27" i="22"/>
  <c r="H27" i="22"/>
  <c r="G27" i="22"/>
  <c r="F27" i="22"/>
  <c r="AF26" i="22"/>
  <c r="AE26" i="22"/>
  <c r="AD26" i="22"/>
  <c r="AG26" i="22" s="1"/>
  <c r="U26" i="22"/>
  <c r="T26" i="22"/>
  <c r="S26" i="22"/>
  <c r="R26" i="22"/>
  <c r="H26" i="22"/>
  <c r="G26" i="22"/>
  <c r="F26" i="22"/>
  <c r="I26" i="22" s="1"/>
  <c r="AF25" i="22"/>
  <c r="AE25" i="22"/>
  <c r="AD25" i="22"/>
  <c r="AG25" i="22" s="1"/>
  <c r="T25" i="22"/>
  <c r="S25" i="22"/>
  <c r="R25" i="22"/>
  <c r="U25" i="22" s="1"/>
  <c r="I25" i="22"/>
  <c r="H25" i="22"/>
  <c r="G25" i="22"/>
  <c r="F25" i="22"/>
  <c r="AF24" i="22"/>
  <c r="AE24" i="22"/>
  <c r="AD24" i="22"/>
  <c r="AG24" i="22" s="1"/>
  <c r="T24" i="22"/>
  <c r="S24" i="22"/>
  <c r="R24" i="22"/>
  <c r="U24" i="22" s="1"/>
  <c r="H24" i="22"/>
  <c r="G24" i="22"/>
  <c r="F24" i="22"/>
  <c r="I24" i="22" s="1"/>
  <c r="AG23" i="22"/>
  <c r="AF23" i="22"/>
  <c r="AE23" i="22"/>
  <c r="AD23" i="22"/>
  <c r="T23" i="22"/>
  <c r="S23" i="22"/>
  <c r="R23" i="22"/>
  <c r="U23" i="22" s="1"/>
  <c r="I23" i="22"/>
  <c r="H23" i="22"/>
  <c r="G23" i="22"/>
  <c r="F23" i="22"/>
  <c r="AF22" i="22"/>
  <c r="AE22" i="22"/>
  <c r="AD22" i="22"/>
  <c r="AG22" i="22" s="1"/>
  <c r="T22" i="22"/>
  <c r="S22" i="22"/>
  <c r="R22" i="22"/>
  <c r="U22" i="22" s="1"/>
  <c r="H22" i="22"/>
  <c r="G22" i="22"/>
  <c r="F22" i="22"/>
  <c r="I22" i="22" s="1"/>
  <c r="AF21" i="22"/>
  <c r="AE21" i="22"/>
  <c r="AD21" i="22"/>
  <c r="AG21" i="22" s="1"/>
  <c r="T21" i="22"/>
  <c r="S21" i="22"/>
  <c r="R21" i="22"/>
  <c r="U21" i="22" s="1"/>
  <c r="H21" i="22"/>
  <c r="G21" i="22"/>
  <c r="F21" i="22"/>
  <c r="I21" i="22" s="1"/>
  <c r="AF20" i="22"/>
  <c r="AE20" i="22"/>
  <c r="AD20" i="22"/>
  <c r="AG20" i="22" s="1"/>
  <c r="U20" i="22"/>
  <c r="T20" i="22"/>
  <c r="S20" i="22"/>
  <c r="R20" i="22"/>
  <c r="H20" i="22"/>
  <c r="G20" i="22"/>
  <c r="F20" i="22"/>
  <c r="I20" i="22" s="1"/>
  <c r="AG19" i="22"/>
  <c r="AF19" i="22"/>
  <c r="AE19" i="22"/>
  <c r="AD19" i="22"/>
  <c r="T19" i="22"/>
  <c r="S19" i="22"/>
  <c r="R19" i="22"/>
  <c r="U19" i="22" s="1"/>
  <c r="H19" i="22"/>
  <c r="G19" i="22"/>
  <c r="F19" i="22"/>
  <c r="I19" i="22" s="1"/>
  <c r="AF18" i="22"/>
  <c r="AE18" i="22"/>
  <c r="AD18" i="22"/>
  <c r="AG18" i="22" s="1"/>
  <c r="T18" i="22"/>
  <c r="S18" i="22"/>
  <c r="R18" i="22"/>
  <c r="U18" i="22" s="1"/>
  <c r="H18" i="22"/>
  <c r="G18" i="22"/>
  <c r="F18" i="22"/>
  <c r="I18" i="22" s="1"/>
  <c r="AG17" i="22"/>
  <c r="AF17" i="22"/>
  <c r="AE17" i="22"/>
  <c r="AD17" i="22"/>
  <c r="U17" i="22"/>
  <c r="T17" i="22"/>
  <c r="S17" i="22"/>
  <c r="R17" i="22"/>
  <c r="H17" i="22"/>
  <c r="G17" i="22"/>
  <c r="F17" i="22"/>
  <c r="I17" i="22" s="1"/>
  <c r="AF16" i="22"/>
  <c r="AE16" i="22"/>
  <c r="AD16" i="22"/>
  <c r="AG16" i="22" s="1"/>
  <c r="T16" i="22"/>
  <c r="S16" i="22"/>
  <c r="R16" i="22"/>
  <c r="U16" i="22" s="1"/>
  <c r="H16" i="22"/>
  <c r="G16" i="22"/>
  <c r="F16" i="22"/>
  <c r="I16" i="22" s="1"/>
  <c r="AF15" i="22"/>
  <c r="AE15" i="22"/>
  <c r="AD15" i="22"/>
  <c r="AG15" i="22" s="1"/>
  <c r="U15" i="22"/>
  <c r="T15" i="22"/>
  <c r="S15" i="22"/>
  <c r="R15" i="22"/>
  <c r="H15" i="22"/>
  <c r="G15" i="22"/>
  <c r="F15" i="22"/>
  <c r="I15" i="22" s="1"/>
  <c r="AF14" i="22"/>
  <c r="AE14" i="22"/>
  <c r="AD14" i="22"/>
  <c r="AG14" i="22" s="1"/>
  <c r="T14" i="22"/>
  <c r="S14" i="22"/>
  <c r="R14" i="22"/>
  <c r="U14" i="22" s="1"/>
  <c r="I14" i="22"/>
  <c r="H14" i="22"/>
  <c r="G14" i="22"/>
  <c r="F14" i="22"/>
  <c r="AF13" i="22"/>
  <c r="AE13" i="22"/>
  <c r="AD13" i="22"/>
  <c r="AG13" i="22" s="1"/>
  <c r="U13" i="22"/>
  <c r="T13" i="22"/>
  <c r="S13" i="22"/>
  <c r="R13" i="22"/>
  <c r="H13" i="22"/>
  <c r="G13" i="22"/>
  <c r="F13" i="22"/>
  <c r="I13" i="22" s="1"/>
  <c r="AF12" i="22"/>
  <c r="AE12" i="22"/>
  <c r="AD12" i="22"/>
  <c r="AG12" i="22" s="1"/>
  <c r="U12" i="22"/>
  <c r="T12" i="22"/>
  <c r="S12" i="22"/>
  <c r="R12" i="22"/>
  <c r="H12" i="22"/>
  <c r="G12" i="22"/>
  <c r="F12" i="22"/>
  <c r="I12" i="22" s="1"/>
  <c r="AF11" i="22"/>
  <c r="AE11" i="22"/>
  <c r="AD11" i="22"/>
  <c r="AG11" i="22" s="1"/>
  <c r="T11" i="22"/>
  <c r="S11" i="22"/>
  <c r="R11" i="22"/>
  <c r="U11" i="22" s="1"/>
  <c r="H11" i="22"/>
  <c r="G11" i="22"/>
  <c r="F11" i="22"/>
  <c r="I11" i="22" s="1"/>
  <c r="AF10" i="22"/>
  <c r="AE10" i="22"/>
  <c r="AD10" i="22"/>
  <c r="AG10" i="22" s="1"/>
  <c r="T10" i="22"/>
  <c r="S10" i="22"/>
  <c r="R10" i="22"/>
  <c r="U10" i="22" s="1"/>
  <c r="V27" i="22" s="1"/>
  <c r="W27" i="22" s="1"/>
  <c r="O25" i="45" s="1"/>
  <c r="P25" i="45" s="1"/>
  <c r="H10" i="22"/>
  <c r="G10" i="22"/>
  <c r="F10" i="22"/>
  <c r="I10" i="22" s="1"/>
  <c r="J27" i="22" s="1"/>
  <c r="K27" i="22" s="1"/>
  <c r="O25" i="44" s="1"/>
  <c r="AF9" i="22"/>
  <c r="AE9" i="22"/>
  <c r="AD9" i="22"/>
  <c r="AG9" i="22" s="1"/>
  <c r="T9" i="22"/>
  <c r="S9" i="22"/>
  <c r="R9" i="22"/>
  <c r="U9" i="22" s="1"/>
  <c r="H9" i="22"/>
  <c r="G9" i="22"/>
  <c r="F9" i="22"/>
  <c r="I9" i="22" s="1"/>
  <c r="AG8" i="22"/>
  <c r="AF8" i="22"/>
  <c r="AE8" i="22"/>
  <c r="AD8" i="22"/>
  <c r="T8" i="22"/>
  <c r="S8" i="22"/>
  <c r="R8" i="22"/>
  <c r="U8" i="22" s="1"/>
  <c r="H8" i="22"/>
  <c r="G8" i="22"/>
  <c r="F8" i="22"/>
  <c r="I8" i="22" s="1"/>
  <c r="AF7" i="22"/>
  <c r="AE7" i="22"/>
  <c r="AD7" i="22"/>
  <c r="AG7" i="22" s="1"/>
  <c r="T7" i="22"/>
  <c r="S7" i="22"/>
  <c r="R7" i="22"/>
  <c r="U7" i="22" s="1"/>
  <c r="I7" i="22"/>
  <c r="H7" i="22"/>
  <c r="G7" i="22"/>
  <c r="F7" i="22"/>
  <c r="AB3" i="22"/>
  <c r="AA3" i="22"/>
  <c r="Z3" i="22"/>
  <c r="P3" i="22"/>
  <c r="O3" i="22"/>
  <c r="N3" i="22"/>
  <c r="D3" i="22"/>
  <c r="C3" i="22"/>
  <c r="B3" i="22"/>
  <c r="M2" i="22"/>
  <c r="A2" i="22"/>
  <c r="AG41" i="21"/>
  <c r="AF41" i="21"/>
  <c r="AE41" i="21"/>
  <c r="AD41" i="21"/>
  <c r="T41" i="21"/>
  <c r="S41" i="21"/>
  <c r="R41" i="21"/>
  <c r="U41" i="21" s="1"/>
  <c r="I41" i="21"/>
  <c r="H41" i="21"/>
  <c r="G41" i="21"/>
  <c r="F41" i="21"/>
  <c r="AF40" i="21"/>
  <c r="AE40" i="21"/>
  <c r="AD40" i="21"/>
  <c r="AG40" i="21" s="1"/>
  <c r="U40" i="21"/>
  <c r="T40" i="21"/>
  <c r="S40" i="21"/>
  <c r="R40" i="21"/>
  <c r="H40" i="21"/>
  <c r="G40" i="21"/>
  <c r="F40" i="21"/>
  <c r="I40" i="21" s="1"/>
  <c r="AG39" i="21"/>
  <c r="AF39" i="21"/>
  <c r="AE39" i="21"/>
  <c r="AD39" i="21"/>
  <c r="T39" i="21"/>
  <c r="S39" i="21"/>
  <c r="R39" i="21"/>
  <c r="U39" i="21" s="1"/>
  <c r="I39" i="21"/>
  <c r="H39" i="21"/>
  <c r="G39" i="21"/>
  <c r="F39" i="21"/>
  <c r="AF38" i="21"/>
  <c r="AE38" i="21"/>
  <c r="AD38" i="21"/>
  <c r="AG38" i="21" s="1"/>
  <c r="U38" i="21"/>
  <c r="T38" i="21"/>
  <c r="S38" i="21"/>
  <c r="R38" i="21"/>
  <c r="H38" i="21"/>
  <c r="G38" i="21"/>
  <c r="F38" i="21"/>
  <c r="I38" i="21" s="1"/>
  <c r="AG37" i="21"/>
  <c r="AF37" i="21"/>
  <c r="AE37" i="21"/>
  <c r="AD37" i="21"/>
  <c r="T37" i="21"/>
  <c r="S37" i="21"/>
  <c r="R37" i="21"/>
  <c r="U37" i="21" s="1"/>
  <c r="K37" i="21"/>
  <c r="Q24" i="44" s="1"/>
  <c r="H37" i="21"/>
  <c r="G37" i="21"/>
  <c r="F37" i="21"/>
  <c r="I37" i="21" s="1"/>
  <c r="AF36" i="21"/>
  <c r="AE36" i="21"/>
  <c r="AD36" i="21"/>
  <c r="AG36" i="21" s="1"/>
  <c r="T36" i="21"/>
  <c r="S36" i="21"/>
  <c r="R36" i="21"/>
  <c r="U36" i="21" s="1"/>
  <c r="I36" i="21"/>
  <c r="H36" i="21"/>
  <c r="G36" i="21"/>
  <c r="F36" i="21"/>
  <c r="AF35" i="21"/>
  <c r="AE35" i="21"/>
  <c r="AD35" i="21"/>
  <c r="AG35" i="21" s="1"/>
  <c r="U35" i="21"/>
  <c r="T35" i="21"/>
  <c r="S35" i="21"/>
  <c r="R35" i="21"/>
  <c r="H35" i="21"/>
  <c r="G35" i="21"/>
  <c r="F35" i="21"/>
  <c r="I35" i="21" s="1"/>
  <c r="AG34" i="21"/>
  <c r="AF34" i="21"/>
  <c r="AE34" i="21"/>
  <c r="AD34" i="21"/>
  <c r="T34" i="21"/>
  <c r="S34" i="21"/>
  <c r="R34" i="21"/>
  <c r="U34" i="21" s="1"/>
  <c r="V35" i="21" s="1"/>
  <c r="W37" i="21" s="1"/>
  <c r="Q24" i="45" s="1"/>
  <c r="R24" i="45" s="1"/>
  <c r="I34" i="21"/>
  <c r="J35" i="21" s="1"/>
  <c r="H34" i="21"/>
  <c r="G34" i="21"/>
  <c r="F34" i="21"/>
  <c r="AF31" i="21"/>
  <c r="AE31" i="21"/>
  <c r="AD31" i="21"/>
  <c r="AG31" i="21" s="1"/>
  <c r="T31" i="21"/>
  <c r="S31" i="21"/>
  <c r="R31" i="21"/>
  <c r="U31" i="21" s="1"/>
  <c r="I31" i="21"/>
  <c r="H31" i="21"/>
  <c r="G31" i="21"/>
  <c r="F31" i="21"/>
  <c r="AF30" i="21"/>
  <c r="AE30" i="21"/>
  <c r="AD30" i="21"/>
  <c r="AG30" i="21" s="1"/>
  <c r="U30" i="21"/>
  <c r="T30" i="21"/>
  <c r="S30" i="21"/>
  <c r="R30" i="21"/>
  <c r="H30" i="21"/>
  <c r="G30" i="21"/>
  <c r="F30" i="21"/>
  <c r="I30" i="21" s="1"/>
  <c r="AG29" i="21"/>
  <c r="AF29" i="21"/>
  <c r="AE29" i="21"/>
  <c r="AD29" i="21"/>
  <c r="T29" i="21"/>
  <c r="S29" i="21"/>
  <c r="R29" i="21"/>
  <c r="U29" i="21" s="1"/>
  <c r="I29" i="21"/>
  <c r="H29" i="21"/>
  <c r="G29" i="21"/>
  <c r="F29" i="21"/>
  <c r="AF28" i="21"/>
  <c r="AE28" i="21"/>
  <c r="AD28" i="21"/>
  <c r="AG28" i="21" s="1"/>
  <c r="T28" i="21"/>
  <c r="S28" i="21"/>
  <c r="R28" i="21"/>
  <c r="U28" i="21" s="1"/>
  <c r="H28" i="21"/>
  <c r="G28" i="21"/>
  <c r="F28" i="21"/>
  <c r="I28" i="21" s="1"/>
  <c r="AF27" i="21"/>
  <c r="AE27" i="21"/>
  <c r="AD27" i="21"/>
  <c r="AG27" i="21" s="1"/>
  <c r="U27" i="21"/>
  <c r="T27" i="21"/>
  <c r="S27" i="21"/>
  <c r="R27" i="21"/>
  <c r="I27" i="21"/>
  <c r="H27" i="21"/>
  <c r="G27" i="21"/>
  <c r="F27" i="21"/>
  <c r="AF26" i="21"/>
  <c r="AE26" i="21"/>
  <c r="AD26" i="21"/>
  <c r="AG26" i="21" s="1"/>
  <c r="U26" i="21"/>
  <c r="T26" i="21"/>
  <c r="S26" i="21"/>
  <c r="R26" i="21"/>
  <c r="H26" i="21"/>
  <c r="G26" i="21"/>
  <c r="F26" i="21"/>
  <c r="I26" i="21" s="1"/>
  <c r="AG25" i="21"/>
  <c r="AF25" i="21"/>
  <c r="AE25" i="21"/>
  <c r="AD25" i="21"/>
  <c r="T25" i="21"/>
  <c r="S25" i="21"/>
  <c r="R25" i="21"/>
  <c r="U25" i="21" s="1"/>
  <c r="I25" i="21"/>
  <c r="H25" i="21"/>
  <c r="G25" i="21"/>
  <c r="F25" i="21"/>
  <c r="AF24" i="21"/>
  <c r="AE24" i="21"/>
  <c r="AD24" i="21"/>
  <c r="AG24" i="21" s="1"/>
  <c r="T24" i="21"/>
  <c r="S24" i="21"/>
  <c r="R24" i="21"/>
  <c r="U24" i="21" s="1"/>
  <c r="H24" i="21"/>
  <c r="G24" i="21"/>
  <c r="F24" i="21"/>
  <c r="I24" i="21" s="1"/>
  <c r="AF23" i="21"/>
  <c r="AE23" i="21"/>
  <c r="AD23" i="21"/>
  <c r="AG23" i="21" s="1"/>
  <c r="T23" i="21"/>
  <c r="S23" i="21"/>
  <c r="R23" i="21"/>
  <c r="U23" i="21" s="1"/>
  <c r="H23" i="21"/>
  <c r="G23" i="21"/>
  <c r="F23" i="21"/>
  <c r="I23" i="21" s="1"/>
  <c r="AF22" i="21"/>
  <c r="AE22" i="21"/>
  <c r="AD22" i="21"/>
  <c r="AG22" i="21" s="1"/>
  <c r="T22" i="21"/>
  <c r="S22" i="21"/>
  <c r="R22" i="21"/>
  <c r="U22" i="21" s="1"/>
  <c r="I22" i="21"/>
  <c r="H22" i="21"/>
  <c r="G22" i="21"/>
  <c r="F22" i="21"/>
  <c r="AF21" i="21"/>
  <c r="AE21" i="21"/>
  <c r="AD21" i="21"/>
  <c r="AG21" i="21" s="1"/>
  <c r="U21" i="21"/>
  <c r="T21" i="21"/>
  <c r="S21" i="21"/>
  <c r="R21" i="21"/>
  <c r="H21" i="21"/>
  <c r="G21" i="21"/>
  <c r="F21" i="21"/>
  <c r="I21" i="21" s="1"/>
  <c r="AG20" i="21"/>
  <c r="AF20" i="21"/>
  <c r="AE20" i="21"/>
  <c r="AD20" i="21"/>
  <c r="T20" i="21"/>
  <c r="S20" i="21"/>
  <c r="R20" i="21"/>
  <c r="U20" i="21" s="1"/>
  <c r="I20" i="21"/>
  <c r="H20" i="21"/>
  <c r="G20" i="21"/>
  <c r="F20" i="21"/>
  <c r="AF19" i="21"/>
  <c r="AE19" i="21"/>
  <c r="AD19" i="21"/>
  <c r="AG19" i="21" s="1"/>
  <c r="T19" i="21"/>
  <c r="S19" i="21"/>
  <c r="R19" i="21"/>
  <c r="U19" i="21" s="1"/>
  <c r="H19" i="21"/>
  <c r="G19" i="21"/>
  <c r="F19" i="21"/>
  <c r="I19" i="21" s="1"/>
  <c r="AF18" i="21"/>
  <c r="AE18" i="21"/>
  <c r="AD18" i="21"/>
  <c r="AG18" i="21" s="1"/>
  <c r="T18" i="21"/>
  <c r="S18" i="21"/>
  <c r="R18" i="21"/>
  <c r="U18" i="21" s="1"/>
  <c r="H18" i="21"/>
  <c r="G18" i="21"/>
  <c r="F18" i="21"/>
  <c r="I18" i="21" s="1"/>
  <c r="AF17" i="21"/>
  <c r="AE17" i="21"/>
  <c r="AD17" i="21"/>
  <c r="AG17" i="21" s="1"/>
  <c r="T17" i="21"/>
  <c r="S17" i="21"/>
  <c r="R17" i="21"/>
  <c r="U17" i="21" s="1"/>
  <c r="H17" i="21"/>
  <c r="G17" i="21"/>
  <c r="F17" i="21"/>
  <c r="I17" i="21" s="1"/>
  <c r="AF16" i="21"/>
  <c r="AE16" i="21"/>
  <c r="AD16" i="21"/>
  <c r="AG16" i="21" s="1"/>
  <c r="T16" i="21"/>
  <c r="S16" i="21"/>
  <c r="R16" i="21"/>
  <c r="U16" i="21" s="1"/>
  <c r="H16" i="21"/>
  <c r="G16" i="21"/>
  <c r="F16" i="21"/>
  <c r="I16" i="21" s="1"/>
  <c r="AF15" i="21"/>
  <c r="AE15" i="21"/>
  <c r="AD15" i="21"/>
  <c r="AG15" i="21" s="1"/>
  <c r="U15" i="21"/>
  <c r="T15" i="21"/>
  <c r="S15" i="21"/>
  <c r="R15" i="21"/>
  <c r="H15" i="21"/>
  <c r="G15" i="21"/>
  <c r="F15" i="21"/>
  <c r="I15" i="21" s="1"/>
  <c r="AG14" i="21"/>
  <c r="AF14" i="21"/>
  <c r="AE14" i="21"/>
  <c r="AD14" i="21"/>
  <c r="T14" i="21"/>
  <c r="S14" i="21"/>
  <c r="R14" i="21"/>
  <c r="U14" i="21" s="1"/>
  <c r="I14" i="21"/>
  <c r="H14" i="21"/>
  <c r="G14" i="21"/>
  <c r="F14" i="21"/>
  <c r="AF13" i="21"/>
  <c r="AE13" i="21"/>
  <c r="AD13" i="21"/>
  <c r="AG13" i="21" s="1"/>
  <c r="U13" i="21"/>
  <c r="T13" i="21"/>
  <c r="S13" i="21"/>
  <c r="R13" i="21"/>
  <c r="H13" i="21"/>
  <c r="G13" i="21"/>
  <c r="F13" i="21"/>
  <c r="I13" i="21" s="1"/>
  <c r="AF12" i="21"/>
  <c r="AE12" i="21"/>
  <c r="AD12" i="21"/>
  <c r="AG12" i="21" s="1"/>
  <c r="T12" i="21"/>
  <c r="S12" i="21"/>
  <c r="R12" i="21"/>
  <c r="U12" i="21" s="1"/>
  <c r="H12" i="21"/>
  <c r="G12" i="21"/>
  <c r="F12" i="21"/>
  <c r="I12" i="21" s="1"/>
  <c r="AF11" i="21"/>
  <c r="AE11" i="21"/>
  <c r="AD11" i="21"/>
  <c r="AG11" i="21" s="1"/>
  <c r="T11" i="21"/>
  <c r="S11" i="21"/>
  <c r="R11" i="21"/>
  <c r="U11" i="21" s="1"/>
  <c r="H11" i="21"/>
  <c r="G11" i="21"/>
  <c r="F11" i="21"/>
  <c r="I11" i="21" s="1"/>
  <c r="AF10" i="21"/>
  <c r="AE10" i="21"/>
  <c r="AD10" i="21"/>
  <c r="AG10" i="21" s="1"/>
  <c r="U10" i="21"/>
  <c r="T10" i="21"/>
  <c r="S10" i="21"/>
  <c r="R10" i="21"/>
  <c r="H10" i="21"/>
  <c r="G10" i="21"/>
  <c r="F10" i="21"/>
  <c r="I10" i="21" s="1"/>
  <c r="AF9" i="21"/>
  <c r="AE9" i="21"/>
  <c r="AD9" i="21"/>
  <c r="AG9" i="21" s="1"/>
  <c r="AH7" i="21" s="1"/>
  <c r="T9" i="21"/>
  <c r="S9" i="21"/>
  <c r="R9" i="21"/>
  <c r="U9" i="21" s="1"/>
  <c r="H9" i="21"/>
  <c r="G9" i="21"/>
  <c r="F9" i="21"/>
  <c r="I9" i="21" s="1"/>
  <c r="J7" i="21" s="1"/>
  <c r="K7" i="21" s="1"/>
  <c r="AF8" i="21"/>
  <c r="AE8" i="21"/>
  <c r="AD8" i="21"/>
  <c r="AG8" i="21" s="1"/>
  <c r="T8" i="21"/>
  <c r="S8" i="21"/>
  <c r="R8" i="21"/>
  <c r="U8" i="21" s="1"/>
  <c r="H8" i="21"/>
  <c r="G8" i="21"/>
  <c r="F8" i="21"/>
  <c r="I8" i="21" s="1"/>
  <c r="AF7" i="21"/>
  <c r="AE7" i="21"/>
  <c r="AD7" i="21"/>
  <c r="AG7" i="21" s="1"/>
  <c r="AH27" i="21" s="1"/>
  <c r="O24" i="46" s="1"/>
  <c r="P24" i="46" s="1"/>
  <c r="U7" i="21"/>
  <c r="V27" i="21" s="1"/>
  <c r="W27" i="21" s="1"/>
  <c r="O24" i="45" s="1"/>
  <c r="P24" i="45" s="1"/>
  <c r="T7" i="21"/>
  <c r="S7" i="21"/>
  <c r="R7" i="21"/>
  <c r="I7" i="21"/>
  <c r="H7" i="21"/>
  <c r="G7" i="21"/>
  <c r="F7" i="21"/>
  <c r="AB3" i="21"/>
  <c r="AA3" i="21"/>
  <c r="Z3" i="21"/>
  <c r="P3" i="21"/>
  <c r="O3" i="21"/>
  <c r="N3" i="21"/>
  <c r="D3" i="21"/>
  <c r="C3" i="21"/>
  <c r="B3" i="21"/>
  <c r="M2" i="21"/>
  <c r="A2" i="21"/>
  <c r="AF41" i="20"/>
  <c r="AE41" i="20"/>
  <c r="AD41" i="20"/>
  <c r="AG41" i="20" s="1"/>
  <c r="U41" i="20"/>
  <c r="T41" i="20"/>
  <c r="S41" i="20"/>
  <c r="R41" i="20"/>
  <c r="H41" i="20"/>
  <c r="G41" i="20"/>
  <c r="F41" i="20"/>
  <c r="I41" i="20" s="1"/>
  <c r="AG40" i="20"/>
  <c r="AF40" i="20"/>
  <c r="AE40" i="20"/>
  <c r="AD40" i="20"/>
  <c r="T40" i="20"/>
  <c r="S40" i="20"/>
  <c r="R40" i="20"/>
  <c r="U40" i="20" s="1"/>
  <c r="I40" i="20"/>
  <c r="H40" i="20"/>
  <c r="G40" i="20"/>
  <c r="F40" i="20"/>
  <c r="AF39" i="20"/>
  <c r="AE39" i="20"/>
  <c r="AD39" i="20"/>
  <c r="AG39" i="20" s="1"/>
  <c r="U39" i="20"/>
  <c r="T39" i="20"/>
  <c r="S39" i="20"/>
  <c r="R39" i="20"/>
  <c r="H39" i="20"/>
  <c r="G39" i="20"/>
  <c r="F39" i="20"/>
  <c r="I39" i="20" s="1"/>
  <c r="AG38" i="20"/>
  <c r="AF38" i="20"/>
  <c r="AE38" i="20"/>
  <c r="AD38" i="20"/>
  <c r="T38" i="20"/>
  <c r="S38" i="20"/>
  <c r="R38" i="20"/>
  <c r="U38" i="20" s="1"/>
  <c r="I38" i="20"/>
  <c r="H38" i="20"/>
  <c r="G38" i="20"/>
  <c r="F38" i="20"/>
  <c r="AG37" i="20"/>
  <c r="AF37" i="20"/>
  <c r="AE37" i="20"/>
  <c r="AD37" i="20"/>
  <c r="T37" i="20"/>
  <c r="S37" i="20"/>
  <c r="R37" i="20"/>
  <c r="U37" i="20" s="1"/>
  <c r="I37" i="20"/>
  <c r="H37" i="20"/>
  <c r="G37" i="20"/>
  <c r="F37" i="20"/>
  <c r="AF36" i="20"/>
  <c r="AE36" i="20"/>
  <c r="AD36" i="20"/>
  <c r="AG36" i="20" s="1"/>
  <c r="U36" i="20"/>
  <c r="T36" i="20"/>
  <c r="S36" i="20"/>
  <c r="R36" i="20"/>
  <c r="H36" i="20"/>
  <c r="G36" i="20"/>
  <c r="F36" i="20"/>
  <c r="I36" i="20" s="1"/>
  <c r="AH35" i="20"/>
  <c r="AI37" i="20" s="1"/>
  <c r="AG35" i="20"/>
  <c r="AF35" i="20"/>
  <c r="AE35" i="20"/>
  <c r="AD35" i="20"/>
  <c r="T35" i="20"/>
  <c r="S35" i="20"/>
  <c r="R35" i="20"/>
  <c r="U35" i="20" s="1"/>
  <c r="H35" i="20"/>
  <c r="G35" i="20"/>
  <c r="F35" i="20"/>
  <c r="I35" i="20" s="1"/>
  <c r="AG34" i="20"/>
  <c r="AF34" i="20"/>
  <c r="AE34" i="20"/>
  <c r="AD34" i="20"/>
  <c r="T34" i="20"/>
  <c r="S34" i="20"/>
  <c r="R34" i="20"/>
  <c r="U34" i="20" s="1"/>
  <c r="I34" i="20"/>
  <c r="J35" i="20" s="1"/>
  <c r="K37" i="20" s="1"/>
  <c r="Q23" i="44" s="1"/>
  <c r="H34" i="20"/>
  <c r="G34" i="20"/>
  <c r="F34" i="20"/>
  <c r="AF31" i="20"/>
  <c r="AE31" i="20"/>
  <c r="AD31" i="20"/>
  <c r="AG31" i="20" s="1"/>
  <c r="T31" i="20"/>
  <c r="S31" i="20"/>
  <c r="R31" i="20"/>
  <c r="U31" i="20" s="1"/>
  <c r="H31" i="20"/>
  <c r="G31" i="20"/>
  <c r="F31" i="20"/>
  <c r="I31" i="20" s="1"/>
  <c r="AF30" i="20"/>
  <c r="AE30" i="20"/>
  <c r="AD30" i="20"/>
  <c r="AG30" i="20" s="1"/>
  <c r="T30" i="20"/>
  <c r="S30" i="20"/>
  <c r="R30" i="20"/>
  <c r="U30" i="20" s="1"/>
  <c r="H30" i="20"/>
  <c r="G30" i="20"/>
  <c r="F30" i="20"/>
  <c r="I30" i="20" s="1"/>
  <c r="AF29" i="20"/>
  <c r="AE29" i="20"/>
  <c r="AD29" i="20"/>
  <c r="AG29" i="20" s="1"/>
  <c r="T29" i="20"/>
  <c r="S29" i="20"/>
  <c r="R29" i="20"/>
  <c r="U29" i="20" s="1"/>
  <c r="H29" i="20"/>
  <c r="G29" i="20"/>
  <c r="F29" i="20"/>
  <c r="I29" i="20" s="1"/>
  <c r="AF28" i="20"/>
  <c r="AE28" i="20"/>
  <c r="AD28" i="20"/>
  <c r="AG28" i="20" s="1"/>
  <c r="T28" i="20"/>
  <c r="S28" i="20"/>
  <c r="R28" i="20"/>
  <c r="U28" i="20" s="1"/>
  <c r="H28" i="20"/>
  <c r="G28" i="20"/>
  <c r="F28" i="20"/>
  <c r="I28" i="20" s="1"/>
  <c r="AF27" i="20"/>
  <c r="AE27" i="20"/>
  <c r="AD27" i="20"/>
  <c r="AG27" i="20" s="1"/>
  <c r="U27" i="20"/>
  <c r="T27" i="20"/>
  <c r="S27" i="20"/>
  <c r="R27" i="20"/>
  <c r="H27" i="20"/>
  <c r="G27" i="20"/>
  <c r="F27" i="20"/>
  <c r="I27" i="20" s="1"/>
  <c r="AF26" i="20"/>
  <c r="AE26" i="20"/>
  <c r="AD26" i="20"/>
  <c r="AG26" i="20" s="1"/>
  <c r="T26" i="20"/>
  <c r="S26" i="20"/>
  <c r="R26" i="20"/>
  <c r="U26" i="20" s="1"/>
  <c r="I26" i="20"/>
  <c r="H26" i="20"/>
  <c r="G26" i="20"/>
  <c r="F26" i="20"/>
  <c r="AF25" i="20"/>
  <c r="AE25" i="20"/>
  <c r="AD25" i="20"/>
  <c r="AG25" i="20" s="1"/>
  <c r="U25" i="20"/>
  <c r="T25" i="20"/>
  <c r="S25" i="20"/>
  <c r="R25" i="20"/>
  <c r="H25" i="20"/>
  <c r="G25" i="20"/>
  <c r="F25" i="20"/>
  <c r="I25" i="20" s="1"/>
  <c r="AG24" i="20"/>
  <c r="AF24" i="20"/>
  <c r="AE24" i="20"/>
  <c r="AD24" i="20"/>
  <c r="T24" i="20"/>
  <c r="S24" i="20"/>
  <c r="R24" i="20"/>
  <c r="U24" i="20" s="1"/>
  <c r="H24" i="20"/>
  <c r="G24" i="20"/>
  <c r="F24" i="20"/>
  <c r="I24" i="20" s="1"/>
  <c r="AF23" i="20"/>
  <c r="AE23" i="20"/>
  <c r="AD23" i="20"/>
  <c r="AG23" i="20" s="1"/>
  <c r="U23" i="20"/>
  <c r="T23" i="20"/>
  <c r="S23" i="20"/>
  <c r="R23" i="20"/>
  <c r="H23" i="20"/>
  <c r="G23" i="20"/>
  <c r="F23" i="20"/>
  <c r="I23" i="20" s="1"/>
  <c r="AF22" i="20"/>
  <c r="AE22" i="20"/>
  <c r="AD22" i="20"/>
  <c r="AG22" i="20" s="1"/>
  <c r="T22" i="20"/>
  <c r="S22" i="20"/>
  <c r="R22" i="20"/>
  <c r="U22" i="20" s="1"/>
  <c r="H22" i="20"/>
  <c r="G22" i="20"/>
  <c r="F22" i="20"/>
  <c r="I22" i="20" s="1"/>
  <c r="AF21" i="20"/>
  <c r="AE21" i="20"/>
  <c r="AD21" i="20"/>
  <c r="AG21" i="20" s="1"/>
  <c r="U21" i="20"/>
  <c r="T21" i="20"/>
  <c r="S21" i="20"/>
  <c r="R21" i="20"/>
  <c r="H21" i="20"/>
  <c r="G21" i="20"/>
  <c r="F21" i="20"/>
  <c r="I21" i="20" s="1"/>
  <c r="AF20" i="20"/>
  <c r="AE20" i="20"/>
  <c r="AD20" i="20"/>
  <c r="AG20" i="20" s="1"/>
  <c r="T20" i="20"/>
  <c r="S20" i="20"/>
  <c r="R20" i="20"/>
  <c r="U20" i="20" s="1"/>
  <c r="H20" i="20"/>
  <c r="G20" i="20"/>
  <c r="F20" i="20"/>
  <c r="I20" i="20" s="1"/>
  <c r="AF19" i="20"/>
  <c r="AE19" i="20"/>
  <c r="AD19" i="20"/>
  <c r="AG19" i="20" s="1"/>
  <c r="T19" i="20"/>
  <c r="S19" i="20"/>
  <c r="R19" i="20"/>
  <c r="U19" i="20" s="1"/>
  <c r="H19" i="20"/>
  <c r="G19" i="20"/>
  <c r="F19" i="20"/>
  <c r="I19" i="20" s="1"/>
  <c r="AF18" i="20"/>
  <c r="AE18" i="20"/>
  <c r="AD18" i="20"/>
  <c r="AG18" i="20" s="1"/>
  <c r="T18" i="20"/>
  <c r="S18" i="20"/>
  <c r="R18" i="20"/>
  <c r="U18" i="20" s="1"/>
  <c r="H18" i="20"/>
  <c r="G18" i="20"/>
  <c r="F18" i="20"/>
  <c r="I18" i="20" s="1"/>
  <c r="AF17" i="20"/>
  <c r="AE17" i="20"/>
  <c r="AD17" i="20"/>
  <c r="AG17" i="20" s="1"/>
  <c r="T17" i="20"/>
  <c r="S17" i="20"/>
  <c r="R17" i="20"/>
  <c r="U17" i="20" s="1"/>
  <c r="I17" i="20"/>
  <c r="H17" i="20"/>
  <c r="G17" i="20"/>
  <c r="F17" i="20"/>
  <c r="AF16" i="20"/>
  <c r="AE16" i="20"/>
  <c r="AD16" i="20"/>
  <c r="AG16" i="20" s="1"/>
  <c r="U16" i="20"/>
  <c r="T16" i="20"/>
  <c r="S16" i="20"/>
  <c r="R16" i="20"/>
  <c r="H16" i="20"/>
  <c r="G16" i="20"/>
  <c r="F16" i="20"/>
  <c r="I16" i="20" s="1"/>
  <c r="AG15" i="20"/>
  <c r="AF15" i="20"/>
  <c r="AE15" i="20"/>
  <c r="AD15" i="20"/>
  <c r="T15" i="20"/>
  <c r="S15" i="20"/>
  <c r="R15" i="20"/>
  <c r="U15" i="20" s="1"/>
  <c r="I15" i="20"/>
  <c r="H15" i="20"/>
  <c r="G15" i="20"/>
  <c r="F15" i="20"/>
  <c r="AF14" i="20"/>
  <c r="AE14" i="20"/>
  <c r="AD14" i="20"/>
  <c r="AG14" i="20" s="1"/>
  <c r="T14" i="20"/>
  <c r="S14" i="20"/>
  <c r="R14" i="20"/>
  <c r="U14" i="20" s="1"/>
  <c r="H14" i="20"/>
  <c r="G14" i="20"/>
  <c r="F14" i="20"/>
  <c r="I14" i="20" s="1"/>
  <c r="AF13" i="20"/>
  <c r="AE13" i="20"/>
  <c r="AD13" i="20"/>
  <c r="AG13" i="20" s="1"/>
  <c r="T13" i="20"/>
  <c r="S13" i="20"/>
  <c r="R13" i="20"/>
  <c r="U13" i="20" s="1"/>
  <c r="H13" i="20"/>
  <c r="G13" i="20"/>
  <c r="F13" i="20"/>
  <c r="I13" i="20" s="1"/>
  <c r="AG12" i="20"/>
  <c r="AF12" i="20"/>
  <c r="AE12" i="20"/>
  <c r="AD12" i="20"/>
  <c r="T12" i="20"/>
  <c r="S12" i="20"/>
  <c r="R12" i="20"/>
  <c r="U12" i="20" s="1"/>
  <c r="V22" i="20" s="1"/>
  <c r="W22" i="20" s="1"/>
  <c r="K23" i="45" s="1"/>
  <c r="L23" i="45" s="1"/>
  <c r="H12" i="20"/>
  <c r="G12" i="20"/>
  <c r="F12" i="20"/>
  <c r="I12" i="20" s="1"/>
  <c r="AF11" i="20"/>
  <c r="AE11" i="20"/>
  <c r="AD11" i="20"/>
  <c r="AG11" i="20" s="1"/>
  <c r="T11" i="20"/>
  <c r="S11" i="20"/>
  <c r="R11" i="20"/>
  <c r="U11" i="20" s="1"/>
  <c r="H11" i="20"/>
  <c r="G11" i="20"/>
  <c r="F11" i="20"/>
  <c r="I11" i="20" s="1"/>
  <c r="AF10" i="20"/>
  <c r="AE10" i="20"/>
  <c r="AD10" i="20"/>
  <c r="AG10" i="20" s="1"/>
  <c r="T10" i="20"/>
  <c r="S10" i="20"/>
  <c r="R10" i="20"/>
  <c r="U10" i="20" s="1"/>
  <c r="H10" i="20"/>
  <c r="G10" i="20"/>
  <c r="F10" i="20"/>
  <c r="I10" i="20" s="1"/>
  <c r="AG9" i="20"/>
  <c r="AF9" i="20"/>
  <c r="AE9" i="20"/>
  <c r="AD9" i="20"/>
  <c r="T9" i="20"/>
  <c r="S9" i="20"/>
  <c r="R9" i="20"/>
  <c r="U9" i="20" s="1"/>
  <c r="H9" i="20"/>
  <c r="G9" i="20"/>
  <c r="F9" i="20"/>
  <c r="I9" i="20" s="1"/>
  <c r="AF8" i="20"/>
  <c r="AE8" i="20"/>
  <c r="AD8" i="20"/>
  <c r="AG8" i="20" s="1"/>
  <c r="U8" i="20"/>
  <c r="T8" i="20"/>
  <c r="S8" i="20"/>
  <c r="R8" i="20"/>
  <c r="H8" i="20"/>
  <c r="G8" i="20"/>
  <c r="F8" i="20"/>
  <c r="I8" i="20" s="1"/>
  <c r="AF7" i="20"/>
  <c r="AE7" i="20"/>
  <c r="AD7" i="20"/>
  <c r="AG7" i="20" s="1"/>
  <c r="T7" i="20"/>
  <c r="S7" i="20"/>
  <c r="R7" i="20"/>
  <c r="U7" i="20" s="1"/>
  <c r="H7" i="20"/>
  <c r="G7" i="20"/>
  <c r="F7" i="20"/>
  <c r="I7" i="20" s="1"/>
  <c r="AB3" i="20"/>
  <c r="AA3" i="20"/>
  <c r="Z3" i="20"/>
  <c r="P3" i="20"/>
  <c r="O3" i="20"/>
  <c r="N3" i="20"/>
  <c r="D3" i="20"/>
  <c r="C3" i="20"/>
  <c r="B3" i="20"/>
  <c r="M2" i="20"/>
  <c r="A2" i="20"/>
  <c r="AF41" i="19"/>
  <c r="AE41" i="19"/>
  <c r="AD41" i="19"/>
  <c r="AG41" i="19" s="1"/>
  <c r="U41" i="19"/>
  <c r="T41" i="19"/>
  <c r="S41" i="19"/>
  <c r="R41" i="19"/>
  <c r="H41" i="19"/>
  <c r="G41" i="19"/>
  <c r="F41" i="19"/>
  <c r="I41" i="19" s="1"/>
  <c r="AG40" i="19"/>
  <c r="AF40" i="19"/>
  <c r="AE40" i="19"/>
  <c r="AD40" i="19"/>
  <c r="T40" i="19"/>
  <c r="S40" i="19"/>
  <c r="R40" i="19"/>
  <c r="U40" i="19" s="1"/>
  <c r="I40" i="19"/>
  <c r="H40" i="19"/>
  <c r="G40" i="19"/>
  <c r="F40" i="19"/>
  <c r="AF39" i="19"/>
  <c r="AE39" i="19"/>
  <c r="AD39" i="19"/>
  <c r="AG39" i="19" s="1"/>
  <c r="U39" i="19"/>
  <c r="T39" i="19"/>
  <c r="S39" i="19"/>
  <c r="R39" i="19"/>
  <c r="H39" i="19"/>
  <c r="G39" i="19"/>
  <c r="F39" i="19"/>
  <c r="I39" i="19" s="1"/>
  <c r="AG38" i="19"/>
  <c r="AF38" i="19"/>
  <c r="AE38" i="19"/>
  <c r="AD38" i="19"/>
  <c r="T38" i="19"/>
  <c r="S38" i="19"/>
  <c r="R38" i="19"/>
  <c r="U38" i="19" s="1"/>
  <c r="I38" i="19"/>
  <c r="H38" i="19"/>
  <c r="G38" i="19"/>
  <c r="F38" i="19"/>
  <c r="AF37" i="19"/>
  <c r="AE37" i="19"/>
  <c r="AD37" i="19"/>
  <c r="AG37" i="19" s="1"/>
  <c r="U37" i="19"/>
  <c r="T37" i="19"/>
  <c r="S37" i="19"/>
  <c r="R37" i="19"/>
  <c r="I37" i="19"/>
  <c r="H37" i="19"/>
  <c r="G37" i="19"/>
  <c r="F37" i="19"/>
  <c r="AF36" i="19"/>
  <c r="AE36" i="19"/>
  <c r="AD36" i="19"/>
  <c r="AG36" i="19" s="1"/>
  <c r="U36" i="19"/>
  <c r="T36" i="19"/>
  <c r="S36" i="19"/>
  <c r="R36" i="19"/>
  <c r="H36" i="19"/>
  <c r="G36" i="19"/>
  <c r="F36" i="19"/>
  <c r="I36" i="19" s="1"/>
  <c r="AH35" i="19"/>
  <c r="AI37" i="19" s="1"/>
  <c r="AG35" i="19"/>
  <c r="AF35" i="19"/>
  <c r="AE35" i="19"/>
  <c r="AD35" i="19"/>
  <c r="T35" i="19"/>
  <c r="S35" i="19"/>
  <c r="R35" i="19"/>
  <c r="U35" i="19" s="1"/>
  <c r="J35" i="19"/>
  <c r="K37" i="19" s="1"/>
  <c r="Q22" i="44" s="1"/>
  <c r="I35" i="19"/>
  <c r="H35" i="19"/>
  <c r="G35" i="19"/>
  <c r="F35" i="19"/>
  <c r="AF34" i="19"/>
  <c r="AE34" i="19"/>
  <c r="AD34" i="19"/>
  <c r="AG34" i="19" s="1"/>
  <c r="U34" i="19"/>
  <c r="V35" i="19" s="1"/>
  <c r="W37" i="19" s="1"/>
  <c r="Q22" i="45" s="1"/>
  <c r="R22" i="45" s="1"/>
  <c r="T34" i="19"/>
  <c r="S34" i="19"/>
  <c r="R34" i="19"/>
  <c r="H34" i="19"/>
  <c r="G34" i="19"/>
  <c r="F34" i="19"/>
  <c r="I34" i="19" s="1"/>
  <c r="AF31" i="19"/>
  <c r="AE31" i="19"/>
  <c r="AD31" i="19"/>
  <c r="AG31" i="19" s="1"/>
  <c r="U31" i="19"/>
  <c r="T31" i="19"/>
  <c r="S31" i="19"/>
  <c r="R31" i="19"/>
  <c r="H31" i="19"/>
  <c r="G31" i="19"/>
  <c r="F31" i="19"/>
  <c r="I31" i="19" s="1"/>
  <c r="AG30" i="19"/>
  <c r="AF30" i="19"/>
  <c r="AE30" i="19"/>
  <c r="AD30" i="19"/>
  <c r="T30" i="19"/>
  <c r="S30" i="19"/>
  <c r="R30" i="19"/>
  <c r="U30" i="19" s="1"/>
  <c r="I30" i="19"/>
  <c r="H30" i="19"/>
  <c r="G30" i="19"/>
  <c r="F30" i="19"/>
  <c r="AF29" i="19"/>
  <c r="AE29" i="19"/>
  <c r="AD29" i="19"/>
  <c r="AG29" i="19" s="1"/>
  <c r="U29" i="19"/>
  <c r="T29" i="19"/>
  <c r="S29" i="19"/>
  <c r="R29" i="19"/>
  <c r="H29" i="19"/>
  <c r="G29" i="19"/>
  <c r="F29" i="19"/>
  <c r="I29" i="19" s="1"/>
  <c r="AF28" i="19"/>
  <c r="AE28" i="19"/>
  <c r="AD28" i="19"/>
  <c r="AG28" i="19" s="1"/>
  <c r="T28" i="19"/>
  <c r="S28" i="19"/>
  <c r="R28" i="19"/>
  <c r="U28" i="19" s="1"/>
  <c r="H28" i="19"/>
  <c r="G28" i="19"/>
  <c r="F28" i="19"/>
  <c r="I28" i="19" s="1"/>
  <c r="AG27" i="19"/>
  <c r="AF27" i="19"/>
  <c r="AE27" i="19"/>
  <c r="AD27" i="19"/>
  <c r="T27" i="19"/>
  <c r="S27" i="19"/>
  <c r="R27" i="19"/>
  <c r="U27" i="19" s="1"/>
  <c r="H27" i="19"/>
  <c r="G27" i="19"/>
  <c r="F27" i="19"/>
  <c r="I27" i="19" s="1"/>
  <c r="AF26" i="19"/>
  <c r="AE26" i="19"/>
  <c r="AD26" i="19"/>
  <c r="AG26" i="19" s="1"/>
  <c r="T26" i="19"/>
  <c r="S26" i="19"/>
  <c r="R26" i="19"/>
  <c r="U26" i="19" s="1"/>
  <c r="H26" i="19"/>
  <c r="G26" i="19"/>
  <c r="F26" i="19"/>
  <c r="I26" i="19" s="1"/>
  <c r="AF25" i="19"/>
  <c r="AE25" i="19"/>
  <c r="AD25" i="19"/>
  <c r="AG25" i="19" s="1"/>
  <c r="T25" i="19"/>
  <c r="S25" i="19"/>
  <c r="R25" i="19"/>
  <c r="U25" i="19" s="1"/>
  <c r="H25" i="19"/>
  <c r="G25" i="19"/>
  <c r="F25" i="19"/>
  <c r="I25" i="19" s="1"/>
  <c r="AF24" i="19"/>
  <c r="AE24" i="19"/>
  <c r="AD24" i="19"/>
  <c r="AG24" i="19" s="1"/>
  <c r="T24" i="19"/>
  <c r="S24" i="19"/>
  <c r="R24" i="19"/>
  <c r="U24" i="19" s="1"/>
  <c r="H24" i="19"/>
  <c r="G24" i="19"/>
  <c r="F24" i="19"/>
  <c r="I24" i="19" s="1"/>
  <c r="AF23" i="19"/>
  <c r="AE23" i="19"/>
  <c r="AD23" i="19"/>
  <c r="AG23" i="19" s="1"/>
  <c r="U23" i="19"/>
  <c r="T23" i="19"/>
  <c r="S23" i="19"/>
  <c r="R23" i="19"/>
  <c r="H23" i="19"/>
  <c r="G23" i="19"/>
  <c r="F23" i="19"/>
  <c r="I23" i="19" s="1"/>
  <c r="AG22" i="19"/>
  <c r="AF22" i="19"/>
  <c r="AE22" i="19"/>
  <c r="AD22" i="19"/>
  <c r="T22" i="19"/>
  <c r="S22" i="19"/>
  <c r="R22" i="19"/>
  <c r="U22" i="19" s="1"/>
  <c r="H22" i="19"/>
  <c r="G22" i="19"/>
  <c r="F22" i="19"/>
  <c r="I22" i="19" s="1"/>
  <c r="AG21" i="19"/>
  <c r="AF21" i="19"/>
  <c r="AE21" i="19"/>
  <c r="AD21" i="19"/>
  <c r="T21" i="19"/>
  <c r="S21" i="19"/>
  <c r="R21" i="19"/>
  <c r="U21" i="19" s="1"/>
  <c r="H21" i="19"/>
  <c r="G21" i="19"/>
  <c r="F21" i="19"/>
  <c r="I21" i="19" s="1"/>
  <c r="AF20" i="19"/>
  <c r="AE20" i="19"/>
  <c r="AD20" i="19"/>
  <c r="AG20" i="19" s="1"/>
  <c r="U20" i="19"/>
  <c r="T20" i="19"/>
  <c r="S20" i="19"/>
  <c r="R20" i="19"/>
  <c r="H20" i="19"/>
  <c r="G20" i="19"/>
  <c r="F20" i="19"/>
  <c r="I20" i="19" s="1"/>
  <c r="AF19" i="19"/>
  <c r="AE19" i="19"/>
  <c r="AD19" i="19"/>
  <c r="AG19" i="19" s="1"/>
  <c r="T19" i="19"/>
  <c r="S19" i="19"/>
  <c r="R19" i="19"/>
  <c r="U19" i="19" s="1"/>
  <c r="H19" i="19"/>
  <c r="G19" i="19"/>
  <c r="F19" i="19"/>
  <c r="I19" i="19" s="1"/>
  <c r="J7" i="19" s="1"/>
  <c r="K7" i="19" s="1"/>
  <c r="AF18" i="19"/>
  <c r="AE18" i="19"/>
  <c r="AD18" i="19"/>
  <c r="AG18" i="19" s="1"/>
  <c r="T18" i="19"/>
  <c r="S18" i="19"/>
  <c r="R18" i="19"/>
  <c r="U18" i="19" s="1"/>
  <c r="H18" i="19"/>
  <c r="G18" i="19"/>
  <c r="F18" i="19"/>
  <c r="I18" i="19" s="1"/>
  <c r="AH17" i="19"/>
  <c r="I22" i="46" s="1"/>
  <c r="J22" i="46" s="1"/>
  <c r="AF17" i="19"/>
  <c r="AE17" i="19"/>
  <c r="AD17" i="19"/>
  <c r="AG17" i="19" s="1"/>
  <c r="U17" i="19"/>
  <c r="T17" i="19"/>
  <c r="S17" i="19"/>
  <c r="R17" i="19"/>
  <c r="I17" i="19"/>
  <c r="H17" i="19"/>
  <c r="G17" i="19"/>
  <c r="F17" i="19"/>
  <c r="AF16" i="19"/>
  <c r="AE16" i="19"/>
  <c r="AD16" i="19"/>
  <c r="AG16" i="19" s="1"/>
  <c r="T16" i="19"/>
  <c r="S16" i="19"/>
  <c r="R16" i="19"/>
  <c r="U16" i="19" s="1"/>
  <c r="H16" i="19"/>
  <c r="G16" i="19"/>
  <c r="F16" i="19"/>
  <c r="I16" i="19" s="1"/>
  <c r="AG15" i="19"/>
  <c r="AF15" i="19"/>
  <c r="AE15" i="19"/>
  <c r="AD15" i="19"/>
  <c r="T15" i="19"/>
  <c r="S15" i="19"/>
  <c r="R15" i="19"/>
  <c r="U15" i="19" s="1"/>
  <c r="H15" i="19"/>
  <c r="G15" i="19"/>
  <c r="F15" i="19"/>
  <c r="I15" i="19" s="1"/>
  <c r="AF14" i="19"/>
  <c r="AE14" i="19"/>
  <c r="AD14" i="19"/>
  <c r="AG14" i="19" s="1"/>
  <c r="T14" i="19"/>
  <c r="S14" i="19"/>
  <c r="R14" i="19"/>
  <c r="U14" i="19" s="1"/>
  <c r="H14" i="19"/>
  <c r="G14" i="19"/>
  <c r="F14" i="19"/>
  <c r="I14" i="19" s="1"/>
  <c r="AF13" i="19"/>
  <c r="AE13" i="19"/>
  <c r="AD13" i="19"/>
  <c r="AG13" i="19" s="1"/>
  <c r="T13" i="19"/>
  <c r="S13" i="19"/>
  <c r="R13" i="19"/>
  <c r="U13" i="19" s="1"/>
  <c r="H13" i="19"/>
  <c r="G13" i="19"/>
  <c r="F13" i="19"/>
  <c r="I13" i="19" s="1"/>
  <c r="AF12" i="19"/>
  <c r="AE12" i="19"/>
  <c r="AD12" i="19"/>
  <c r="AG12" i="19" s="1"/>
  <c r="T12" i="19"/>
  <c r="S12" i="19"/>
  <c r="R12" i="19"/>
  <c r="U12" i="19" s="1"/>
  <c r="I12" i="19"/>
  <c r="H12" i="19"/>
  <c r="G12" i="19"/>
  <c r="F12" i="19"/>
  <c r="AF11" i="19"/>
  <c r="AE11" i="19"/>
  <c r="AD11" i="19"/>
  <c r="AG11" i="19" s="1"/>
  <c r="T11" i="19"/>
  <c r="S11" i="19"/>
  <c r="R11" i="19"/>
  <c r="U11" i="19" s="1"/>
  <c r="H11" i="19"/>
  <c r="G11" i="19"/>
  <c r="F11" i="19"/>
  <c r="I11" i="19" s="1"/>
  <c r="AG10" i="19"/>
  <c r="AF10" i="19"/>
  <c r="AE10" i="19"/>
  <c r="AD10" i="19"/>
  <c r="T10" i="19"/>
  <c r="S10" i="19"/>
  <c r="R10" i="19"/>
  <c r="U10" i="19" s="1"/>
  <c r="I10" i="19"/>
  <c r="H10" i="19"/>
  <c r="G10" i="19"/>
  <c r="F10" i="19"/>
  <c r="AF9" i="19"/>
  <c r="AE9" i="19"/>
  <c r="AD9" i="19"/>
  <c r="AG9" i="19" s="1"/>
  <c r="U9" i="19"/>
  <c r="T9" i="19"/>
  <c r="S9" i="19"/>
  <c r="R9" i="19"/>
  <c r="H9" i="19"/>
  <c r="G9" i="19"/>
  <c r="F9" i="19"/>
  <c r="I9" i="19" s="1"/>
  <c r="AG8" i="19"/>
  <c r="AF8" i="19"/>
  <c r="AE8" i="19"/>
  <c r="AD8" i="19"/>
  <c r="T8" i="19"/>
  <c r="S8" i="19"/>
  <c r="R8" i="19"/>
  <c r="U8" i="19" s="1"/>
  <c r="H8" i="19"/>
  <c r="G8" i="19"/>
  <c r="F8" i="19"/>
  <c r="I8" i="19" s="1"/>
  <c r="AG7" i="19"/>
  <c r="AH27" i="19" s="1"/>
  <c r="AF7" i="19"/>
  <c r="AE7" i="19"/>
  <c r="AD7" i="19"/>
  <c r="T7" i="19"/>
  <c r="S7" i="19"/>
  <c r="R7" i="19"/>
  <c r="U7" i="19" s="1"/>
  <c r="H7" i="19"/>
  <c r="G7" i="19"/>
  <c r="F7" i="19"/>
  <c r="I7" i="19" s="1"/>
  <c r="AB3" i="19"/>
  <c r="AA3" i="19"/>
  <c r="Z3" i="19"/>
  <c r="P3" i="19"/>
  <c r="O3" i="19"/>
  <c r="N3" i="19"/>
  <c r="D3" i="19"/>
  <c r="C3" i="19"/>
  <c r="B3" i="19"/>
  <c r="M2" i="19"/>
  <c r="A2" i="19"/>
  <c r="AG41" i="18"/>
  <c r="AF41" i="18"/>
  <c r="AE41" i="18"/>
  <c r="AD41" i="18"/>
  <c r="T41" i="18"/>
  <c r="S41" i="18"/>
  <c r="R41" i="18"/>
  <c r="U41" i="18" s="1"/>
  <c r="I41" i="18"/>
  <c r="H41" i="18"/>
  <c r="G41" i="18"/>
  <c r="F41" i="18"/>
  <c r="AF40" i="18"/>
  <c r="AE40" i="18"/>
  <c r="AD40" i="18"/>
  <c r="AG40" i="18" s="1"/>
  <c r="U40" i="18"/>
  <c r="T40" i="18"/>
  <c r="S40" i="18"/>
  <c r="R40" i="18"/>
  <c r="H40" i="18"/>
  <c r="G40" i="18"/>
  <c r="F40" i="18"/>
  <c r="I40" i="18" s="1"/>
  <c r="AG39" i="18"/>
  <c r="AF39" i="18"/>
  <c r="AE39" i="18"/>
  <c r="AD39" i="18"/>
  <c r="T39" i="18"/>
  <c r="S39" i="18"/>
  <c r="R39" i="18"/>
  <c r="U39" i="18" s="1"/>
  <c r="I39" i="18"/>
  <c r="H39" i="18"/>
  <c r="G39" i="18"/>
  <c r="F39" i="18"/>
  <c r="AF38" i="18"/>
  <c r="AE38" i="18"/>
  <c r="AD38" i="18"/>
  <c r="AG38" i="18" s="1"/>
  <c r="U38" i="18"/>
  <c r="T38" i="18"/>
  <c r="S38" i="18"/>
  <c r="R38" i="18"/>
  <c r="H38" i="18"/>
  <c r="G38" i="18"/>
  <c r="F38" i="18"/>
  <c r="I38" i="18" s="1"/>
  <c r="J35" i="18" s="1"/>
  <c r="K37" i="18" s="1"/>
  <c r="Q21" i="44" s="1"/>
  <c r="AF37" i="18"/>
  <c r="AE37" i="18"/>
  <c r="AD37" i="18"/>
  <c r="AG37" i="18" s="1"/>
  <c r="U37" i="18"/>
  <c r="T37" i="18"/>
  <c r="S37" i="18"/>
  <c r="R37" i="18"/>
  <c r="H37" i="18"/>
  <c r="G37" i="18"/>
  <c r="F37" i="18"/>
  <c r="I37" i="18" s="1"/>
  <c r="AG36" i="18"/>
  <c r="AF36" i="18"/>
  <c r="AE36" i="18"/>
  <c r="AD36" i="18"/>
  <c r="T36" i="18"/>
  <c r="S36" i="18"/>
  <c r="R36" i="18"/>
  <c r="U36" i="18" s="1"/>
  <c r="I36" i="18"/>
  <c r="H36" i="18"/>
  <c r="G36" i="18"/>
  <c r="F36" i="18"/>
  <c r="AF35" i="18"/>
  <c r="AE35" i="18"/>
  <c r="AD35" i="18"/>
  <c r="AG35" i="18" s="1"/>
  <c r="T35" i="18"/>
  <c r="S35" i="18"/>
  <c r="R35" i="18"/>
  <c r="U35" i="18" s="1"/>
  <c r="I35" i="18"/>
  <c r="H35" i="18"/>
  <c r="G35" i="18"/>
  <c r="F35" i="18"/>
  <c r="AF34" i="18"/>
  <c r="AE34" i="18"/>
  <c r="AD34" i="18"/>
  <c r="AG34" i="18" s="1"/>
  <c r="U34" i="18"/>
  <c r="T34" i="18"/>
  <c r="S34" i="18"/>
  <c r="R34" i="18"/>
  <c r="H34" i="18"/>
  <c r="G34" i="18"/>
  <c r="F34" i="18"/>
  <c r="I34" i="18" s="1"/>
  <c r="AG31" i="18"/>
  <c r="AF31" i="18"/>
  <c r="AE31" i="18"/>
  <c r="AD31" i="18"/>
  <c r="T31" i="18"/>
  <c r="S31" i="18"/>
  <c r="R31" i="18"/>
  <c r="U31" i="18" s="1"/>
  <c r="H31" i="18"/>
  <c r="G31" i="18"/>
  <c r="F31" i="18"/>
  <c r="I31" i="18" s="1"/>
  <c r="AF30" i="18"/>
  <c r="AE30" i="18"/>
  <c r="AD30" i="18"/>
  <c r="AG30" i="18" s="1"/>
  <c r="T30" i="18"/>
  <c r="S30" i="18"/>
  <c r="R30" i="18"/>
  <c r="U30" i="18" s="1"/>
  <c r="H30" i="18"/>
  <c r="G30" i="18"/>
  <c r="F30" i="18"/>
  <c r="I30" i="18" s="1"/>
  <c r="AF29" i="18"/>
  <c r="AE29" i="18"/>
  <c r="AD29" i="18"/>
  <c r="AG29" i="18" s="1"/>
  <c r="U29" i="18"/>
  <c r="T29" i="18"/>
  <c r="S29" i="18"/>
  <c r="R29" i="18"/>
  <c r="H29" i="18"/>
  <c r="G29" i="18"/>
  <c r="F29" i="18"/>
  <c r="I29" i="18" s="1"/>
  <c r="AF28" i="18"/>
  <c r="AE28" i="18"/>
  <c r="AD28" i="18"/>
  <c r="AG28" i="18" s="1"/>
  <c r="T28" i="18"/>
  <c r="S28" i="18"/>
  <c r="R28" i="18"/>
  <c r="U28" i="18" s="1"/>
  <c r="H28" i="18"/>
  <c r="G28" i="18"/>
  <c r="F28" i="18"/>
  <c r="I28" i="18" s="1"/>
  <c r="AF27" i="18"/>
  <c r="AE27" i="18"/>
  <c r="AD27" i="18"/>
  <c r="AG27" i="18" s="1"/>
  <c r="T27" i="18"/>
  <c r="S27" i="18"/>
  <c r="R27" i="18"/>
  <c r="U27" i="18" s="1"/>
  <c r="I27" i="18"/>
  <c r="H27" i="18"/>
  <c r="G27" i="18"/>
  <c r="F27" i="18"/>
  <c r="AF26" i="18"/>
  <c r="AE26" i="18"/>
  <c r="AD26" i="18"/>
  <c r="AG26" i="18" s="1"/>
  <c r="U26" i="18"/>
  <c r="T26" i="18"/>
  <c r="S26" i="18"/>
  <c r="R26" i="18"/>
  <c r="H26" i="18"/>
  <c r="G26" i="18"/>
  <c r="F26" i="18"/>
  <c r="I26" i="18" s="1"/>
  <c r="AG25" i="18"/>
  <c r="AF25" i="18"/>
  <c r="AE25" i="18"/>
  <c r="AD25" i="18"/>
  <c r="T25" i="18"/>
  <c r="S25" i="18"/>
  <c r="R25" i="18"/>
  <c r="U25" i="18" s="1"/>
  <c r="I25" i="18"/>
  <c r="H25" i="18"/>
  <c r="G25" i="18"/>
  <c r="F25" i="18"/>
  <c r="AF24" i="18"/>
  <c r="AE24" i="18"/>
  <c r="AD24" i="18"/>
  <c r="AG24" i="18" s="1"/>
  <c r="T24" i="18"/>
  <c r="S24" i="18"/>
  <c r="R24" i="18"/>
  <c r="U24" i="18" s="1"/>
  <c r="H24" i="18"/>
  <c r="G24" i="18"/>
  <c r="F24" i="18"/>
  <c r="I24" i="18" s="1"/>
  <c r="AG23" i="18"/>
  <c r="AF23" i="18"/>
  <c r="AE23" i="18"/>
  <c r="AD23" i="18"/>
  <c r="T23" i="18"/>
  <c r="S23" i="18"/>
  <c r="R23" i="18"/>
  <c r="U23" i="18" s="1"/>
  <c r="I23" i="18"/>
  <c r="H23" i="18"/>
  <c r="G23" i="18"/>
  <c r="F23" i="18"/>
  <c r="AF22" i="18"/>
  <c r="AE22" i="18"/>
  <c r="AD22" i="18"/>
  <c r="AG22" i="18" s="1"/>
  <c r="T22" i="18"/>
  <c r="S22" i="18"/>
  <c r="R22" i="18"/>
  <c r="U22" i="18" s="1"/>
  <c r="H22" i="18"/>
  <c r="G22" i="18"/>
  <c r="F22" i="18"/>
  <c r="I22" i="18" s="1"/>
  <c r="AF21" i="18"/>
  <c r="AE21" i="18"/>
  <c r="AD21" i="18"/>
  <c r="AG21" i="18" s="1"/>
  <c r="T21" i="18"/>
  <c r="S21" i="18"/>
  <c r="R21" i="18"/>
  <c r="U21" i="18" s="1"/>
  <c r="H21" i="18"/>
  <c r="G21" i="18"/>
  <c r="F21" i="18"/>
  <c r="I21" i="18" s="1"/>
  <c r="AF20" i="18"/>
  <c r="AE20" i="18"/>
  <c r="AD20" i="18"/>
  <c r="AG20" i="18" s="1"/>
  <c r="T20" i="18"/>
  <c r="S20" i="18"/>
  <c r="R20" i="18"/>
  <c r="U20" i="18" s="1"/>
  <c r="H20" i="18"/>
  <c r="G20" i="18"/>
  <c r="F20" i="18"/>
  <c r="I20" i="18" s="1"/>
  <c r="AF19" i="18"/>
  <c r="AE19" i="18"/>
  <c r="AD19" i="18"/>
  <c r="AG19" i="18" s="1"/>
  <c r="T19" i="18"/>
  <c r="S19" i="18"/>
  <c r="R19" i="18"/>
  <c r="U19" i="18" s="1"/>
  <c r="H19" i="18"/>
  <c r="G19" i="18"/>
  <c r="F19" i="18"/>
  <c r="I19" i="18" s="1"/>
  <c r="AF18" i="18"/>
  <c r="AE18" i="18"/>
  <c r="AD18" i="18"/>
  <c r="AG18" i="18" s="1"/>
  <c r="T18" i="18"/>
  <c r="S18" i="18"/>
  <c r="R18" i="18"/>
  <c r="U18" i="18" s="1"/>
  <c r="H18" i="18"/>
  <c r="G18" i="18"/>
  <c r="F18" i="18"/>
  <c r="I18" i="18" s="1"/>
  <c r="AG17" i="18"/>
  <c r="AF17" i="18"/>
  <c r="AE17" i="18"/>
  <c r="AD17" i="18"/>
  <c r="T17" i="18"/>
  <c r="S17" i="18"/>
  <c r="R17" i="18"/>
  <c r="U17" i="18" s="1"/>
  <c r="H17" i="18"/>
  <c r="G17" i="18"/>
  <c r="F17" i="18"/>
  <c r="I17" i="18" s="1"/>
  <c r="AF16" i="18"/>
  <c r="AE16" i="18"/>
  <c r="AD16" i="18"/>
  <c r="AG16" i="18" s="1"/>
  <c r="T16" i="18"/>
  <c r="S16" i="18"/>
  <c r="R16" i="18"/>
  <c r="U16" i="18" s="1"/>
  <c r="H16" i="18"/>
  <c r="G16" i="18"/>
  <c r="F16" i="18"/>
  <c r="I16" i="18" s="1"/>
  <c r="AF15" i="18"/>
  <c r="AE15" i="18"/>
  <c r="AD15" i="18"/>
  <c r="AG15" i="18" s="1"/>
  <c r="U15" i="18"/>
  <c r="T15" i="18"/>
  <c r="S15" i="18"/>
  <c r="R15" i="18"/>
  <c r="H15" i="18"/>
  <c r="G15" i="18"/>
  <c r="F15" i="18"/>
  <c r="I15" i="18" s="1"/>
  <c r="AF14" i="18"/>
  <c r="AE14" i="18"/>
  <c r="AD14" i="18"/>
  <c r="AG14" i="18" s="1"/>
  <c r="T14" i="18"/>
  <c r="S14" i="18"/>
  <c r="R14" i="18"/>
  <c r="U14" i="18" s="1"/>
  <c r="H14" i="18"/>
  <c r="G14" i="18"/>
  <c r="F14" i="18"/>
  <c r="I14" i="18" s="1"/>
  <c r="AF13" i="18"/>
  <c r="AE13" i="18"/>
  <c r="AD13" i="18"/>
  <c r="AG13" i="18" s="1"/>
  <c r="U13" i="18"/>
  <c r="T13" i="18"/>
  <c r="S13" i="18"/>
  <c r="R13" i="18"/>
  <c r="H13" i="18"/>
  <c r="G13" i="18"/>
  <c r="F13" i="18"/>
  <c r="I13" i="18" s="1"/>
  <c r="AF12" i="18"/>
  <c r="AE12" i="18"/>
  <c r="AD12" i="18"/>
  <c r="AG12" i="18" s="1"/>
  <c r="U12" i="18"/>
  <c r="T12" i="18"/>
  <c r="S12" i="18"/>
  <c r="R12" i="18"/>
  <c r="I12" i="18"/>
  <c r="J22" i="18" s="1"/>
  <c r="K22" i="18" s="1"/>
  <c r="K21" i="44" s="1"/>
  <c r="H12" i="18"/>
  <c r="G12" i="18"/>
  <c r="F12" i="18"/>
  <c r="AF11" i="18"/>
  <c r="AE11" i="18"/>
  <c r="AD11" i="18"/>
  <c r="AG11" i="18" s="1"/>
  <c r="T11" i="18"/>
  <c r="S11" i="18"/>
  <c r="R11" i="18"/>
  <c r="U11" i="18" s="1"/>
  <c r="H11" i="18"/>
  <c r="G11" i="18"/>
  <c r="F11" i="18"/>
  <c r="I11" i="18" s="1"/>
  <c r="AG10" i="18"/>
  <c r="AF10" i="18"/>
  <c r="AE10" i="18"/>
  <c r="AD10" i="18"/>
  <c r="T10" i="18"/>
  <c r="S10" i="18"/>
  <c r="R10" i="18"/>
  <c r="U10" i="18" s="1"/>
  <c r="I10" i="18"/>
  <c r="H10" i="18"/>
  <c r="G10" i="18"/>
  <c r="F10" i="18"/>
  <c r="AF9" i="18"/>
  <c r="AE9" i="18"/>
  <c r="AD9" i="18"/>
  <c r="AG9" i="18" s="1"/>
  <c r="T9" i="18"/>
  <c r="S9" i="18"/>
  <c r="R9" i="18"/>
  <c r="U9" i="18" s="1"/>
  <c r="H9" i="18"/>
  <c r="G9" i="18"/>
  <c r="F9" i="18"/>
  <c r="I9" i="18" s="1"/>
  <c r="AF8" i="18"/>
  <c r="AE8" i="18"/>
  <c r="AD8" i="18"/>
  <c r="AG8" i="18" s="1"/>
  <c r="T8" i="18"/>
  <c r="S8" i="18"/>
  <c r="R8" i="18"/>
  <c r="U8" i="18" s="1"/>
  <c r="H8" i="18"/>
  <c r="G8" i="18"/>
  <c r="F8" i="18"/>
  <c r="I8" i="18" s="1"/>
  <c r="AF7" i="18"/>
  <c r="AE7" i="18"/>
  <c r="AD7" i="18"/>
  <c r="AG7" i="18" s="1"/>
  <c r="AH27" i="18" s="1"/>
  <c r="T7" i="18"/>
  <c r="S7" i="18"/>
  <c r="R7" i="18"/>
  <c r="U7" i="18" s="1"/>
  <c r="V27" i="18" s="1"/>
  <c r="W27" i="18" s="1"/>
  <c r="O21" i="45" s="1"/>
  <c r="P21" i="45" s="1"/>
  <c r="H7" i="18"/>
  <c r="G7" i="18"/>
  <c r="F7" i="18"/>
  <c r="I7" i="18" s="1"/>
  <c r="AB3" i="18"/>
  <c r="AA3" i="18"/>
  <c r="Z3" i="18"/>
  <c r="P3" i="18"/>
  <c r="O3" i="18"/>
  <c r="N3" i="18"/>
  <c r="D3" i="18"/>
  <c r="C3" i="18"/>
  <c r="B3" i="18"/>
  <c r="M2" i="18"/>
  <c r="A2" i="18"/>
  <c r="AG41" i="17"/>
  <c r="AF41" i="17"/>
  <c r="AE41" i="17"/>
  <c r="AD41" i="17"/>
  <c r="T41" i="17"/>
  <c r="S41" i="17"/>
  <c r="R41" i="17"/>
  <c r="U41" i="17" s="1"/>
  <c r="I41" i="17"/>
  <c r="H41" i="17"/>
  <c r="G41" i="17"/>
  <c r="F41" i="17"/>
  <c r="AF40" i="17"/>
  <c r="AE40" i="17"/>
  <c r="AD40" i="17"/>
  <c r="AG40" i="17" s="1"/>
  <c r="U40" i="17"/>
  <c r="T40" i="17"/>
  <c r="S40" i="17"/>
  <c r="R40" i="17"/>
  <c r="H40" i="17"/>
  <c r="G40" i="17"/>
  <c r="F40" i="17"/>
  <c r="I40" i="17" s="1"/>
  <c r="AG39" i="17"/>
  <c r="AF39" i="17"/>
  <c r="AE39" i="17"/>
  <c r="AD39" i="17"/>
  <c r="T39" i="17"/>
  <c r="S39" i="17"/>
  <c r="R39" i="17"/>
  <c r="U39" i="17" s="1"/>
  <c r="I39" i="17"/>
  <c r="H39" i="17"/>
  <c r="G39" i="17"/>
  <c r="F39" i="17"/>
  <c r="AF38" i="17"/>
  <c r="AE38" i="17"/>
  <c r="AD38" i="17"/>
  <c r="AG38" i="17" s="1"/>
  <c r="U38" i="17"/>
  <c r="T38" i="17"/>
  <c r="S38" i="17"/>
  <c r="R38" i="17"/>
  <c r="H38" i="17"/>
  <c r="G38" i="17"/>
  <c r="F38" i="17"/>
  <c r="I38" i="17" s="1"/>
  <c r="AG37" i="17"/>
  <c r="AF37" i="17"/>
  <c r="AE37" i="17"/>
  <c r="AD37" i="17"/>
  <c r="T37" i="17"/>
  <c r="S37" i="17"/>
  <c r="R37" i="17"/>
  <c r="U37" i="17" s="1"/>
  <c r="H37" i="17"/>
  <c r="G37" i="17"/>
  <c r="F37" i="17"/>
  <c r="I37" i="17" s="1"/>
  <c r="AG36" i="17"/>
  <c r="AF36" i="17"/>
  <c r="AE36" i="17"/>
  <c r="AD36" i="17"/>
  <c r="T36" i="17"/>
  <c r="S36" i="17"/>
  <c r="R36" i="17"/>
  <c r="U36" i="17" s="1"/>
  <c r="H36" i="17"/>
  <c r="G36" i="17"/>
  <c r="F36" i="17"/>
  <c r="I36" i="17" s="1"/>
  <c r="AF35" i="17"/>
  <c r="AE35" i="17"/>
  <c r="AD35" i="17"/>
  <c r="AG35" i="17" s="1"/>
  <c r="U35" i="17"/>
  <c r="T35" i="17"/>
  <c r="S35" i="17"/>
  <c r="R35" i="17"/>
  <c r="H35" i="17"/>
  <c r="G35" i="17"/>
  <c r="F35" i="17"/>
  <c r="I35" i="17" s="1"/>
  <c r="AG34" i="17"/>
  <c r="AF34" i="17"/>
  <c r="AE34" i="17"/>
  <c r="AD34" i="17"/>
  <c r="T34" i="17"/>
  <c r="S34" i="17"/>
  <c r="R34" i="17"/>
  <c r="U34" i="17" s="1"/>
  <c r="I34" i="17"/>
  <c r="H34" i="17"/>
  <c r="G34" i="17"/>
  <c r="F34" i="17"/>
  <c r="AG31" i="17"/>
  <c r="AF31" i="17"/>
  <c r="AE31" i="17"/>
  <c r="AD31" i="17"/>
  <c r="T31" i="17"/>
  <c r="S31" i="17"/>
  <c r="R31" i="17"/>
  <c r="U31" i="17" s="1"/>
  <c r="I31" i="17"/>
  <c r="H31" i="17"/>
  <c r="G31" i="17"/>
  <c r="F31" i="17"/>
  <c r="AF30" i="17"/>
  <c r="AE30" i="17"/>
  <c r="AD30" i="17"/>
  <c r="AG30" i="17" s="1"/>
  <c r="U30" i="17"/>
  <c r="T30" i="17"/>
  <c r="S30" i="17"/>
  <c r="R30" i="17"/>
  <c r="H30" i="17"/>
  <c r="G30" i="17"/>
  <c r="F30" i="17"/>
  <c r="I30" i="17" s="1"/>
  <c r="AG29" i="17"/>
  <c r="AF29" i="17"/>
  <c r="AE29" i="17"/>
  <c r="AD29" i="17"/>
  <c r="T29" i="17"/>
  <c r="S29" i="17"/>
  <c r="R29" i="17"/>
  <c r="U29" i="17" s="1"/>
  <c r="I29" i="17"/>
  <c r="H29" i="17"/>
  <c r="G29" i="17"/>
  <c r="F29" i="17"/>
  <c r="AF28" i="17"/>
  <c r="AE28" i="17"/>
  <c r="AD28" i="17"/>
  <c r="AG28" i="17" s="1"/>
  <c r="T28" i="17"/>
  <c r="S28" i="17"/>
  <c r="R28" i="17"/>
  <c r="U28" i="17" s="1"/>
  <c r="H28" i="17"/>
  <c r="G28" i="17"/>
  <c r="F28" i="17"/>
  <c r="I28" i="17" s="1"/>
  <c r="AF27" i="17"/>
  <c r="AE27" i="17"/>
  <c r="AD27" i="17"/>
  <c r="AG27" i="17" s="1"/>
  <c r="T27" i="17"/>
  <c r="S27" i="17"/>
  <c r="R27" i="17"/>
  <c r="U27" i="17" s="1"/>
  <c r="H27" i="17"/>
  <c r="G27" i="17"/>
  <c r="F27" i="17"/>
  <c r="I27" i="17" s="1"/>
  <c r="AF26" i="17"/>
  <c r="AE26" i="17"/>
  <c r="AD26" i="17"/>
  <c r="AG26" i="17" s="1"/>
  <c r="T26" i="17"/>
  <c r="S26" i="17"/>
  <c r="R26" i="17"/>
  <c r="U26" i="17" s="1"/>
  <c r="H26" i="17"/>
  <c r="G26" i="17"/>
  <c r="F26" i="17"/>
  <c r="I26" i="17" s="1"/>
  <c r="AF25" i="17"/>
  <c r="AE25" i="17"/>
  <c r="AD25" i="17"/>
  <c r="AG25" i="17" s="1"/>
  <c r="T25" i="17"/>
  <c r="S25" i="17"/>
  <c r="R25" i="17"/>
  <c r="U25" i="17" s="1"/>
  <c r="H25" i="17"/>
  <c r="G25" i="17"/>
  <c r="F25" i="17"/>
  <c r="I25" i="17" s="1"/>
  <c r="AF24" i="17"/>
  <c r="AE24" i="17"/>
  <c r="AD24" i="17"/>
  <c r="AG24" i="17" s="1"/>
  <c r="T24" i="17"/>
  <c r="S24" i="17"/>
  <c r="R24" i="17"/>
  <c r="U24" i="17" s="1"/>
  <c r="H24" i="17"/>
  <c r="G24" i="17"/>
  <c r="F24" i="17"/>
  <c r="I24" i="17" s="1"/>
  <c r="AG23" i="17"/>
  <c r="AF23" i="17"/>
  <c r="AE23" i="17"/>
  <c r="AD23" i="17"/>
  <c r="T23" i="17"/>
  <c r="S23" i="17"/>
  <c r="R23" i="17"/>
  <c r="U23" i="17" s="1"/>
  <c r="I23" i="17"/>
  <c r="H23" i="17"/>
  <c r="G23" i="17"/>
  <c r="F23" i="17"/>
  <c r="AF22" i="17"/>
  <c r="AE22" i="17"/>
  <c r="AD22" i="17"/>
  <c r="AG22" i="17" s="1"/>
  <c r="T22" i="17"/>
  <c r="S22" i="17"/>
  <c r="R22" i="17"/>
  <c r="U22" i="17" s="1"/>
  <c r="I22" i="17"/>
  <c r="H22" i="17"/>
  <c r="G22" i="17"/>
  <c r="F22" i="17"/>
  <c r="AF21" i="17"/>
  <c r="AE21" i="17"/>
  <c r="AD21" i="17"/>
  <c r="AG21" i="17" s="1"/>
  <c r="U21" i="17"/>
  <c r="T21" i="17"/>
  <c r="S21" i="17"/>
  <c r="R21" i="17"/>
  <c r="H21" i="17"/>
  <c r="G21" i="17"/>
  <c r="F21" i="17"/>
  <c r="I21" i="17" s="1"/>
  <c r="AF20" i="17"/>
  <c r="AE20" i="17"/>
  <c r="AD20" i="17"/>
  <c r="AG20" i="17" s="1"/>
  <c r="T20" i="17"/>
  <c r="S20" i="17"/>
  <c r="R20" i="17"/>
  <c r="U20" i="17" s="1"/>
  <c r="H20" i="17"/>
  <c r="G20" i="17"/>
  <c r="F20" i="17"/>
  <c r="I20" i="17" s="1"/>
  <c r="AF19" i="17"/>
  <c r="AE19" i="17"/>
  <c r="AD19" i="17"/>
  <c r="AG19" i="17" s="1"/>
  <c r="T19" i="17"/>
  <c r="S19" i="17"/>
  <c r="R19" i="17"/>
  <c r="U19" i="17" s="1"/>
  <c r="H19" i="17"/>
  <c r="G19" i="17"/>
  <c r="F19" i="17"/>
  <c r="I19" i="17" s="1"/>
  <c r="AG18" i="17"/>
  <c r="AF18" i="17"/>
  <c r="AE18" i="17"/>
  <c r="AD18" i="17"/>
  <c r="T18" i="17"/>
  <c r="S18" i="17"/>
  <c r="R18" i="17"/>
  <c r="U18" i="17" s="1"/>
  <c r="I18" i="17"/>
  <c r="H18" i="17"/>
  <c r="G18" i="17"/>
  <c r="F18" i="17"/>
  <c r="AF17" i="17"/>
  <c r="AE17" i="17"/>
  <c r="AD17" i="17"/>
  <c r="AG17" i="17" s="1"/>
  <c r="T17" i="17"/>
  <c r="S17" i="17"/>
  <c r="R17" i="17"/>
  <c r="U17" i="17" s="1"/>
  <c r="H17" i="17"/>
  <c r="G17" i="17"/>
  <c r="F17" i="17"/>
  <c r="I17" i="17" s="1"/>
  <c r="AG16" i="17"/>
  <c r="AF16" i="17"/>
  <c r="AE16" i="17"/>
  <c r="AD16" i="17"/>
  <c r="T16" i="17"/>
  <c r="S16" i="17"/>
  <c r="R16" i="17"/>
  <c r="U16" i="17" s="1"/>
  <c r="H16" i="17"/>
  <c r="G16" i="17"/>
  <c r="F16" i="17"/>
  <c r="I16" i="17" s="1"/>
  <c r="AF15" i="17"/>
  <c r="AE15" i="17"/>
  <c r="AD15" i="17"/>
  <c r="AG15" i="17" s="1"/>
  <c r="T15" i="17"/>
  <c r="S15" i="17"/>
  <c r="R15" i="17"/>
  <c r="U15" i="17" s="1"/>
  <c r="H15" i="17"/>
  <c r="G15" i="17"/>
  <c r="F15" i="17"/>
  <c r="I15" i="17" s="1"/>
  <c r="AF14" i="17"/>
  <c r="AE14" i="17"/>
  <c r="AD14" i="17"/>
  <c r="AG14" i="17" s="1"/>
  <c r="T14" i="17"/>
  <c r="S14" i="17"/>
  <c r="R14" i="17"/>
  <c r="U14" i="17" s="1"/>
  <c r="H14" i="17"/>
  <c r="G14" i="17"/>
  <c r="F14" i="17"/>
  <c r="I14" i="17" s="1"/>
  <c r="AF13" i="17"/>
  <c r="AE13" i="17"/>
  <c r="AD13" i="17"/>
  <c r="AG13" i="17" s="1"/>
  <c r="T13" i="17"/>
  <c r="S13" i="17"/>
  <c r="R13" i="17"/>
  <c r="U13" i="17" s="1"/>
  <c r="H13" i="17"/>
  <c r="G13" i="17"/>
  <c r="F13" i="17"/>
  <c r="I13" i="17" s="1"/>
  <c r="AF12" i="17"/>
  <c r="AE12" i="17"/>
  <c r="AD12" i="17"/>
  <c r="AG12" i="17" s="1"/>
  <c r="U12" i="17"/>
  <c r="V22" i="17" s="1"/>
  <c r="W22" i="17" s="1"/>
  <c r="K20" i="45" s="1"/>
  <c r="L20" i="45" s="1"/>
  <c r="T12" i="17"/>
  <c r="S12" i="17"/>
  <c r="R12" i="17"/>
  <c r="H12" i="17"/>
  <c r="G12" i="17"/>
  <c r="F12" i="17"/>
  <c r="I12" i="17" s="1"/>
  <c r="AF11" i="17"/>
  <c r="AE11" i="17"/>
  <c r="AD11" i="17"/>
  <c r="AG11" i="17" s="1"/>
  <c r="T11" i="17"/>
  <c r="S11" i="17"/>
  <c r="R11" i="17"/>
  <c r="U11" i="17" s="1"/>
  <c r="I11" i="17"/>
  <c r="H11" i="17"/>
  <c r="G11" i="17"/>
  <c r="F11" i="17"/>
  <c r="AF10" i="17"/>
  <c r="AE10" i="17"/>
  <c r="AD10" i="17"/>
  <c r="AG10" i="17" s="1"/>
  <c r="U10" i="17"/>
  <c r="T10" i="17"/>
  <c r="S10" i="17"/>
  <c r="R10" i="17"/>
  <c r="H10" i="17"/>
  <c r="G10" i="17"/>
  <c r="F10" i="17"/>
  <c r="I10" i="17" s="1"/>
  <c r="AG9" i="17"/>
  <c r="AF9" i="17"/>
  <c r="AE9" i="17"/>
  <c r="AD9" i="17"/>
  <c r="T9" i="17"/>
  <c r="S9" i="17"/>
  <c r="R9" i="17"/>
  <c r="U9" i="17" s="1"/>
  <c r="H9" i="17"/>
  <c r="G9" i="17"/>
  <c r="F9" i="17"/>
  <c r="I9" i="17" s="1"/>
  <c r="AF8" i="17"/>
  <c r="AE8" i="17"/>
  <c r="AD8" i="17"/>
  <c r="AG8" i="17" s="1"/>
  <c r="U8" i="17"/>
  <c r="T8" i="17"/>
  <c r="S8" i="17"/>
  <c r="R8" i="17"/>
  <c r="H8" i="17"/>
  <c r="G8" i="17"/>
  <c r="F8" i="17"/>
  <c r="I8" i="17" s="1"/>
  <c r="AF7" i="17"/>
  <c r="AE7" i="17"/>
  <c r="AD7" i="17"/>
  <c r="AG7" i="17" s="1"/>
  <c r="U7" i="17"/>
  <c r="V27" i="17" s="1"/>
  <c r="W27" i="17" s="1"/>
  <c r="O20" i="45" s="1"/>
  <c r="P20" i="45" s="1"/>
  <c r="T7" i="17"/>
  <c r="S7" i="17"/>
  <c r="R7" i="17"/>
  <c r="H7" i="17"/>
  <c r="G7" i="17"/>
  <c r="F7" i="17"/>
  <c r="I7" i="17" s="1"/>
  <c r="AB3" i="17"/>
  <c r="AA3" i="17"/>
  <c r="Z3" i="17"/>
  <c r="P3" i="17"/>
  <c r="O3" i="17"/>
  <c r="N3" i="17"/>
  <c r="D3" i="17"/>
  <c r="C3" i="17"/>
  <c r="B3" i="17"/>
  <c r="M2" i="17"/>
  <c r="A2" i="17"/>
  <c r="AF41" i="16"/>
  <c r="AE41" i="16"/>
  <c r="AD41" i="16"/>
  <c r="AG41" i="16" s="1"/>
  <c r="U41" i="16"/>
  <c r="T41" i="16"/>
  <c r="S41" i="16"/>
  <c r="R41" i="16"/>
  <c r="H41" i="16"/>
  <c r="G41" i="16"/>
  <c r="F41" i="16"/>
  <c r="I41" i="16" s="1"/>
  <c r="AG40" i="16"/>
  <c r="AF40" i="16"/>
  <c r="AE40" i="16"/>
  <c r="AD40" i="16"/>
  <c r="T40" i="16"/>
  <c r="S40" i="16"/>
  <c r="R40" i="16"/>
  <c r="U40" i="16" s="1"/>
  <c r="I40" i="16"/>
  <c r="H40" i="16"/>
  <c r="G40" i="16"/>
  <c r="F40" i="16"/>
  <c r="AF39" i="16"/>
  <c r="AE39" i="16"/>
  <c r="AD39" i="16"/>
  <c r="AG39" i="16" s="1"/>
  <c r="U39" i="16"/>
  <c r="T39" i="16"/>
  <c r="S39" i="16"/>
  <c r="R39" i="16"/>
  <c r="H39" i="16"/>
  <c r="G39" i="16"/>
  <c r="F39" i="16"/>
  <c r="I39" i="16" s="1"/>
  <c r="AG38" i="16"/>
  <c r="AF38" i="16"/>
  <c r="AE38" i="16"/>
  <c r="AD38" i="16"/>
  <c r="T38" i="16"/>
  <c r="S38" i="16"/>
  <c r="R38" i="16"/>
  <c r="U38" i="16" s="1"/>
  <c r="I38" i="16"/>
  <c r="H38" i="16"/>
  <c r="G38" i="16"/>
  <c r="F38" i="16"/>
  <c r="AF37" i="16"/>
  <c r="AE37" i="16"/>
  <c r="AD37" i="16"/>
  <c r="AG37" i="16" s="1"/>
  <c r="T37" i="16"/>
  <c r="S37" i="16"/>
  <c r="R37" i="16"/>
  <c r="U37" i="16" s="1"/>
  <c r="I37" i="16"/>
  <c r="H37" i="16"/>
  <c r="G37" i="16"/>
  <c r="F37" i="16"/>
  <c r="AF36" i="16"/>
  <c r="AE36" i="16"/>
  <c r="AD36" i="16"/>
  <c r="AG36" i="16" s="1"/>
  <c r="U36" i="16"/>
  <c r="T36" i="16"/>
  <c r="S36" i="16"/>
  <c r="R36" i="16"/>
  <c r="H36" i="16"/>
  <c r="G36" i="16"/>
  <c r="F36" i="16"/>
  <c r="I36" i="16" s="1"/>
  <c r="AG35" i="16"/>
  <c r="AF35" i="16"/>
  <c r="AE35" i="16"/>
  <c r="AD35" i="16"/>
  <c r="U35" i="16"/>
  <c r="T35" i="16"/>
  <c r="S35" i="16"/>
  <c r="R35" i="16"/>
  <c r="H35" i="16"/>
  <c r="G35" i="16"/>
  <c r="F35" i="16"/>
  <c r="I35" i="16" s="1"/>
  <c r="AG34" i="16"/>
  <c r="AF34" i="16"/>
  <c r="AE34" i="16"/>
  <c r="AD34" i="16"/>
  <c r="T34" i="16"/>
  <c r="S34" i="16"/>
  <c r="R34" i="16"/>
  <c r="U34" i="16" s="1"/>
  <c r="I34" i="16"/>
  <c r="H34" i="16"/>
  <c r="G34" i="16"/>
  <c r="F34" i="16"/>
  <c r="AF31" i="16"/>
  <c r="AE31" i="16"/>
  <c r="AD31" i="16"/>
  <c r="AG31" i="16" s="1"/>
  <c r="U31" i="16"/>
  <c r="T31" i="16"/>
  <c r="S31" i="16"/>
  <c r="R31" i="16"/>
  <c r="I31" i="16"/>
  <c r="H31" i="16"/>
  <c r="G31" i="16"/>
  <c r="F31" i="16"/>
  <c r="AF30" i="16"/>
  <c r="AE30" i="16"/>
  <c r="AD30" i="16"/>
  <c r="AG30" i="16" s="1"/>
  <c r="U30" i="16"/>
  <c r="T30" i="16"/>
  <c r="S30" i="16"/>
  <c r="R30" i="16"/>
  <c r="H30" i="16"/>
  <c r="G30" i="16"/>
  <c r="F30" i="16"/>
  <c r="I30" i="16" s="1"/>
  <c r="AG29" i="16"/>
  <c r="AF29" i="16"/>
  <c r="AE29" i="16"/>
  <c r="AD29" i="16"/>
  <c r="T29" i="16"/>
  <c r="S29" i="16"/>
  <c r="R29" i="16"/>
  <c r="U29" i="16" s="1"/>
  <c r="I29" i="16"/>
  <c r="H29" i="16"/>
  <c r="G29" i="16"/>
  <c r="F29" i="16"/>
  <c r="AF28" i="16"/>
  <c r="AE28" i="16"/>
  <c r="AD28" i="16"/>
  <c r="AG28" i="16" s="1"/>
  <c r="T28" i="16"/>
  <c r="S28" i="16"/>
  <c r="R28" i="16"/>
  <c r="U28" i="16" s="1"/>
  <c r="H28" i="16"/>
  <c r="G28" i="16"/>
  <c r="F28" i="16"/>
  <c r="I28" i="16" s="1"/>
  <c r="AF27" i="16"/>
  <c r="AE27" i="16"/>
  <c r="AD27" i="16"/>
  <c r="AG27" i="16" s="1"/>
  <c r="T27" i="16"/>
  <c r="S27" i="16"/>
  <c r="R27" i="16"/>
  <c r="U27" i="16" s="1"/>
  <c r="H27" i="16"/>
  <c r="G27" i="16"/>
  <c r="F27" i="16"/>
  <c r="I27" i="16" s="1"/>
  <c r="J17" i="16" s="1"/>
  <c r="K17" i="16" s="1"/>
  <c r="I19" i="44" s="1"/>
  <c r="AG26" i="16"/>
  <c r="AF26" i="16"/>
  <c r="AE26" i="16"/>
  <c r="AD26" i="16"/>
  <c r="T26" i="16"/>
  <c r="S26" i="16"/>
  <c r="R26" i="16"/>
  <c r="U26" i="16" s="1"/>
  <c r="I26" i="16"/>
  <c r="H26" i="16"/>
  <c r="G26" i="16"/>
  <c r="F26" i="16"/>
  <c r="AF25" i="16"/>
  <c r="AE25" i="16"/>
  <c r="AD25" i="16"/>
  <c r="AG25" i="16" s="1"/>
  <c r="T25" i="16"/>
  <c r="S25" i="16"/>
  <c r="R25" i="16"/>
  <c r="U25" i="16" s="1"/>
  <c r="H25" i="16"/>
  <c r="G25" i="16"/>
  <c r="F25" i="16"/>
  <c r="I25" i="16" s="1"/>
  <c r="AG24" i="16"/>
  <c r="AF24" i="16"/>
  <c r="AE24" i="16"/>
  <c r="AD24" i="16"/>
  <c r="T24" i="16"/>
  <c r="S24" i="16"/>
  <c r="R24" i="16"/>
  <c r="U24" i="16" s="1"/>
  <c r="I24" i="16"/>
  <c r="H24" i="16"/>
  <c r="G24" i="16"/>
  <c r="F24" i="16"/>
  <c r="AF23" i="16"/>
  <c r="AE23" i="16"/>
  <c r="AD23" i="16"/>
  <c r="AG23" i="16" s="1"/>
  <c r="U23" i="16"/>
  <c r="T23" i="16"/>
  <c r="S23" i="16"/>
  <c r="R23" i="16"/>
  <c r="H23" i="16"/>
  <c r="G23" i="16"/>
  <c r="F23" i="16"/>
  <c r="I23" i="16" s="1"/>
  <c r="AF22" i="16"/>
  <c r="AE22" i="16"/>
  <c r="AD22" i="16"/>
  <c r="AG22" i="16" s="1"/>
  <c r="U22" i="16"/>
  <c r="T22" i="16"/>
  <c r="S22" i="16"/>
  <c r="R22" i="16"/>
  <c r="H22" i="16"/>
  <c r="G22" i="16"/>
  <c r="F22" i="16"/>
  <c r="I22" i="16" s="1"/>
  <c r="AF21" i="16"/>
  <c r="AE21" i="16"/>
  <c r="AD21" i="16"/>
  <c r="AG21" i="16" s="1"/>
  <c r="T21" i="16"/>
  <c r="S21" i="16"/>
  <c r="R21" i="16"/>
  <c r="U21" i="16" s="1"/>
  <c r="H21" i="16"/>
  <c r="G21" i="16"/>
  <c r="F21" i="16"/>
  <c r="I21" i="16" s="1"/>
  <c r="AF20" i="16"/>
  <c r="AE20" i="16"/>
  <c r="AD20" i="16"/>
  <c r="AG20" i="16" s="1"/>
  <c r="T20" i="16"/>
  <c r="S20" i="16"/>
  <c r="R20" i="16"/>
  <c r="U20" i="16" s="1"/>
  <c r="H20" i="16"/>
  <c r="G20" i="16"/>
  <c r="F20" i="16"/>
  <c r="I20" i="16" s="1"/>
  <c r="AF19" i="16"/>
  <c r="AE19" i="16"/>
  <c r="AD19" i="16"/>
  <c r="AG19" i="16" s="1"/>
  <c r="T19" i="16"/>
  <c r="S19" i="16"/>
  <c r="R19" i="16"/>
  <c r="U19" i="16" s="1"/>
  <c r="H19" i="16"/>
  <c r="G19" i="16"/>
  <c r="F19" i="16"/>
  <c r="I19" i="16" s="1"/>
  <c r="AF18" i="16"/>
  <c r="AE18" i="16"/>
  <c r="AD18" i="16"/>
  <c r="AG18" i="16" s="1"/>
  <c r="T18" i="16"/>
  <c r="S18" i="16"/>
  <c r="R18" i="16"/>
  <c r="U18" i="16" s="1"/>
  <c r="I18" i="16"/>
  <c r="H18" i="16"/>
  <c r="G18" i="16"/>
  <c r="F18" i="16"/>
  <c r="AF17" i="16"/>
  <c r="AE17" i="16"/>
  <c r="AD17" i="16"/>
  <c r="AG17" i="16" s="1"/>
  <c r="T17" i="16"/>
  <c r="S17" i="16"/>
  <c r="R17" i="16"/>
  <c r="U17" i="16" s="1"/>
  <c r="I17" i="16"/>
  <c r="H17" i="16"/>
  <c r="G17" i="16"/>
  <c r="F17" i="16"/>
  <c r="AF16" i="16"/>
  <c r="AE16" i="16"/>
  <c r="AD16" i="16"/>
  <c r="AG16" i="16" s="1"/>
  <c r="U16" i="16"/>
  <c r="T16" i="16"/>
  <c r="S16" i="16"/>
  <c r="R16" i="16"/>
  <c r="H16" i="16"/>
  <c r="G16" i="16"/>
  <c r="F16" i="16"/>
  <c r="I16" i="16" s="1"/>
  <c r="AG15" i="16"/>
  <c r="AF15" i="16"/>
  <c r="AE15" i="16"/>
  <c r="AD15" i="16"/>
  <c r="T15" i="16"/>
  <c r="S15" i="16"/>
  <c r="R15" i="16"/>
  <c r="U15" i="16" s="1"/>
  <c r="I15" i="16"/>
  <c r="H15" i="16"/>
  <c r="G15" i="16"/>
  <c r="F15" i="16"/>
  <c r="AF14" i="16"/>
  <c r="AE14" i="16"/>
  <c r="AD14" i="16"/>
  <c r="AG14" i="16" s="1"/>
  <c r="U14" i="16"/>
  <c r="T14" i="16"/>
  <c r="S14" i="16"/>
  <c r="R14" i="16"/>
  <c r="H14" i="16"/>
  <c r="G14" i="16"/>
  <c r="F14" i="16"/>
  <c r="I14" i="16" s="1"/>
  <c r="AG13" i="16"/>
  <c r="AF13" i="16"/>
  <c r="AE13" i="16"/>
  <c r="AD13" i="16"/>
  <c r="T13" i="16"/>
  <c r="S13" i="16"/>
  <c r="R13" i="16"/>
  <c r="U13" i="16" s="1"/>
  <c r="I13" i="16"/>
  <c r="H13" i="16"/>
  <c r="G13" i="16"/>
  <c r="F13" i="16"/>
  <c r="AF12" i="16"/>
  <c r="AE12" i="16"/>
  <c r="AD12" i="16"/>
  <c r="AG12" i="16" s="1"/>
  <c r="T12" i="16"/>
  <c r="S12" i="16"/>
  <c r="R12" i="16"/>
  <c r="U12" i="16" s="1"/>
  <c r="H12" i="16"/>
  <c r="G12" i="16"/>
  <c r="F12" i="16"/>
  <c r="I12" i="16" s="1"/>
  <c r="AF11" i="16"/>
  <c r="AE11" i="16"/>
  <c r="AD11" i="16"/>
  <c r="AG11" i="16" s="1"/>
  <c r="T11" i="16"/>
  <c r="S11" i="16"/>
  <c r="R11" i="16"/>
  <c r="U11" i="16" s="1"/>
  <c r="I11" i="16"/>
  <c r="H11" i="16"/>
  <c r="G11" i="16"/>
  <c r="F11" i="16"/>
  <c r="AF10" i="16"/>
  <c r="AE10" i="16"/>
  <c r="AD10" i="16"/>
  <c r="AG10" i="16" s="1"/>
  <c r="U10" i="16"/>
  <c r="T10" i="16"/>
  <c r="S10" i="16"/>
  <c r="R10" i="16"/>
  <c r="H10" i="16"/>
  <c r="G10" i="16"/>
  <c r="F10" i="16"/>
  <c r="I10" i="16" s="1"/>
  <c r="AG9" i="16"/>
  <c r="AF9" i="16"/>
  <c r="AE9" i="16"/>
  <c r="AD9" i="16"/>
  <c r="T9" i="16"/>
  <c r="S9" i="16"/>
  <c r="R9" i="16"/>
  <c r="U9" i="16" s="1"/>
  <c r="H9" i="16"/>
  <c r="G9" i="16"/>
  <c r="F9" i="16"/>
  <c r="I9" i="16" s="1"/>
  <c r="AF8" i="16"/>
  <c r="AE8" i="16"/>
  <c r="AD8" i="16"/>
  <c r="AG8" i="16" s="1"/>
  <c r="T8" i="16"/>
  <c r="S8" i="16"/>
  <c r="R8" i="16"/>
  <c r="U8" i="16" s="1"/>
  <c r="V17" i="16" s="1"/>
  <c r="W17" i="16" s="1"/>
  <c r="I19" i="45" s="1"/>
  <c r="J19" i="45" s="1"/>
  <c r="H8" i="16"/>
  <c r="G8" i="16"/>
  <c r="F8" i="16"/>
  <c r="I8" i="16" s="1"/>
  <c r="AG7" i="16"/>
  <c r="AF7" i="16"/>
  <c r="AE7" i="16"/>
  <c r="AD7" i="16"/>
  <c r="V7" i="16"/>
  <c r="W7" i="16" s="1"/>
  <c r="T7" i="16"/>
  <c r="S7" i="16"/>
  <c r="R7" i="16"/>
  <c r="U7" i="16" s="1"/>
  <c r="V27" i="16" s="1"/>
  <c r="W27" i="16" s="1"/>
  <c r="O19" i="45" s="1"/>
  <c r="P19" i="45" s="1"/>
  <c r="H7" i="16"/>
  <c r="G7" i="16"/>
  <c r="F7" i="16"/>
  <c r="I7" i="16" s="1"/>
  <c r="AB3" i="16"/>
  <c r="AA3" i="16"/>
  <c r="Z3" i="16"/>
  <c r="P3" i="16"/>
  <c r="O3" i="16"/>
  <c r="N3" i="16"/>
  <c r="D3" i="16"/>
  <c r="C3" i="16"/>
  <c r="B3" i="16"/>
  <c r="M2" i="16"/>
  <c r="A2" i="16"/>
  <c r="AF41" i="15"/>
  <c r="AE41" i="15"/>
  <c r="AD41" i="15"/>
  <c r="AG41" i="15" s="1"/>
  <c r="U41" i="15"/>
  <c r="T41" i="15"/>
  <c r="S41" i="15"/>
  <c r="R41" i="15"/>
  <c r="H41" i="15"/>
  <c r="G41" i="15"/>
  <c r="F41" i="15"/>
  <c r="I41" i="15" s="1"/>
  <c r="AG40" i="15"/>
  <c r="AF40" i="15"/>
  <c r="AE40" i="15"/>
  <c r="AD40" i="15"/>
  <c r="T40" i="15"/>
  <c r="S40" i="15"/>
  <c r="R40" i="15"/>
  <c r="U40" i="15" s="1"/>
  <c r="I40" i="15"/>
  <c r="H40" i="15"/>
  <c r="G40" i="15"/>
  <c r="F40" i="15"/>
  <c r="AF39" i="15"/>
  <c r="AE39" i="15"/>
  <c r="AD39" i="15"/>
  <c r="AG39" i="15" s="1"/>
  <c r="U39" i="15"/>
  <c r="T39" i="15"/>
  <c r="S39" i="15"/>
  <c r="R39" i="15"/>
  <c r="H39" i="15"/>
  <c r="G39" i="15"/>
  <c r="F39" i="15"/>
  <c r="I39" i="15" s="1"/>
  <c r="AG38" i="15"/>
  <c r="AF38" i="15"/>
  <c r="AE38" i="15"/>
  <c r="AD38" i="15"/>
  <c r="T38" i="15"/>
  <c r="S38" i="15"/>
  <c r="R38" i="15"/>
  <c r="U38" i="15" s="1"/>
  <c r="I38" i="15"/>
  <c r="H38" i="15"/>
  <c r="G38" i="15"/>
  <c r="F38" i="15"/>
  <c r="AF37" i="15"/>
  <c r="AE37" i="15"/>
  <c r="AD37" i="15"/>
  <c r="AG37" i="15" s="1"/>
  <c r="U37" i="15"/>
  <c r="T37" i="15"/>
  <c r="S37" i="15"/>
  <c r="R37" i="15"/>
  <c r="I37" i="15"/>
  <c r="H37" i="15"/>
  <c r="G37" i="15"/>
  <c r="F37" i="15"/>
  <c r="AF36" i="15"/>
  <c r="AE36" i="15"/>
  <c r="AD36" i="15"/>
  <c r="AG36" i="15" s="1"/>
  <c r="T36" i="15"/>
  <c r="S36" i="15"/>
  <c r="R36" i="15"/>
  <c r="U36" i="15" s="1"/>
  <c r="H36" i="15"/>
  <c r="G36" i="15"/>
  <c r="F36" i="15"/>
  <c r="I36" i="15" s="1"/>
  <c r="AG35" i="15"/>
  <c r="AF35" i="15"/>
  <c r="AE35" i="15"/>
  <c r="AD35" i="15"/>
  <c r="T35" i="15"/>
  <c r="S35" i="15"/>
  <c r="R35" i="15"/>
  <c r="U35" i="15" s="1"/>
  <c r="I35" i="15"/>
  <c r="H35" i="15"/>
  <c r="G35" i="15"/>
  <c r="F35" i="15"/>
  <c r="AF34" i="15"/>
  <c r="AE34" i="15"/>
  <c r="AD34" i="15"/>
  <c r="AG34" i="15" s="1"/>
  <c r="AH35" i="15" s="1"/>
  <c r="AI37" i="15" s="1"/>
  <c r="U34" i="15"/>
  <c r="T34" i="15"/>
  <c r="S34" i="15"/>
  <c r="R34" i="15"/>
  <c r="H34" i="15"/>
  <c r="G34" i="15"/>
  <c r="F34" i="15"/>
  <c r="I34" i="15" s="1"/>
  <c r="AF31" i="15"/>
  <c r="AE31" i="15"/>
  <c r="AD31" i="15"/>
  <c r="AG31" i="15" s="1"/>
  <c r="T31" i="15"/>
  <c r="S31" i="15"/>
  <c r="R31" i="15"/>
  <c r="U31" i="15" s="1"/>
  <c r="H31" i="15"/>
  <c r="G31" i="15"/>
  <c r="F31" i="15"/>
  <c r="I31" i="15" s="1"/>
  <c r="AG30" i="15"/>
  <c r="AF30" i="15"/>
  <c r="AE30" i="15"/>
  <c r="AD30" i="15"/>
  <c r="T30" i="15"/>
  <c r="S30" i="15"/>
  <c r="R30" i="15"/>
  <c r="U30" i="15" s="1"/>
  <c r="H30" i="15"/>
  <c r="G30" i="15"/>
  <c r="F30" i="15"/>
  <c r="I30" i="15" s="1"/>
  <c r="AF29" i="15"/>
  <c r="AE29" i="15"/>
  <c r="AD29" i="15"/>
  <c r="AG29" i="15" s="1"/>
  <c r="T29" i="15"/>
  <c r="S29" i="15"/>
  <c r="R29" i="15"/>
  <c r="U29" i="15" s="1"/>
  <c r="H29" i="15"/>
  <c r="G29" i="15"/>
  <c r="F29" i="15"/>
  <c r="I29" i="15" s="1"/>
  <c r="AG28" i="15"/>
  <c r="AF28" i="15"/>
  <c r="AE28" i="15"/>
  <c r="AD28" i="15"/>
  <c r="T28" i="15"/>
  <c r="S28" i="15"/>
  <c r="R28" i="15"/>
  <c r="U28" i="15" s="1"/>
  <c r="I28" i="15"/>
  <c r="H28" i="15"/>
  <c r="G28" i="15"/>
  <c r="F28" i="15"/>
  <c r="AF27" i="15"/>
  <c r="AE27" i="15"/>
  <c r="AD27" i="15"/>
  <c r="AG27" i="15" s="1"/>
  <c r="T27" i="15"/>
  <c r="S27" i="15"/>
  <c r="R27" i="15"/>
  <c r="U27" i="15" s="1"/>
  <c r="H27" i="15"/>
  <c r="G27" i="15"/>
  <c r="F27" i="15"/>
  <c r="I27" i="15" s="1"/>
  <c r="AG26" i="15"/>
  <c r="AF26" i="15"/>
  <c r="AE26" i="15"/>
  <c r="AD26" i="15"/>
  <c r="T26" i="15"/>
  <c r="S26" i="15"/>
  <c r="R26" i="15"/>
  <c r="U26" i="15" s="1"/>
  <c r="I26" i="15"/>
  <c r="H26" i="15"/>
  <c r="G26" i="15"/>
  <c r="F26" i="15"/>
  <c r="AF25" i="15"/>
  <c r="AE25" i="15"/>
  <c r="AD25" i="15"/>
  <c r="AG25" i="15" s="1"/>
  <c r="T25" i="15"/>
  <c r="S25" i="15"/>
  <c r="R25" i="15"/>
  <c r="U25" i="15" s="1"/>
  <c r="H25" i="15"/>
  <c r="G25" i="15"/>
  <c r="F25" i="15"/>
  <c r="I25" i="15" s="1"/>
  <c r="AF24" i="15"/>
  <c r="AE24" i="15"/>
  <c r="AD24" i="15"/>
  <c r="AG24" i="15" s="1"/>
  <c r="T24" i="15"/>
  <c r="S24" i="15"/>
  <c r="R24" i="15"/>
  <c r="U24" i="15" s="1"/>
  <c r="H24" i="15"/>
  <c r="G24" i="15"/>
  <c r="F24" i="15"/>
  <c r="I24" i="15" s="1"/>
  <c r="AF23" i="15"/>
  <c r="AE23" i="15"/>
  <c r="AD23" i="15"/>
  <c r="AG23" i="15" s="1"/>
  <c r="T23" i="15"/>
  <c r="S23" i="15"/>
  <c r="R23" i="15"/>
  <c r="U23" i="15" s="1"/>
  <c r="H23" i="15"/>
  <c r="G23" i="15"/>
  <c r="F23" i="15"/>
  <c r="I23" i="15" s="1"/>
  <c r="AG22" i="15"/>
  <c r="AF22" i="15"/>
  <c r="AE22" i="15"/>
  <c r="AD22" i="15"/>
  <c r="T22" i="15"/>
  <c r="S22" i="15"/>
  <c r="R22" i="15"/>
  <c r="U22" i="15" s="1"/>
  <c r="H22" i="15"/>
  <c r="G22" i="15"/>
  <c r="F22" i="15"/>
  <c r="I22" i="15" s="1"/>
  <c r="AG21" i="15"/>
  <c r="AF21" i="15"/>
  <c r="AE21" i="15"/>
  <c r="AD21" i="15"/>
  <c r="T21" i="15"/>
  <c r="S21" i="15"/>
  <c r="R21" i="15"/>
  <c r="U21" i="15" s="1"/>
  <c r="H21" i="15"/>
  <c r="G21" i="15"/>
  <c r="F21" i="15"/>
  <c r="I21" i="15" s="1"/>
  <c r="AF20" i="15"/>
  <c r="AE20" i="15"/>
  <c r="AD20" i="15"/>
  <c r="AG20" i="15" s="1"/>
  <c r="T20" i="15"/>
  <c r="S20" i="15"/>
  <c r="R20" i="15"/>
  <c r="U20" i="15" s="1"/>
  <c r="H20" i="15"/>
  <c r="G20" i="15"/>
  <c r="F20" i="15"/>
  <c r="I20" i="15" s="1"/>
  <c r="AF19" i="15"/>
  <c r="AE19" i="15"/>
  <c r="AD19" i="15"/>
  <c r="AG19" i="15" s="1"/>
  <c r="T19" i="15"/>
  <c r="S19" i="15"/>
  <c r="R19" i="15"/>
  <c r="U19" i="15" s="1"/>
  <c r="H19" i="15"/>
  <c r="G19" i="15"/>
  <c r="F19" i="15"/>
  <c r="I19" i="15" s="1"/>
  <c r="AF18" i="15"/>
  <c r="AE18" i="15"/>
  <c r="AD18" i="15"/>
  <c r="AG18" i="15" s="1"/>
  <c r="T18" i="15"/>
  <c r="S18" i="15"/>
  <c r="R18" i="15"/>
  <c r="U18" i="15" s="1"/>
  <c r="H18" i="15"/>
  <c r="G18" i="15"/>
  <c r="F18" i="15"/>
  <c r="I18" i="15" s="1"/>
  <c r="AF17" i="15"/>
  <c r="AE17" i="15"/>
  <c r="AD17" i="15"/>
  <c r="AG17" i="15" s="1"/>
  <c r="U17" i="15"/>
  <c r="T17" i="15"/>
  <c r="S17" i="15"/>
  <c r="R17" i="15"/>
  <c r="H17" i="15"/>
  <c r="G17" i="15"/>
  <c r="F17" i="15"/>
  <c r="I17" i="15" s="1"/>
  <c r="AF16" i="15"/>
  <c r="AE16" i="15"/>
  <c r="AD16" i="15"/>
  <c r="AG16" i="15" s="1"/>
  <c r="T16" i="15"/>
  <c r="S16" i="15"/>
  <c r="R16" i="15"/>
  <c r="U16" i="15" s="1"/>
  <c r="H16" i="15"/>
  <c r="G16" i="15"/>
  <c r="F16" i="15"/>
  <c r="I16" i="15" s="1"/>
  <c r="AF15" i="15"/>
  <c r="AE15" i="15"/>
  <c r="AD15" i="15"/>
  <c r="AG15" i="15" s="1"/>
  <c r="U15" i="15"/>
  <c r="T15" i="15"/>
  <c r="S15" i="15"/>
  <c r="R15" i="15"/>
  <c r="H15" i="15"/>
  <c r="G15" i="15"/>
  <c r="F15" i="15"/>
  <c r="I15" i="15" s="1"/>
  <c r="AF14" i="15"/>
  <c r="AE14" i="15"/>
  <c r="AD14" i="15"/>
  <c r="AG14" i="15" s="1"/>
  <c r="T14" i="15"/>
  <c r="S14" i="15"/>
  <c r="R14" i="15"/>
  <c r="U14" i="15" s="1"/>
  <c r="I14" i="15"/>
  <c r="H14" i="15"/>
  <c r="G14" i="15"/>
  <c r="F14" i="15"/>
  <c r="AF13" i="15"/>
  <c r="AE13" i="15"/>
  <c r="AD13" i="15"/>
  <c r="AG13" i="15" s="1"/>
  <c r="U13" i="15"/>
  <c r="T13" i="15"/>
  <c r="S13" i="15"/>
  <c r="R13" i="15"/>
  <c r="H13" i="15"/>
  <c r="G13" i="15"/>
  <c r="F13" i="15"/>
  <c r="I13" i="15" s="1"/>
  <c r="AG12" i="15"/>
  <c r="AF12" i="15"/>
  <c r="AE12" i="15"/>
  <c r="AD12" i="15"/>
  <c r="U12" i="15"/>
  <c r="T12" i="15"/>
  <c r="S12" i="15"/>
  <c r="R12" i="15"/>
  <c r="H12" i="15"/>
  <c r="G12" i="15"/>
  <c r="F12" i="15"/>
  <c r="I12" i="15" s="1"/>
  <c r="AF11" i="15"/>
  <c r="AE11" i="15"/>
  <c r="AD11" i="15"/>
  <c r="AG11" i="15" s="1"/>
  <c r="T11" i="15"/>
  <c r="S11" i="15"/>
  <c r="R11" i="15"/>
  <c r="U11" i="15" s="1"/>
  <c r="H11" i="15"/>
  <c r="G11" i="15"/>
  <c r="F11" i="15"/>
  <c r="I11" i="15" s="1"/>
  <c r="AG10" i="15"/>
  <c r="AF10" i="15"/>
  <c r="AE10" i="15"/>
  <c r="AD10" i="15"/>
  <c r="T10" i="15"/>
  <c r="S10" i="15"/>
  <c r="R10" i="15"/>
  <c r="U10" i="15" s="1"/>
  <c r="I10" i="15"/>
  <c r="H10" i="15"/>
  <c r="G10" i="15"/>
  <c r="F10" i="15"/>
  <c r="AG9" i="15"/>
  <c r="AF9" i="15"/>
  <c r="AE9" i="15"/>
  <c r="AD9" i="15"/>
  <c r="T9" i="15"/>
  <c r="S9" i="15"/>
  <c r="R9" i="15"/>
  <c r="U9" i="15" s="1"/>
  <c r="H9" i="15"/>
  <c r="G9" i="15"/>
  <c r="F9" i="15"/>
  <c r="I9" i="15" s="1"/>
  <c r="AG8" i="15"/>
  <c r="AF8" i="15"/>
  <c r="AE8" i="15"/>
  <c r="AD8" i="15"/>
  <c r="U8" i="15"/>
  <c r="T8" i="15"/>
  <c r="S8" i="15"/>
  <c r="R8" i="15"/>
  <c r="H8" i="15"/>
  <c r="G8" i="15"/>
  <c r="F8" i="15"/>
  <c r="I8" i="15" s="1"/>
  <c r="AF7" i="15"/>
  <c r="AE7" i="15"/>
  <c r="AD7" i="15"/>
  <c r="AG7" i="15" s="1"/>
  <c r="T7" i="15"/>
  <c r="S7" i="15"/>
  <c r="R7" i="15"/>
  <c r="U7" i="15" s="1"/>
  <c r="V27" i="15" s="1"/>
  <c r="W27" i="15" s="1"/>
  <c r="O18" i="45" s="1"/>
  <c r="P18" i="45" s="1"/>
  <c r="H7" i="15"/>
  <c r="G7" i="15"/>
  <c r="F7" i="15"/>
  <c r="I7" i="15" s="1"/>
  <c r="AB3" i="15"/>
  <c r="AA3" i="15"/>
  <c r="Z3" i="15"/>
  <c r="P3" i="15"/>
  <c r="O3" i="15"/>
  <c r="N3" i="15"/>
  <c r="D3" i="15"/>
  <c r="C3" i="15"/>
  <c r="B3" i="15"/>
  <c r="M2" i="15"/>
  <c r="A2" i="15"/>
  <c r="AF41" i="14"/>
  <c r="AE41" i="14"/>
  <c r="AD41" i="14"/>
  <c r="AG41" i="14" s="1"/>
  <c r="U41" i="14"/>
  <c r="T41" i="14"/>
  <c r="S41" i="14"/>
  <c r="R41" i="14"/>
  <c r="H41" i="14"/>
  <c r="G41" i="14"/>
  <c r="F41" i="14"/>
  <c r="I41" i="14" s="1"/>
  <c r="AG40" i="14"/>
  <c r="AF40" i="14"/>
  <c r="AE40" i="14"/>
  <c r="AD40" i="14"/>
  <c r="T40" i="14"/>
  <c r="S40" i="14"/>
  <c r="R40" i="14"/>
  <c r="U40" i="14" s="1"/>
  <c r="I40" i="14"/>
  <c r="H40" i="14"/>
  <c r="G40" i="14"/>
  <c r="F40" i="14"/>
  <c r="AF39" i="14"/>
  <c r="AE39" i="14"/>
  <c r="AD39" i="14"/>
  <c r="AG39" i="14" s="1"/>
  <c r="U39" i="14"/>
  <c r="T39" i="14"/>
  <c r="S39" i="14"/>
  <c r="R39" i="14"/>
  <c r="H39" i="14"/>
  <c r="G39" i="14"/>
  <c r="F39" i="14"/>
  <c r="I39" i="14" s="1"/>
  <c r="AG38" i="14"/>
  <c r="AF38" i="14"/>
  <c r="AE38" i="14"/>
  <c r="AD38" i="14"/>
  <c r="T38" i="14"/>
  <c r="S38" i="14"/>
  <c r="R38" i="14"/>
  <c r="U38" i="14" s="1"/>
  <c r="I38" i="14"/>
  <c r="H38" i="14"/>
  <c r="G38" i="14"/>
  <c r="F38" i="14"/>
  <c r="AF37" i="14"/>
  <c r="AE37" i="14"/>
  <c r="AD37" i="14"/>
  <c r="AG37" i="14" s="1"/>
  <c r="T37" i="14"/>
  <c r="S37" i="14"/>
  <c r="R37" i="14"/>
  <c r="U37" i="14" s="1"/>
  <c r="H37" i="14"/>
  <c r="G37" i="14"/>
  <c r="F37" i="14"/>
  <c r="I37" i="14" s="1"/>
  <c r="AG36" i="14"/>
  <c r="AF36" i="14"/>
  <c r="AE36" i="14"/>
  <c r="AD36" i="14"/>
  <c r="T36" i="14"/>
  <c r="S36" i="14"/>
  <c r="R36" i="14"/>
  <c r="U36" i="14" s="1"/>
  <c r="I36" i="14"/>
  <c r="H36" i="14"/>
  <c r="G36" i="14"/>
  <c r="F36" i="14"/>
  <c r="AG35" i="14"/>
  <c r="AF35" i="14"/>
  <c r="AE35" i="14"/>
  <c r="AD35" i="14"/>
  <c r="T35" i="14"/>
  <c r="S35" i="14"/>
  <c r="R35" i="14"/>
  <c r="U35" i="14" s="1"/>
  <c r="I35" i="14"/>
  <c r="H35" i="14"/>
  <c r="G35" i="14"/>
  <c r="F35" i="14"/>
  <c r="AF34" i="14"/>
  <c r="AE34" i="14"/>
  <c r="AD34" i="14"/>
  <c r="AG34" i="14" s="1"/>
  <c r="AH35" i="14" s="1"/>
  <c r="AI37" i="14" s="1"/>
  <c r="U34" i="14"/>
  <c r="T34" i="14"/>
  <c r="S34" i="14"/>
  <c r="R34" i="14"/>
  <c r="H34" i="14"/>
  <c r="G34" i="14"/>
  <c r="F34" i="14"/>
  <c r="I34" i="14" s="1"/>
  <c r="J35" i="14" s="1"/>
  <c r="K37" i="14" s="1"/>
  <c r="Q17" i="44" s="1"/>
  <c r="AG31" i="14"/>
  <c r="AF31" i="14"/>
  <c r="AE31" i="14"/>
  <c r="AD31" i="14"/>
  <c r="T31" i="14"/>
  <c r="S31" i="14"/>
  <c r="R31" i="14"/>
  <c r="U31" i="14" s="1"/>
  <c r="H31" i="14"/>
  <c r="G31" i="14"/>
  <c r="F31" i="14"/>
  <c r="I31" i="14" s="1"/>
  <c r="AF30" i="14"/>
  <c r="AE30" i="14"/>
  <c r="AD30" i="14"/>
  <c r="AG30" i="14" s="1"/>
  <c r="T30" i="14"/>
  <c r="S30" i="14"/>
  <c r="R30" i="14"/>
  <c r="U30" i="14" s="1"/>
  <c r="H30" i="14"/>
  <c r="G30" i="14"/>
  <c r="F30" i="14"/>
  <c r="I30" i="14" s="1"/>
  <c r="AF29" i="14"/>
  <c r="AE29" i="14"/>
  <c r="AD29" i="14"/>
  <c r="AG29" i="14" s="1"/>
  <c r="T29" i="14"/>
  <c r="S29" i="14"/>
  <c r="R29" i="14"/>
  <c r="U29" i="14" s="1"/>
  <c r="H29" i="14"/>
  <c r="G29" i="14"/>
  <c r="F29" i="14"/>
  <c r="I29" i="14" s="1"/>
  <c r="AF28" i="14"/>
  <c r="AE28" i="14"/>
  <c r="AD28" i="14"/>
  <c r="AG28" i="14" s="1"/>
  <c r="T28" i="14"/>
  <c r="S28" i="14"/>
  <c r="R28" i="14"/>
  <c r="U28" i="14" s="1"/>
  <c r="H28" i="14"/>
  <c r="G28" i="14"/>
  <c r="F28" i="14"/>
  <c r="I28" i="14" s="1"/>
  <c r="AF27" i="14"/>
  <c r="AE27" i="14"/>
  <c r="AD27" i="14"/>
  <c r="AG27" i="14" s="1"/>
  <c r="T27" i="14"/>
  <c r="S27" i="14"/>
  <c r="R27" i="14"/>
  <c r="U27" i="14" s="1"/>
  <c r="I27" i="14"/>
  <c r="H27" i="14"/>
  <c r="G27" i="14"/>
  <c r="F27" i="14"/>
  <c r="AF26" i="14"/>
  <c r="AE26" i="14"/>
  <c r="AD26" i="14"/>
  <c r="AG26" i="14" s="1"/>
  <c r="U26" i="14"/>
  <c r="T26" i="14"/>
  <c r="S26" i="14"/>
  <c r="R26" i="14"/>
  <c r="H26" i="14"/>
  <c r="G26" i="14"/>
  <c r="F26" i="14"/>
  <c r="I26" i="14" s="1"/>
  <c r="AG25" i="14"/>
  <c r="AF25" i="14"/>
  <c r="AE25" i="14"/>
  <c r="AD25" i="14"/>
  <c r="T25" i="14"/>
  <c r="S25" i="14"/>
  <c r="R25" i="14"/>
  <c r="U25" i="14" s="1"/>
  <c r="I25" i="14"/>
  <c r="H25" i="14"/>
  <c r="G25" i="14"/>
  <c r="F25" i="14"/>
  <c r="AF24" i="14"/>
  <c r="AE24" i="14"/>
  <c r="AD24" i="14"/>
  <c r="AG24" i="14" s="1"/>
  <c r="T24" i="14"/>
  <c r="S24" i="14"/>
  <c r="R24" i="14"/>
  <c r="U24" i="14" s="1"/>
  <c r="H24" i="14"/>
  <c r="G24" i="14"/>
  <c r="F24" i="14"/>
  <c r="I24" i="14" s="1"/>
  <c r="AG23" i="14"/>
  <c r="AF23" i="14"/>
  <c r="AE23" i="14"/>
  <c r="AD23" i="14"/>
  <c r="T23" i="14"/>
  <c r="S23" i="14"/>
  <c r="R23" i="14"/>
  <c r="U23" i="14" s="1"/>
  <c r="I23" i="14"/>
  <c r="H23" i="14"/>
  <c r="G23" i="14"/>
  <c r="F23" i="14"/>
  <c r="AF22" i="14"/>
  <c r="AE22" i="14"/>
  <c r="AD22" i="14"/>
  <c r="AG22" i="14" s="1"/>
  <c r="T22" i="14"/>
  <c r="S22" i="14"/>
  <c r="R22" i="14"/>
  <c r="U22" i="14" s="1"/>
  <c r="H22" i="14"/>
  <c r="G22" i="14"/>
  <c r="F22" i="14"/>
  <c r="I22" i="14" s="1"/>
  <c r="AG21" i="14"/>
  <c r="AF21" i="14"/>
  <c r="AE21" i="14"/>
  <c r="AD21" i="14"/>
  <c r="T21" i="14"/>
  <c r="S21" i="14"/>
  <c r="R21" i="14"/>
  <c r="U21" i="14" s="1"/>
  <c r="H21" i="14"/>
  <c r="G21" i="14"/>
  <c r="F21" i="14"/>
  <c r="I21" i="14" s="1"/>
  <c r="AF20" i="14"/>
  <c r="AE20" i="14"/>
  <c r="AD20" i="14"/>
  <c r="AG20" i="14" s="1"/>
  <c r="U20" i="14"/>
  <c r="T20" i="14"/>
  <c r="S20" i="14"/>
  <c r="R20" i="14"/>
  <c r="H20" i="14"/>
  <c r="G20" i="14"/>
  <c r="F20" i="14"/>
  <c r="I20" i="14" s="1"/>
  <c r="AG19" i="14"/>
  <c r="AF19" i="14"/>
  <c r="AE19" i="14"/>
  <c r="AD19" i="14"/>
  <c r="T19" i="14"/>
  <c r="S19" i="14"/>
  <c r="R19" i="14"/>
  <c r="U19" i="14" s="1"/>
  <c r="H19" i="14"/>
  <c r="G19" i="14"/>
  <c r="F19" i="14"/>
  <c r="I19" i="14" s="1"/>
  <c r="AF18" i="14"/>
  <c r="AE18" i="14"/>
  <c r="AD18" i="14"/>
  <c r="AG18" i="14" s="1"/>
  <c r="T18" i="14"/>
  <c r="S18" i="14"/>
  <c r="R18" i="14"/>
  <c r="U18" i="14" s="1"/>
  <c r="H18" i="14"/>
  <c r="G18" i="14"/>
  <c r="F18" i="14"/>
  <c r="I18" i="14" s="1"/>
  <c r="AG17" i="14"/>
  <c r="AF17" i="14"/>
  <c r="AE17" i="14"/>
  <c r="AD17" i="14"/>
  <c r="U17" i="14"/>
  <c r="T17" i="14"/>
  <c r="S17" i="14"/>
  <c r="R17" i="14"/>
  <c r="H17" i="14"/>
  <c r="G17" i="14"/>
  <c r="F17" i="14"/>
  <c r="I17" i="14" s="1"/>
  <c r="AG16" i="14"/>
  <c r="AF16" i="14"/>
  <c r="AE16" i="14"/>
  <c r="AD16" i="14"/>
  <c r="T16" i="14"/>
  <c r="S16" i="14"/>
  <c r="R16" i="14"/>
  <c r="U16" i="14" s="1"/>
  <c r="I16" i="14"/>
  <c r="H16" i="14"/>
  <c r="G16" i="14"/>
  <c r="F16" i="14"/>
  <c r="AF15" i="14"/>
  <c r="AE15" i="14"/>
  <c r="AD15" i="14"/>
  <c r="AG15" i="14" s="1"/>
  <c r="U15" i="14"/>
  <c r="T15" i="14"/>
  <c r="S15" i="14"/>
  <c r="R15" i="14"/>
  <c r="H15" i="14"/>
  <c r="G15" i="14"/>
  <c r="F15" i="14"/>
  <c r="I15" i="14" s="1"/>
  <c r="AF14" i="14"/>
  <c r="AE14" i="14"/>
  <c r="AD14" i="14"/>
  <c r="AG14" i="14" s="1"/>
  <c r="T14" i="14"/>
  <c r="S14" i="14"/>
  <c r="R14" i="14"/>
  <c r="U14" i="14" s="1"/>
  <c r="I14" i="14"/>
  <c r="H14" i="14"/>
  <c r="G14" i="14"/>
  <c r="F14" i="14"/>
  <c r="AF13" i="14"/>
  <c r="AE13" i="14"/>
  <c r="AD13" i="14"/>
  <c r="AG13" i="14" s="1"/>
  <c r="U13" i="14"/>
  <c r="T13" i="14"/>
  <c r="S13" i="14"/>
  <c r="R13" i="14"/>
  <c r="H13" i="14"/>
  <c r="G13" i="14"/>
  <c r="F13" i="14"/>
  <c r="I13" i="14" s="1"/>
  <c r="AF12" i="14"/>
  <c r="AE12" i="14"/>
  <c r="AD12" i="14"/>
  <c r="AG12" i="14" s="1"/>
  <c r="U12" i="14"/>
  <c r="T12" i="14"/>
  <c r="S12" i="14"/>
  <c r="R12" i="14"/>
  <c r="H12" i="14"/>
  <c r="G12" i="14"/>
  <c r="F12" i="14"/>
  <c r="I12" i="14" s="1"/>
  <c r="AF11" i="14"/>
  <c r="AE11" i="14"/>
  <c r="AD11" i="14"/>
  <c r="AG11" i="14" s="1"/>
  <c r="T11" i="14"/>
  <c r="S11" i="14"/>
  <c r="R11" i="14"/>
  <c r="U11" i="14" s="1"/>
  <c r="H11" i="14"/>
  <c r="G11" i="14"/>
  <c r="F11" i="14"/>
  <c r="I11" i="14" s="1"/>
  <c r="AF10" i="14"/>
  <c r="AE10" i="14"/>
  <c r="AD10" i="14"/>
  <c r="AG10" i="14" s="1"/>
  <c r="T10" i="14"/>
  <c r="S10" i="14"/>
  <c r="R10" i="14"/>
  <c r="U10" i="14" s="1"/>
  <c r="V27" i="14" s="1"/>
  <c r="W27" i="14" s="1"/>
  <c r="O17" i="45" s="1"/>
  <c r="P17" i="45" s="1"/>
  <c r="H10" i="14"/>
  <c r="G10" i="14"/>
  <c r="F10" i="14"/>
  <c r="I10" i="14" s="1"/>
  <c r="J27" i="14" s="1"/>
  <c r="K27" i="14" s="1"/>
  <c r="O17" i="44" s="1"/>
  <c r="AF9" i="14"/>
  <c r="AE9" i="14"/>
  <c r="AD9" i="14"/>
  <c r="AG9" i="14" s="1"/>
  <c r="U9" i="14"/>
  <c r="V7" i="14" s="1"/>
  <c r="W7" i="14" s="1"/>
  <c r="T9" i="14"/>
  <c r="S9" i="14"/>
  <c r="R9" i="14"/>
  <c r="H9" i="14"/>
  <c r="G9" i="14"/>
  <c r="F9" i="14"/>
  <c r="I9" i="14" s="1"/>
  <c r="AF8" i="14"/>
  <c r="AE8" i="14"/>
  <c r="AD8" i="14"/>
  <c r="AG8" i="14" s="1"/>
  <c r="T8" i="14"/>
  <c r="S8" i="14"/>
  <c r="R8" i="14"/>
  <c r="U8" i="14" s="1"/>
  <c r="I8" i="14"/>
  <c r="H8" i="14"/>
  <c r="G8" i="14"/>
  <c r="F8" i="14"/>
  <c r="AF7" i="14"/>
  <c r="AE7" i="14"/>
  <c r="AD7" i="14"/>
  <c r="AG7" i="14" s="1"/>
  <c r="T7" i="14"/>
  <c r="S7" i="14"/>
  <c r="R7" i="14"/>
  <c r="U7" i="14" s="1"/>
  <c r="I7" i="14"/>
  <c r="H7" i="14"/>
  <c r="G7" i="14"/>
  <c r="F7" i="14"/>
  <c r="AB3" i="14"/>
  <c r="AA3" i="14"/>
  <c r="Z3" i="14"/>
  <c r="P3" i="14"/>
  <c r="O3" i="14"/>
  <c r="N3" i="14"/>
  <c r="D3" i="14"/>
  <c r="C3" i="14"/>
  <c r="B3" i="14"/>
  <c r="M2" i="14"/>
  <c r="A2" i="14"/>
  <c r="AG41" i="13"/>
  <c r="AF41" i="13"/>
  <c r="AE41" i="13"/>
  <c r="AD41" i="13"/>
  <c r="T41" i="13"/>
  <c r="S41" i="13"/>
  <c r="R41" i="13"/>
  <c r="U41" i="13" s="1"/>
  <c r="I41" i="13"/>
  <c r="H41" i="13"/>
  <c r="G41" i="13"/>
  <c r="F41" i="13"/>
  <c r="AF40" i="13"/>
  <c r="AE40" i="13"/>
  <c r="AD40" i="13"/>
  <c r="AG40" i="13" s="1"/>
  <c r="U40" i="13"/>
  <c r="T40" i="13"/>
  <c r="S40" i="13"/>
  <c r="R40" i="13"/>
  <c r="H40" i="13"/>
  <c r="G40" i="13"/>
  <c r="F40" i="13"/>
  <c r="I40" i="13" s="1"/>
  <c r="AG39" i="13"/>
  <c r="AF39" i="13"/>
  <c r="AE39" i="13"/>
  <c r="AD39" i="13"/>
  <c r="T39" i="13"/>
  <c r="S39" i="13"/>
  <c r="R39" i="13"/>
  <c r="U39" i="13" s="1"/>
  <c r="I39" i="13"/>
  <c r="H39" i="13"/>
  <c r="G39" i="13"/>
  <c r="F39" i="13"/>
  <c r="AF38" i="13"/>
  <c r="AE38" i="13"/>
  <c r="AD38" i="13"/>
  <c r="AG38" i="13" s="1"/>
  <c r="U38" i="13"/>
  <c r="T38" i="13"/>
  <c r="S38" i="13"/>
  <c r="R38" i="13"/>
  <c r="H38" i="13"/>
  <c r="G38" i="13"/>
  <c r="F38" i="13"/>
  <c r="I38" i="13" s="1"/>
  <c r="AG37" i="13"/>
  <c r="AF37" i="13"/>
  <c r="AE37" i="13"/>
  <c r="AD37" i="13"/>
  <c r="T37" i="13"/>
  <c r="S37" i="13"/>
  <c r="R37" i="13"/>
  <c r="U37" i="13" s="1"/>
  <c r="H37" i="13"/>
  <c r="G37" i="13"/>
  <c r="F37" i="13"/>
  <c r="I37" i="13" s="1"/>
  <c r="AF36" i="13"/>
  <c r="AE36" i="13"/>
  <c r="AD36" i="13"/>
  <c r="AG36" i="13" s="1"/>
  <c r="T36" i="13"/>
  <c r="S36" i="13"/>
  <c r="R36" i="13"/>
  <c r="U36" i="13" s="1"/>
  <c r="I36" i="13"/>
  <c r="H36" i="13"/>
  <c r="G36" i="13"/>
  <c r="F36" i="13"/>
  <c r="AF35" i="13"/>
  <c r="AE35" i="13"/>
  <c r="AD35" i="13"/>
  <c r="AG35" i="13" s="1"/>
  <c r="U35" i="13"/>
  <c r="T35" i="13"/>
  <c r="S35" i="13"/>
  <c r="R35" i="13"/>
  <c r="H35" i="13"/>
  <c r="G35" i="13"/>
  <c r="F35" i="13"/>
  <c r="I35" i="13" s="1"/>
  <c r="AG34" i="13"/>
  <c r="AF34" i="13"/>
  <c r="AE34" i="13"/>
  <c r="AD34" i="13"/>
  <c r="T34" i="13"/>
  <c r="S34" i="13"/>
  <c r="R34" i="13"/>
  <c r="U34" i="13" s="1"/>
  <c r="V35" i="13" s="1"/>
  <c r="W37" i="13" s="1"/>
  <c r="Q16" i="45" s="1"/>
  <c r="R16" i="45" s="1"/>
  <c r="I34" i="13"/>
  <c r="J35" i="13" s="1"/>
  <c r="K37" i="13" s="1"/>
  <c r="Q16" i="44" s="1"/>
  <c r="H34" i="13"/>
  <c r="G34" i="13"/>
  <c r="F34" i="13"/>
  <c r="AF31" i="13"/>
  <c r="AE31" i="13"/>
  <c r="AD31" i="13"/>
  <c r="AG31" i="13" s="1"/>
  <c r="T31" i="13"/>
  <c r="S31" i="13"/>
  <c r="R31" i="13"/>
  <c r="U31" i="13" s="1"/>
  <c r="I31" i="13"/>
  <c r="H31" i="13"/>
  <c r="G31" i="13"/>
  <c r="F31" i="13"/>
  <c r="AF30" i="13"/>
  <c r="AE30" i="13"/>
  <c r="AD30" i="13"/>
  <c r="AG30" i="13" s="1"/>
  <c r="U30" i="13"/>
  <c r="T30" i="13"/>
  <c r="S30" i="13"/>
  <c r="R30" i="13"/>
  <c r="H30" i="13"/>
  <c r="G30" i="13"/>
  <c r="F30" i="13"/>
  <c r="I30" i="13" s="1"/>
  <c r="AG29" i="13"/>
  <c r="AF29" i="13"/>
  <c r="AE29" i="13"/>
  <c r="AD29" i="13"/>
  <c r="T29" i="13"/>
  <c r="S29" i="13"/>
  <c r="R29" i="13"/>
  <c r="U29" i="13" s="1"/>
  <c r="I29" i="13"/>
  <c r="H29" i="13"/>
  <c r="G29" i="13"/>
  <c r="F29" i="13"/>
  <c r="AF28" i="13"/>
  <c r="AE28" i="13"/>
  <c r="AD28" i="13"/>
  <c r="AG28" i="13" s="1"/>
  <c r="U28" i="13"/>
  <c r="T28" i="13"/>
  <c r="S28" i="13"/>
  <c r="R28" i="13"/>
  <c r="H28" i="13"/>
  <c r="G28" i="13"/>
  <c r="F28" i="13"/>
  <c r="I28" i="13" s="1"/>
  <c r="AF27" i="13"/>
  <c r="AE27" i="13"/>
  <c r="AD27" i="13"/>
  <c r="AG27" i="13" s="1"/>
  <c r="T27" i="13"/>
  <c r="S27" i="13"/>
  <c r="R27" i="13"/>
  <c r="U27" i="13" s="1"/>
  <c r="I27" i="13"/>
  <c r="H27" i="13"/>
  <c r="G27" i="13"/>
  <c r="F27" i="13"/>
  <c r="AF26" i="13"/>
  <c r="AE26" i="13"/>
  <c r="AD26" i="13"/>
  <c r="AG26" i="13" s="1"/>
  <c r="U26" i="13"/>
  <c r="T26" i="13"/>
  <c r="S26" i="13"/>
  <c r="R26" i="13"/>
  <c r="H26" i="13"/>
  <c r="G26" i="13"/>
  <c r="F26" i="13"/>
  <c r="I26" i="13" s="1"/>
  <c r="AF25" i="13"/>
  <c r="AE25" i="13"/>
  <c r="AD25" i="13"/>
  <c r="AG25" i="13" s="1"/>
  <c r="T25" i="13"/>
  <c r="S25" i="13"/>
  <c r="R25" i="13"/>
  <c r="U25" i="13" s="1"/>
  <c r="H25" i="13"/>
  <c r="G25" i="13"/>
  <c r="F25" i="13"/>
  <c r="I25" i="13" s="1"/>
  <c r="AF24" i="13"/>
  <c r="AE24" i="13"/>
  <c r="AD24" i="13"/>
  <c r="AG24" i="13" s="1"/>
  <c r="T24" i="13"/>
  <c r="S24" i="13"/>
  <c r="R24" i="13"/>
  <c r="U24" i="13" s="1"/>
  <c r="H24" i="13"/>
  <c r="G24" i="13"/>
  <c r="F24" i="13"/>
  <c r="I24" i="13" s="1"/>
  <c r="AF23" i="13"/>
  <c r="AE23" i="13"/>
  <c r="AD23" i="13"/>
  <c r="AG23" i="13" s="1"/>
  <c r="T23" i="13"/>
  <c r="S23" i="13"/>
  <c r="R23" i="13"/>
  <c r="U23" i="13" s="1"/>
  <c r="H23" i="13"/>
  <c r="G23" i="13"/>
  <c r="F23" i="13"/>
  <c r="I23" i="13" s="1"/>
  <c r="AF22" i="13"/>
  <c r="AE22" i="13"/>
  <c r="AD22" i="13"/>
  <c r="AG22" i="13" s="1"/>
  <c r="T22" i="13"/>
  <c r="S22" i="13"/>
  <c r="R22" i="13"/>
  <c r="U22" i="13" s="1"/>
  <c r="H22" i="13"/>
  <c r="G22" i="13"/>
  <c r="F22" i="13"/>
  <c r="I22" i="13" s="1"/>
  <c r="AF21" i="13"/>
  <c r="AE21" i="13"/>
  <c r="AD21" i="13"/>
  <c r="AG21" i="13" s="1"/>
  <c r="U21" i="13"/>
  <c r="T21" i="13"/>
  <c r="S21" i="13"/>
  <c r="R21" i="13"/>
  <c r="H21" i="13"/>
  <c r="G21" i="13"/>
  <c r="F21" i="13"/>
  <c r="I21" i="13" s="1"/>
  <c r="AG20" i="13"/>
  <c r="AF20" i="13"/>
  <c r="AE20" i="13"/>
  <c r="AD20" i="13"/>
  <c r="T20" i="13"/>
  <c r="S20" i="13"/>
  <c r="R20" i="13"/>
  <c r="U20" i="13" s="1"/>
  <c r="I20" i="13"/>
  <c r="H20" i="13"/>
  <c r="G20" i="13"/>
  <c r="F20" i="13"/>
  <c r="AF19" i="13"/>
  <c r="AE19" i="13"/>
  <c r="AD19" i="13"/>
  <c r="AG19" i="13" s="1"/>
  <c r="T19" i="13"/>
  <c r="S19" i="13"/>
  <c r="R19" i="13"/>
  <c r="U19" i="13" s="1"/>
  <c r="H19" i="13"/>
  <c r="G19" i="13"/>
  <c r="F19" i="13"/>
  <c r="I19" i="13" s="1"/>
  <c r="AF18" i="13"/>
  <c r="AE18" i="13"/>
  <c r="AD18" i="13"/>
  <c r="AG18" i="13" s="1"/>
  <c r="T18" i="13"/>
  <c r="S18" i="13"/>
  <c r="R18" i="13"/>
  <c r="U18" i="13" s="1"/>
  <c r="H18" i="13"/>
  <c r="G18" i="13"/>
  <c r="F18" i="13"/>
  <c r="I18" i="13" s="1"/>
  <c r="AG17" i="13"/>
  <c r="AF17" i="13"/>
  <c r="AE17" i="13"/>
  <c r="AD17" i="13"/>
  <c r="T17" i="13"/>
  <c r="S17" i="13"/>
  <c r="R17" i="13"/>
  <c r="U17" i="13" s="1"/>
  <c r="H17" i="13"/>
  <c r="G17" i="13"/>
  <c r="F17" i="13"/>
  <c r="I17" i="13" s="1"/>
  <c r="AF16" i="13"/>
  <c r="AE16" i="13"/>
  <c r="AD16" i="13"/>
  <c r="AG16" i="13" s="1"/>
  <c r="T16" i="13"/>
  <c r="S16" i="13"/>
  <c r="R16" i="13"/>
  <c r="U16" i="13" s="1"/>
  <c r="H16" i="13"/>
  <c r="G16" i="13"/>
  <c r="F16" i="13"/>
  <c r="I16" i="13" s="1"/>
  <c r="AF15" i="13"/>
  <c r="AE15" i="13"/>
  <c r="AD15" i="13"/>
  <c r="AG15" i="13" s="1"/>
  <c r="U15" i="13"/>
  <c r="T15" i="13"/>
  <c r="S15" i="13"/>
  <c r="R15" i="13"/>
  <c r="H15" i="13"/>
  <c r="G15" i="13"/>
  <c r="F15" i="13"/>
  <c r="I15" i="13" s="1"/>
  <c r="AF14" i="13"/>
  <c r="AE14" i="13"/>
  <c r="AD14" i="13"/>
  <c r="AG14" i="13" s="1"/>
  <c r="T14" i="13"/>
  <c r="S14" i="13"/>
  <c r="R14" i="13"/>
  <c r="U14" i="13" s="1"/>
  <c r="H14" i="13"/>
  <c r="G14" i="13"/>
  <c r="F14" i="13"/>
  <c r="I14" i="13" s="1"/>
  <c r="AF13" i="13"/>
  <c r="AE13" i="13"/>
  <c r="AD13" i="13"/>
  <c r="AG13" i="13" s="1"/>
  <c r="U13" i="13"/>
  <c r="T13" i="13"/>
  <c r="S13" i="13"/>
  <c r="R13" i="13"/>
  <c r="H13" i="13"/>
  <c r="G13" i="13"/>
  <c r="F13" i="13"/>
  <c r="I13" i="13" s="1"/>
  <c r="AF12" i="13"/>
  <c r="AE12" i="13"/>
  <c r="AD12" i="13"/>
  <c r="AG12" i="13" s="1"/>
  <c r="T12" i="13"/>
  <c r="S12" i="13"/>
  <c r="R12" i="13"/>
  <c r="U12" i="13" s="1"/>
  <c r="H12" i="13"/>
  <c r="G12" i="13"/>
  <c r="F12" i="13"/>
  <c r="I12" i="13" s="1"/>
  <c r="AG11" i="13"/>
  <c r="AF11" i="13"/>
  <c r="AE11" i="13"/>
  <c r="AD11" i="13"/>
  <c r="T11" i="13"/>
  <c r="S11" i="13"/>
  <c r="R11" i="13"/>
  <c r="U11" i="13" s="1"/>
  <c r="H11" i="13"/>
  <c r="G11" i="13"/>
  <c r="F11" i="13"/>
  <c r="I11" i="13" s="1"/>
  <c r="AF10" i="13"/>
  <c r="AE10" i="13"/>
  <c r="AD10" i="13"/>
  <c r="AG10" i="13" s="1"/>
  <c r="AH27" i="13" s="1"/>
  <c r="U10" i="13"/>
  <c r="T10" i="13"/>
  <c r="S10" i="13"/>
  <c r="R10" i="13"/>
  <c r="H10" i="13"/>
  <c r="G10" i="13"/>
  <c r="F10" i="13"/>
  <c r="I10" i="13" s="1"/>
  <c r="AG9" i="13"/>
  <c r="AF9" i="13"/>
  <c r="AE9" i="13"/>
  <c r="AD9" i="13"/>
  <c r="T9" i="13"/>
  <c r="S9" i="13"/>
  <c r="R9" i="13"/>
  <c r="U9" i="13" s="1"/>
  <c r="I9" i="13"/>
  <c r="H9" i="13"/>
  <c r="G9" i="13"/>
  <c r="F9" i="13"/>
  <c r="AF8" i="13"/>
  <c r="AE8" i="13"/>
  <c r="AD8" i="13"/>
  <c r="AG8" i="13" s="1"/>
  <c r="U8" i="13"/>
  <c r="T8" i="13"/>
  <c r="S8" i="13"/>
  <c r="R8" i="13"/>
  <c r="H8" i="13"/>
  <c r="G8" i="13"/>
  <c r="F8" i="13"/>
  <c r="I8" i="13" s="1"/>
  <c r="AF7" i="13"/>
  <c r="AE7" i="13"/>
  <c r="AD7" i="13"/>
  <c r="AG7" i="13" s="1"/>
  <c r="U7" i="13"/>
  <c r="V27" i="13" s="1"/>
  <c r="W27" i="13" s="1"/>
  <c r="O16" i="45" s="1"/>
  <c r="P16" i="45" s="1"/>
  <c r="T7" i="13"/>
  <c r="S7" i="13"/>
  <c r="R7" i="13"/>
  <c r="I7" i="13"/>
  <c r="H7" i="13"/>
  <c r="G7" i="13"/>
  <c r="F7" i="13"/>
  <c r="AB3" i="13"/>
  <c r="AA3" i="13"/>
  <c r="Z3" i="13"/>
  <c r="P3" i="13"/>
  <c r="O3" i="13"/>
  <c r="N3" i="13"/>
  <c r="D3" i="13"/>
  <c r="C3" i="13"/>
  <c r="B3" i="13"/>
  <c r="M2" i="13"/>
  <c r="A2" i="13"/>
  <c r="AF41" i="12"/>
  <c r="AE41" i="12"/>
  <c r="AD41" i="12"/>
  <c r="AG41" i="12" s="1"/>
  <c r="U41" i="12"/>
  <c r="T41" i="12"/>
  <c r="S41" i="12"/>
  <c r="R41" i="12"/>
  <c r="H41" i="12"/>
  <c r="G41" i="12"/>
  <c r="F41" i="12"/>
  <c r="I41" i="12" s="1"/>
  <c r="AG40" i="12"/>
  <c r="AF40" i="12"/>
  <c r="AE40" i="12"/>
  <c r="AD40" i="12"/>
  <c r="T40" i="12"/>
  <c r="S40" i="12"/>
  <c r="R40" i="12"/>
  <c r="U40" i="12" s="1"/>
  <c r="I40" i="12"/>
  <c r="H40" i="12"/>
  <c r="G40" i="12"/>
  <c r="F40" i="12"/>
  <c r="AF39" i="12"/>
  <c r="AE39" i="12"/>
  <c r="AD39" i="12"/>
  <c r="AG39" i="12" s="1"/>
  <c r="U39" i="12"/>
  <c r="T39" i="12"/>
  <c r="S39" i="12"/>
  <c r="R39" i="12"/>
  <c r="H39" i="12"/>
  <c r="G39" i="12"/>
  <c r="F39" i="12"/>
  <c r="I39" i="12" s="1"/>
  <c r="AG38" i="12"/>
  <c r="AF38" i="12"/>
  <c r="AE38" i="12"/>
  <c r="AD38" i="12"/>
  <c r="T38" i="12"/>
  <c r="S38" i="12"/>
  <c r="R38" i="12"/>
  <c r="U38" i="12" s="1"/>
  <c r="I38" i="12"/>
  <c r="H38" i="12"/>
  <c r="G38" i="12"/>
  <c r="F38" i="12"/>
  <c r="AG37" i="12"/>
  <c r="AF37" i="12"/>
  <c r="AE37" i="12"/>
  <c r="AD37" i="12"/>
  <c r="T37" i="12"/>
  <c r="S37" i="12"/>
  <c r="R37" i="12"/>
  <c r="U37" i="12" s="1"/>
  <c r="I37" i="12"/>
  <c r="H37" i="12"/>
  <c r="G37" i="12"/>
  <c r="F37" i="12"/>
  <c r="AF36" i="12"/>
  <c r="AE36" i="12"/>
  <c r="AD36" i="12"/>
  <c r="AG36" i="12" s="1"/>
  <c r="U36" i="12"/>
  <c r="T36" i="12"/>
  <c r="S36" i="12"/>
  <c r="R36" i="12"/>
  <c r="H36" i="12"/>
  <c r="G36" i="12"/>
  <c r="F36" i="12"/>
  <c r="I36" i="12" s="1"/>
  <c r="AG35" i="12"/>
  <c r="AH35" i="12" s="1"/>
  <c r="AI37" i="12" s="1"/>
  <c r="AF35" i="12"/>
  <c r="AE35" i="12"/>
  <c r="AD35" i="12"/>
  <c r="T35" i="12"/>
  <c r="S35" i="12"/>
  <c r="R35" i="12"/>
  <c r="U35" i="12" s="1"/>
  <c r="H35" i="12"/>
  <c r="G35" i="12"/>
  <c r="F35" i="12"/>
  <c r="I35" i="12" s="1"/>
  <c r="AG34" i="12"/>
  <c r="AF34" i="12"/>
  <c r="AE34" i="12"/>
  <c r="AD34" i="12"/>
  <c r="T34" i="12"/>
  <c r="S34" i="12"/>
  <c r="R34" i="12"/>
  <c r="U34" i="12" s="1"/>
  <c r="I34" i="12"/>
  <c r="H34" i="12"/>
  <c r="G34" i="12"/>
  <c r="F34" i="12"/>
  <c r="AF31" i="12"/>
  <c r="AE31" i="12"/>
  <c r="AD31" i="12"/>
  <c r="AG31" i="12" s="1"/>
  <c r="U31" i="12"/>
  <c r="T31" i="12"/>
  <c r="S31" i="12"/>
  <c r="R31" i="12"/>
  <c r="H31" i="12"/>
  <c r="G31" i="12"/>
  <c r="F31" i="12"/>
  <c r="I31" i="12" s="1"/>
  <c r="AF30" i="12"/>
  <c r="AE30" i="12"/>
  <c r="AD30" i="12"/>
  <c r="AG30" i="12" s="1"/>
  <c r="T30" i="12"/>
  <c r="S30" i="12"/>
  <c r="R30" i="12"/>
  <c r="U30" i="12" s="1"/>
  <c r="H30" i="12"/>
  <c r="G30" i="12"/>
  <c r="F30" i="12"/>
  <c r="I30" i="12" s="1"/>
  <c r="AF29" i="12"/>
  <c r="AE29" i="12"/>
  <c r="AD29" i="12"/>
  <c r="AG29" i="12" s="1"/>
  <c r="T29" i="12"/>
  <c r="S29" i="12"/>
  <c r="R29" i="12"/>
  <c r="U29" i="12" s="1"/>
  <c r="H29" i="12"/>
  <c r="G29" i="12"/>
  <c r="F29" i="12"/>
  <c r="I29" i="12" s="1"/>
  <c r="AF28" i="12"/>
  <c r="AE28" i="12"/>
  <c r="AD28" i="12"/>
  <c r="AG28" i="12" s="1"/>
  <c r="T28" i="12"/>
  <c r="S28" i="12"/>
  <c r="R28" i="12"/>
  <c r="U28" i="12" s="1"/>
  <c r="H28" i="12"/>
  <c r="G28" i="12"/>
  <c r="F28" i="12"/>
  <c r="I28" i="12" s="1"/>
  <c r="AG27" i="12"/>
  <c r="AF27" i="12"/>
  <c r="AE27" i="12"/>
  <c r="AD27" i="12"/>
  <c r="T27" i="12"/>
  <c r="S27" i="12"/>
  <c r="R27" i="12"/>
  <c r="U27" i="12" s="1"/>
  <c r="H27" i="12"/>
  <c r="G27" i="12"/>
  <c r="F27" i="12"/>
  <c r="I27" i="12" s="1"/>
  <c r="AG26" i="12"/>
  <c r="AF26" i="12"/>
  <c r="AE26" i="12"/>
  <c r="AD26" i="12"/>
  <c r="T26" i="12"/>
  <c r="S26" i="12"/>
  <c r="R26" i="12"/>
  <c r="U26" i="12" s="1"/>
  <c r="I26" i="12"/>
  <c r="H26" i="12"/>
  <c r="G26" i="12"/>
  <c r="F26" i="12"/>
  <c r="AF25" i="12"/>
  <c r="AE25" i="12"/>
  <c r="AD25" i="12"/>
  <c r="AG25" i="12" s="1"/>
  <c r="U25" i="12"/>
  <c r="T25" i="12"/>
  <c r="S25" i="12"/>
  <c r="R25" i="12"/>
  <c r="H25" i="12"/>
  <c r="G25" i="12"/>
  <c r="F25" i="12"/>
  <c r="I25" i="12" s="1"/>
  <c r="AF24" i="12"/>
  <c r="AE24" i="12"/>
  <c r="AD24" i="12"/>
  <c r="AG24" i="12" s="1"/>
  <c r="T24" i="12"/>
  <c r="S24" i="12"/>
  <c r="R24" i="12"/>
  <c r="U24" i="12" s="1"/>
  <c r="I24" i="12"/>
  <c r="H24" i="12"/>
  <c r="G24" i="12"/>
  <c r="F24" i="12"/>
  <c r="AF23" i="12"/>
  <c r="AE23" i="12"/>
  <c r="AD23" i="12"/>
  <c r="AG23" i="12" s="1"/>
  <c r="T23" i="12"/>
  <c r="S23" i="12"/>
  <c r="R23" i="12"/>
  <c r="U23" i="12" s="1"/>
  <c r="H23" i="12"/>
  <c r="G23" i="12"/>
  <c r="F23" i="12"/>
  <c r="I23" i="12" s="1"/>
  <c r="AF22" i="12"/>
  <c r="AE22" i="12"/>
  <c r="AD22" i="12"/>
  <c r="AG22" i="12" s="1"/>
  <c r="T22" i="12"/>
  <c r="S22" i="12"/>
  <c r="R22" i="12"/>
  <c r="U22" i="12" s="1"/>
  <c r="H22" i="12"/>
  <c r="G22" i="12"/>
  <c r="F22" i="12"/>
  <c r="I22" i="12" s="1"/>
  <c r="AF21" i="12"/>
  <c r="AE21" i="12"/>
  <c r="AD21" i="12"/>
  <c r="AG21" i="12" s="1"/>
  <c r="T21" i="12"/>
  <c r="S21" i="12"/>
  <c r="R21" i="12"/>
  <c r="U21" i="12" s="1"/>
  <c r="H21" i="12"/>
  <c r="G21" i="12"/>
  <c r="F21" i="12"/>
  <c r="I21" i="12" s="1"/>
  <c r="AG20" i="12"/>
  <c r="AF20" i="12"/>
  <c r="AE20" i="12"/>
  <c r="AD20" i="12"/>
  <c r="T20" i="12"/>
  <c r="S20" i="12"/>
  <c r="R20" i="12"/>
  <c r="U20" i="12" s="1"/>
  <c r="I20" i="12"/>
  <c r="H20" i="12"/>
  <c r="G20" i="12"/>
  <c r="F20" i="12"/>
  <c r="AF19" i="12"/>
  <c r="AE19" i="12"/>
  <c r="AD19" i="12"/>
  <c r="AG19" i="12" s="1"/>
  <c r="T19" i="12"/>
  <c r="S19" i="12"/>
  <c r="R19" i="12"/>
  <c r="U19" i="12" s="1"/>
  <c r="H19" i="12"/>
  <c r="G19" i="12"/>
  <c r="F19" i="12"/>
  <c r="I19" i="12" s="1"/>
  <c r="AF18" i="12"/>
  <c r="AE18" i="12"/>
  <c r="AD18" i="12"/>
  <c r="AG18" i="12" s="1"/>
  <c r="T18" i="12"/>
  <c r="S18" i="12"/>
  <c r="R18" i="12"/>
  <c r="U18" i="12" s="1"/>
  <c r="H18" i="12"/>
  <c r="G18" i="12"/>
  <c r="F18" i="12"/>
  <c r="I18" i="12" s="1"/>
  <c r="AF17" i="12"/>
  <c r="AE17" i="12"/>
  <c r="AD17" i="12"/>
  <c r="AG17" i="12" s="1"/>
  <c r="T17" i="12"/>
  <c r="S17" i="12"/>
  <c r="R17" i="12"/>
  <c r="U17" i="12" s="1"/>
  <c r="I17" i="12"/>
  <c r="H17" i="12"/>
  <c r="G17" i="12"/>
  <c r="F17" i="12"/>
  <c r="AF16" i="12"/>
  <c r="AE16" i="12"/>
  <c r="AD16" i="12"/>
  <c r="AG16" i="12" s="1"/>
  <c r="T16" i="12"/>
  <c r="S16" i="12"/>
  <c r="R16" i="12"/>
  <c r="U16" i="12" s="1"/>
  <c r="H16" i="12"/>
  <c r="G16" i="12"/>
  <c r="F16" i="12"/>
  <c r="I16" i="12" s="1"/>
  <c r="AG15" i="12"/>
  <c r="AF15" i="12"/>
  <c r="AE15" i="12"/>
  <c r="AD15" i="12"/>
  <c r="T15" i="12"/>
  <c r="S15" i="12"/>
  <c r="R15" i="12"/>
  <c r="U15" i="12" s="1"/>
  <c r="I15" i="12"/>
  <c r="H15" i="12"/>
  <c r="G15" i="12"/>
  <c r="F15" i="12"/>
  <c r="AF14" i="12"/>
  <c r="AE14" i="12"/>
  <c r="AD14" i="12"/>
  <c r="AG14" i="12" s="1"/>
  <c r="T14" i="12"/>
  <c r="S14" i="12"/>
  <c r="R14" i="12"/>
  <c r="U14" i="12" s="1"/>
  <c r="H14" i="12"/>
  <c r="G14" i="12"/>
  <c r="F14" i="12"/>
  <c r="I14" i="12" s="1"/>
  <c r="AG13" i="12"/>
  <c r="AF13" i="12"/>
  <c r="AE13" i="12"/>
  <c r="AD13" i="12"/>
  <c r="T13" i="12"/>
  <c r="S13" i="12"/>
  <c r="R13" i="12"/>
  <c r="U13" i="12" s="1"/>
  <c r="I13" i="12"/>
  <c r="H13" i="12"/>
  <c r="G13" i="12"/>
  <c r="F13" i="12"/>
  <c r="AG12" i="12"/>
  <c r="AF12" i="12"/>
  <c r="AE12" i="12"/>
  <c r="AD12" i="12"/>
  <c r="T12" i="12"/>
  <c r="S12" i="12"/>
  <c r="R12" i="12"/>
  <c r="U12" i="12" s="1"/>
  <c r="H12" i="12"/>
  <c r="G12" i="12"/>
  <c r="F12" i="12"/>
  <c r="I12" i="12" s="1"/>
  <c r="AF11" i="12"/>
  <c r="AE11" i="12"/>
  <c r="AD11" i="12"/>
  <c r="AG11" i="12" s="1"/>
  <c r="T11" i="12"/>
  <c r="S11" i="12"/>
  <c r="R11" i="12"/>
  <c r="U11" i="12" s="1"/>
  <c r="H11" i="12"/>
  <c r="G11" i="12"/>
  <c r="F11" i="12"/>
  <c r="I11" i="12" s="1"/>
  <c r="AF10" i="12"/>
  <c r="AE10" i="12"/>
  <c r="AD10" i="12"/>
  <c r="AG10" i="12" s="1"/>
  <c r="T10" i="12"/>
  <c r="S10" i="12"/>
  <c r="R10" i="12"/>
  <c r="U10" i="12" s="1"/>
  <c r="H10" i="12"/>
  <c r="G10" i="12"/>
  <c r="F10" i="12"/>
  <c r="I10" i="12" s="1"/>
  <c r="AG9" i="12"/>
  <c r="AF9" i="12"/>
  <c r="AE9" i="12"/>
  <c r="AD9" i="12"/>
  <c r="T9" i="12"/>
  <c r="S9" i="12"/>
  <c r="R9" i="12"/>
  <c r="U9" i="12" s="1"/>
  <c r="I9" i="12"/>
  <c r="H9" i="12"/>
  <c r="G9" i="12"/>
  <c r="F9" i="12"/>
  <c r="AF8" i="12"/>
  <c r="AE8" i="12"/>
  <c r="AD8" i="12"/>
  <c r="AG8" i="12" s="1"/>
  <c r="T8" i="12"/>
  <c r="S8" i="12"/>
  <c r="R8" i="12"/>
  <c r="U8" i="12" s="1"/>
  <c r="H8" i="12"/>
  <c r="G8" i="12"/>
  <c r="F8" i="12"/>
  <c r="I8" i="12" s="1"/>
  <c r="AG7" i="12"/>
  <c r="AH27" i="12" s="1"/>
  <c r="AF7" i="12"/>
  <c r="AE7" i="12"/>
  <c r="AD7" i="12"/>
  <c r="T7" i="12"/>
  <c r="S7" i="12"/>
  <c r="R7" i="12"/>
  <c r="U7" i="12" s="1"/>
  <c r="H7" i="12"/>
  <c r="G7" i="12"/>
  <c r="F7" i="12"/>
  <c r="I7" i="12" s="1"/>
  <c r="AB3" i="12"/>
  <c r="AA3" i="12"/>
  <c r="Z3" i="12"/>
  <c r="P3" i="12"/>
  <c r="O3" i="12"/>
  <c r="N3" i="12"/>
  <c r="D3" i="12"/>
  <c r="C3" i="12"/>
  <c r="B3" i="12"/>
  <c r="M2" i="12"/>
  <c r="A2" i="12"/>
  <c r="AF41" i="11"/>
  <c r="AE41" i="11"/>
  <c r="AD41" i="11"/>
  <c r="AG41" i="11" s="1"/>
  <c r="U41" i="11"/>
  <c r="T41" i="11"/>
  <c r="S41" i="11"/>
  <c r="R41" i="11"/>
  <c r="H41" i="11"/>
  <c r="G41" i="11"/>
  <c r="F41" i="11"/>
  <c r="I41" i="11" s="1"/>
  <c r="AG40" i="11"/>
  <c r="AF40" i="11"/>
  <c r="AE40" i="11"/>
  <c r="AD40" i="11"/>
  <c r="T40" i="11"/>
  <c r="S40" i="11"/>
  <c r="R40" i="11"/>
  <c r="U40" i="11" s="1"/>
  <c r="I40" i="11"/>
  <c r="H40" i="11"/>
  <c r="G40" i="11"/>
  <c r="F40" i="11"/>
  <c r="AF39" i="11"/>
  <c r="AE39" i="11"/>
  <c r="AD39" i="11"/>
  <c r="AG39" i="11" s="1"/>
  <c r="U39" i="11"/>
  <c r="T39" i="11"/>
  <c r="S39" i="11"/>
  <c r="R39" i="11"/>
  <c r="H39" i="11"/>
  <c r="G39" i="11"/>
  <c r="F39" i="11"/>
  <c r="I39" i="11" s="1"/>
  <c r="AG38" i="11"/>
  <c r="AF38" i="11"/>
  <c r="AE38" i="11"/>
  <c r="AD38" i="11"/>
  <c r="T38" i="11"/>
  <c r="S38" i="11"/>
  <c r="R38" i="11"/>
  <c r="U38" i="11" s="1"/>
  <c r="I38" i="11"/>
  <c r="H38" i="11"/>
  <c r="G38" i="11"/>
  <c r="F38" i="11"/>
  <c r="AF37" i="11"/>
  <c r="AE37" i="11"/>
  <c r="AD37" i="11"/>
  <c r="AG37" i="11" s="1"/>
  <c r="U37" i="11"/>
  <c r="T37" i="11"/>
  <c r="S37" i="11"/>
  <c r="R37" i="11"/>
  <c r="I37" i="11"/>
  <c r="H37" i="11"/>
  <c r="G37" i="11"/>
  <c r="F37" i="11"/>
  <c r="AF36" i="11"/>
  <c r="AE36" i="11"/>
  <c r="AD36" i="11"/>
  <c r="AG36" i="11" s="1"/>
  <c r="U36" i="11"/>
  <c r="T36" i="11"/>
  <c r="S36" i="11"/>
  <c r="R36" i="11"/>
  <c r="H36" i="11"/>
  <c r="G36" i="11"/>
  <c r="F36" i="11"/>
  <c r="I36" i="11" s="1"/>
  <c r="AG35" i="11"/>
  <c r="AH35" i="11" s="1"/>
  <c r="AI37" i="11" s="1"/>
  <c r="AF35" i="11"/>
  <c r="AE35" i="11"/>
  <c r="AD35" i="11"/>
  <c r="T35" i="11"/>
  <c r="S35" i="11"/>
  <c r="R35" i="11"/>
  <c r="U35" i="11" s="1"/>
  <c r="I35" i="11"/>
  <c r="J35" i="11" s="1"/>
  <c r="K37" i="11" s="1"/>
  <c r="Q14" i="44" s="1"/>
  <c r="H35" i="11"/>
  <c r="G35" i="11"/>
  <c r="F35" i="11"/>
  <c r="AF34" i="11"/>
  <c r="AE34" i="11"/>
  <c r="AD34" i="11"/>
  <c r="AG34" i="11" s="1"/>
  <c r="U34" i="11"/>
  <c r="T34" i="11"/>
  <c r="S34" i="11"/>
  <c r="R34" i="11"/>
  <c r="H34" i="11"/>
  <c r="G34" i="11"/>
  <c r="F34" i="11"/>
  <c r="I34" i="11" s="1"/>
  <c r="AF31" i="11"/>
  <c r="AE31" i="11"/>
  <c r="AD31" i="11"/>
  <c r="AG31" i="11" s="1"/>
  <c r="T31" i="11"/>
  <c r="S31" i="11"/>
  <c r="R31" i="11"/>
  <c r="U31" i="11" s="1"/>
  <c r="H31" i="11"/>
  <c r="G31" i="11"/>
  <c r="F31" i="11"/>
  <c r="I31" i="11" s="1"/>
  <c r="AF30" i="11"/>
  <c r="AE30" i="11"/>
  <c r="AD30" i="11"/>
  <c r="AG30" i="11" s="1"/>
  <c r="T30" i="11"/>
  <c r="S30" i="11"/>
  <c r="R30" i="11"/>
  <c r="U30" i="11" s="1"/>
  <c r="H30" i="11"/>
  <c r="G30" i="11"/>
  <c r="F30" i="11"/>
  <c r="I30" i="11" s="1"/>
  <c r="AF29" i="11"/>
  <c r="AE29" i="11"/>
  <c r="AD29" i="11"/>
  <c r="AG29" i="11" s="1"/>
  <c r="U29" i="11"/>
  <c r="T29" i="11"/>
  <c r="S29" i="11"/>
  <c r="R29" i="11"/>
  <c r="H29" i="11"/>
  <c r="G29" i="11"/>
  <c r="F29" i="11"/>
  <c r="I29" i="11" s="1"/>
  <c r="AF28" i="11"/>
  <c r="AE28" i="11"/>
  <c r="AD28" i="11"/>
  <c r="AG28" i="11" s="1"/>
  <c r="T28" i="11"/>
  <c r="S28" i="11"/>
  <c r="R28" i="11"/>
  <c r="U28" i="11" s="1"/>
  <c r="H28" i="11"/>
  <c r="G28" i="11"/>
  <c r="F28" i="11"/>
  <c r="I28" i="11" s="1"/>
  <c r="AG27" i="11"/>
  <c r="AF27" i="11"/>
  <c r="AE27" i="11"/>
  <c r="AD27" i="11"/>
  <c r="T27" i="11"/>
  <c r="S27" i="11"/>
  <c r="R27" i="11"/>
  <c r="U27" i="11" s="1"/>
  <c r="H27" i="11"/>
  <c r="G27" i="11"/>
  <c r="F27" i="11"/>
  <c r="I27" i="11" s="1"/>
  <c r="AF26" i="11"/>
  <c r="AE26" i="11"/>
  <c r="AD26" i="11"/>
  <c r="AG26" i="11" s="1"/>
  <c r="T26" i="11"/>
  <c r="S26" i="11"/>
  <c r="R26" i="11"/>
  <c r="U26" i="11" s="1"/>
  <c r="H26" i="11"/>
  <c r="G26" i="11"/>
  <c r="F26" i="11"/>
  <c r="I26" i="11" s="1"/>
  <c r="AF25" i="11"/>
  <c r="AE25" i="11"/>
  <c r="AD25" i="11"/>
  <c r="AG25" i="11" s="1"/>
  <c r="T25" i="11"/>
  <c r="S25" i="11"/>
  <c r="R25" i="11"/>
  <c r="U25" i="11" s="1"/>
  <c r="H25" i="11"/>
  <c r="G25" i="11"/>
  <c r="F25" i="11"/>
  <c r="I25" i="11" s="1"/>
  <c r="AF24" i="11"/>
  <c r="AE24" i="11"/>
  <c r="AD24" i="11"/>
  <c r="AG24" i="11" s="1"/>
  <c r="T24" i="11"/>
  <c r="S24" i="11"/>
  <c r="R24" i="11"/>
  <c r="U24" i="11" s="1"/>
  <c r="I24" i="11"/>
  <c r="H24" i="11"/>
  <c r="G24" i="11"/>
  <c r="F24" i="11"/>
  <c r="AF23" i="11"/>
  <c r="AE23" i="11"/>
  <c r="AD23" i="11"/>
  <c r="AG23" i="11" s="1"/>
  <c r="U23" i="11"/>
  <c r="T23" i="11"/>
  <c r="S23" i="11"/>
  <c r="R23" i="11"/>
  <c r="H23" i="11"/>
  <c r="G23" i="11"/>
  <c r="F23" i="11"/>
  <c r="I23" i="11" s="1"/>
  <c r="AG22" i="11"/>
  <c r="AF22" i="11"/>
  <c r="AE22" i="11"/>
  <c r="AD22" i="11"/>
  <c r="T22" i="11"/>
  <c r="S22" i="11"/>
  <c r="R22" i="11"/>
  <c r="U22" i="11" s="1"/>
  <c r="H22" i="11"/>
  <c r="G22" i="11"/>
  <c r="F22" i="11"/>
  <c r="I22" i="11" s="1"/>
  <c r="AF21" i="11"/>
  <c r="AE21" i="11"/>
  <c r="AD21" i="11"/>
  <c r="AG21" i="11" s="1"/>
  <c r="T21" i="11"/>
  <c r="S21" i="11"/>
  <c r="R21" i="11"/>
  <c r="U21" i="11" s="1"/>
  <c r="H21" i="11"/>
  <c r="G21" i="11"/>
  <c r="F21" i="11"/>
  <c r="I21" i="11" s="1"/>
  <c r="AF20" i="11"/>
  <c r="AE20" i="11"/>
  <c r="AD20" i="11"/>
  <c r="AG20" i="11" s="1"/>
  <c r="U20" i="11"/>
  <c r="T20" i="11"/>
  <c r="S20" i="11"/>
  <c r="R20" i="11"/>
  <c r="H20" i="11"/>
  <c r="G20" i="11"/>
  <c r="F20" i="11"/>
  <c r="I20" i="11" s="1"/>
  <c r="AF19" i="11"/>
  <c r="AE19" i="11"/>
  <c r="AD19" i="11"/>
  <c r="AG19" i="11" s="1"/>
  <c r="T19" i="11"/>
  <c r="S19" i="11"/>
  <c r="R19" i="11"/>
  <c r="U19" i="11" s="1"/>
  <c r="I19" i="11"/>
  <c r="H19" i="11"/>
  <c r="G19" i="11"/>
  <c r="F19" i="11"/>
  <c r="AF18" i="11"/>
  <c r="AE18" i="11"/>
  <c r="AD18" i="11"/>
  <c r="AG18" i="11" s="1"/>
  <c r="U18" i="11"/>
  <c r="T18" i="11"/>
  <c r="S18" i="11"/>
  <c r="R18" i="11"/>
  <c r="H18" i="11"/>
  <c r="G18" i="11"/>
  <c r="F18" i="11"/>
  <c r="I18" i="11" s="1"/>
  <c r="AF17" i="11"/>
  <c r="AE17" i="11"/>
  <c r="AD17" i="11"/>
  <c r="AG17" i="11" s="1"/>
  <c r="U17" i="11"/>
  <c r="T17" i="11"/>
  <c r="S17" i="11"/>
  <c r="R17" i="11"/>
  <c r="I17" i="11"/>
  <c r="H17" i="11"/>
  <c r="G17" i="11"/>
  <c r="F17" i="11"/>
  <c r="AF16" i="11"/>
  <c r="AE16" i="11"/>
  <c r="AD16" i="11"/>
  <c r="AG16" i="11" s="1"/>
  <c r="U16" i="11"/>
  <c r="T16" i="11"/>
  <c r="S16" i="11"/>
  <c r="R16" i="11"/>
  <c r="H16" i="11"/>
  <c r="G16" i="11"/>
  <c r="F16" i="11"/>
  <c r="I16" i="11" s="1"/>
  <c r="AG15" i="11"/>
  <c r="AF15" i="11"/>
  <c r="AE15" i="11"/>
  <c r="AD15" i="11"/>
  <c r="T15" i="11"/>
  <c r="S15" i="11"/>
  <c r="R15" i="11"/>
  <c r="U15" i="11" s="1"/>
  <c r="H15" i="11"/>
  <c r="G15" i="11"/>
  <c r="F15" i="11"/>
  <c r="I15" i="11" s="1"/>
  <c r="J27" i="11" s="1"/>
  <c r="K27" i="11" s="1"/>
  <c r="O14" i="44" s="1"/>
  <c r="AF14" i="11"/>
  <c r="AE14" i="11"/>
  <c r="AD14" i="11"/>
  <c r="AG14" i="11" s="1"/>
  <c r="T14" i="11"/>
  <c r="S14" i="11"/>
  <c r="R14" i="11"/>
  <c r="U14" i="11" s="1"/>
  <c r="H14" i="11"/>
  <c r="G14" i="11"/>
  <c r="F14" i="11"/>
  <c r="I14" i="11" s="1"/>
  <c r="AF13" i="11"/>
  <c r="AE13" i="11"/>
  <c r="AD13" i="11"/>
  <c r="AG13" i="11" s="1"/>
  <c r="T13" i="11"/>
  <c r="S13" i="11"/>
  <c r="R13" i="11"/>
  <c r="U13" i="11" s="1"/>
  <c r="H13" i="11"/>
  <c r="G13" i="11"/>
  <c r="F13" i="11"/>
  <c r="I13" i="11" s="1"/>
  <c r="AF12" i="11"/>
  <c r="AE12" i="11"/>
  <c r="AD12" i="11"/>
  <c r="AG12" i="11" s="1"/>
  <c r="T12" i="11"/>
  <c r="S12" i="11"/>
  <c r="R12" i="11"/>
  <c r="U12" i="11" s="1"/>
  <c r="H12" i="11"/>
  <c r="G12" i="11"/>
  <c r="F12" i="11"/>
  <c r="I12" i="11" s="1"/>
  <c r="AF11" i="11"/>
  <c r="AE11" i="11"/>
  <c r="AD11" i="11"/>
  <c r="AG11" i="11" s="1"/>
  <c r="U11" i="11"/>
  <c r="T11" i="11"/>
  <c r="S11" i="11"/>
  <c r="R11" i="11"/>
  <c r="H11" i="11"/>
  <c r="G11" i="11"/>
  <c r="F11" i="11"/>
  <c r="I11" i="11" s="1"/>
  <c r="AG10" i="11"/>
  <c r="AF10" i="11"/>
  <c r="AE10" i="11"/>
  <c r="AD10" i="11"/>
  <c r="T10" i="11"/>
  <c r="S10" i="11"/>
  <c r="R10" i="11"/>
  <c r="U10" i="11" s="1"/>
  <c r="I10" i="11"/>
  <c r="H10" i="11"/>
  <c r="G10" i="11"/>
  <c r="F10" i="11"/>
  <c r="AF9" i="11"/>
  <c r="AE9" i="11"/>
  <c r="AD9" i="11"/>
  <c r="AG9" i="11" s="1"/>
  <c r="T9" i="11"/>
  <c r="S9" i="11"/>
  <c r="R9" i="11"/>
  <c r="U9" i="11" s="1"/>
  <c r="H9" i="11"/>
  <c r="G9" i="11"/>
  <c r="F9" i="11"/>
  <c r="I9" i="11" s="1"/>
  <c r="AF8" i="11"/>
  <c r="AE8" i="11"/>
  <c r="AD8" i="11"/>
  <c r="AG8" i="11" s="1"/>
  <c r="T8" i="11"/>
  <c r="S8" i="11"/>
  <c r="R8" i="11"/>
  <c r="U8" i="11" s="1"/>
  <c r="H8" i="11"/>
  <c r="G8" i="11"/>
  <c r="F8" i="11"/>
  <c r="I8" i="11" s="1"/>
  <c r="AG7" i="11"/>
  <c r="AF7" i="11"/>
  <c r="AE7" i="11"/>
  <c r="AD7" i="11"/>
  <c r="T7" i="11"/>
  <c r="S7" i="11"/>
  <c r="R7" i="11"/>
  <c r="U7" i="11" s="1"/>
  <c r="H7" i="11"/>
  <c r="G7" i="11"/>
  <c r="F7" i="11"/>
  <c r="I7" i="11" s="1"/>
  <c r="AB3" i="11"/>
  <c r="AA3" i="11"/>
  <c r="Z3" i="11"/>
  <c r="P3" i="11"/>
  <c r="O3" i="11"/>
  <c r="N3" i="11"/>
  <c r="D3" i="11"/>
  <c r="C3" i="11"/>
  <c r="B3" i="11"/>
  <c r="M2" i="11"/>
  <c r="A2" i="11"/>
  <c r="AG41" i="10"/>
  <c r="AF41" i="10"/>
  <c r="AE41" i="10"/>
  <c r="AD41" i="10"/>
  <c r="T41" i="10"/>
  <c r="S41" i="10"/>
  <c r="R41" i="10"/>
  <c r="U41" i="10" s="1"/>
  <c r="I41" i="10"/>
  <c r="H41" i="10"/>
  <c r="G41" i="10"/>
  <c r="F41" i="10"/>
  <c r="AF40" i="10"/>
  <c r="AE40" i="10"/>
  <c r="AD40" i="10"/>
  <c r="AG40" i="10" s="1"/>
  <c r="U40" i="10"/>
  <c r="T40" i="10"/>
  <c r="S40" i="10"/>
  <c r="R40" i="10"/>
  <c r="H40" i="10"/>
  <c r="G40" i="10"/>
  <c r="F40" i="10"/>
  <c r="I40" i="10" s="1"/>
  <c r="AG39" i="10"/>
  <c r="AF39" i="10"/>
  <c r="AE39" i="10"/>
  <c r="AD39" i="10"/>
  <c r="T39" i="10"/>
  <c r="S39" i="10"/>
  <c r="R39" i="10"/>
  <c r="U39" i="10" s="1"/>
  <c r="I39" i="10"/>
  <c r="H39" i="10"/>
  <c r="G39" i="10"/>
  <c r="F39" i="10"/>
  <c r="AF38" i="10"/>
  <c r="AE38" i="10"/>
  <c r="AD38" i="10"/>
  <c r="AG38" i="10" s="1"/>
  <c r="U38" i="10"/>
  <c r="T38" i="10"/>
  <c r="S38" i="10"/>
  <c r="R38" i="10"/>
  <c r="H38" i="10"/>
  <c r="G38" i="10"/>
  <c r="F38" i="10"/>
  <c r="I38" i="10" s="1"/>
  <c r="AF37" i="10"/>
  <c r="AE37" i="10"/>
  <c r="AD37" i="10"/>
  <c r="AG37" i="10" s="1"/>
  <c r="U37" i="10"/>
  <c r="T37" i="10"/>
  <c r="S37" i="10"/>
  <c r="R37" i="10"/>
  <c r="H37" i="10"/>
  <c r="G37" i="10"/>
  <c r="F37" i="10"/>
  <c r="I37" i="10" s="1"/>
  <c r="AG36" i="10"/>
  <c r="AF36" i="10"/>
  <c r="AE36" i="10"/>
  <c r="AD36" i="10"/>
  <c r="T36" i="10"/>
  <c r="S36" i="10"/>
  <c r="R36" i="10"/>
  <c r="U36" i="10" s="1"/>
  <c r="I36" i="10"/>
  <c r="H36" i="10"/>
  <c r="G36" i="10"/>
  <c r="F36" i="10"/>
  <c r="AF35" i="10"/>
  <c r="AE35" i="10"/>
  <c r="AD35" i="10"/>
  <c r="AG35" i="10" s="1"/>
  <c r="T35" i="10"/>
  <c r="S35" i="10"/>
  <c r="R35" i="10"/>
  <c r="U35" i="10" s="1"/>
  <c r="I35" i="10"/>
  <c r="J35" i="10" s="1"/>
  <c r="K37" i="10" s="1"/>
  <c r="Q13" i="44" s="1"/>
  <c r="H35" i="10"/>
  <c r="G35" i="10"/>
  <c r="F35" i="10"/>
  <c r="AF34" i="10"/>
  <c r="AE34" i="10"/>
  <c r="AD34" i="10"/>
  <c r="AG34" i="10" s="1"/>
  <c r="U34" i="10"/>
  <c r="V35" i="10" s="1"/>
  <c r="W37" i="10" s="1"/>
  <c r="Q13" i="45" s="1"/>
  <c r="R13" i="45" s="1"/>
  <c r="T34" i="10"/>
  <c r="S34" i="10"/>
  <c r="R34" i="10"/>
  <c r="H34" i="10"/>
  <c r="G34" i="10"/>
  <c r="F34" i="10"/>
  <c r="I34" i="10" s="1"/>
  <c r="AG31" i="10"/>
  <c r="AF31" i="10"/>
  <c r="AE31" i="10"/>
  <c r="AD31" i="10"/>
  <c r="T31" i="10"/>
  <c r="S31" i="10"/>
  <c r="R31" i="10"/>
  <c r="U31" i="10" s="1"/>
  <c r="H31" i="10"/>
  <c r="G31" i="10"/>
  <c r="F31" i="10"/>
  <c r="I31" i="10" s="1"/>
  <c r="AF30" i="10"/>
  <c r="AE30" i="10"/>
  <c r="AD30" i="10"/>
  <c r="AG30" i="10" s="1"/>
  <c r="T30" i="10"/>
  <c r="S30" i="10"/>
  <c r="R30" i="10"/>
  <c r="U30" i="10" s="1"/>
  <c r="H30" i="10"/>
  <c r="G30" i="10"/>
  <c r="F30" i="10"/>
  <c r="I30" i="10" s="1"/>
  <c r="AF29" i="10"/>
  <c r="AE29" i="10"/>
  <c r="AD29" i="10"/>
  <c r="AG29" i="10" s="1"/>
  <c r="U29" i="10"/>
  <c r="T29" i="10"/>
  <c r="S29" i="10"/>
  <c r="R29" i="10"/>
  <c r="H29" i="10"/>
  <c r="G29" i="10"/>
  <c r="F29" i="10"/>
  <c r="I29" i="10" s="1"/>
  <c r="AF28" i="10"/>
  <c r="AE28" i="10"/>
  <c r="AD28" i="10"/>
  <c r="AG28" i="10" s="1"/>
  <c r="T28" i="10"/>
  <c r="S28" i="10"/>
  <c r="R28" i="10"/>
  <c r="U28" i="10" s="1"/>
  <c r="H28" i="10"/>
  <c r="G28" i="10"/>
  <c r="F28" i="10"/>
  <c r="I28" i="10" s="1"/>
  <c r="AF27" i="10"/>
  <c r="AE27" i="10"/>
  <c r="AD27" i="10"/>
  <c r="AG27" i="10" s="1"/>
  <c r="T27" i="10"/>
  <c r="S27" i="10"/>
  <c r="R27" i="10"/>
  <c r="U27" i="10" s="1"/>
  <c r="I27" i="10"/>
  <c r="H27" i="10"/>
  <c r="G27" i="10"/>
  <c r="F27" i="10"/>
  <c r="AF26" i="10"/>
  <c r="AE26" i="10"/>
  <c r="AD26" i="10"/>
  <c r="AG26" i="10" s="1"/>
  <c r="U26" i="10"/>
  <c r="T26" i="10"/>
  <c r="S26" i="10"/>
  <c r="R26" i="10"/>
  <c r="H26" i="10"/>
  <c r="G26" i="10"/>
  <c r="F26" i="10"/>
  <c r="I26" i="10" s="1"/>
  <c r="AF25" i="10"/>
  <c r="AE25" i="10"/>
  <c r="AD25" i="10"/>
  <c r="AG25" i="10" s="1"/>
  <c r="T25" i="10"/>
  <c r="S25" i="10"/>
  <c r="R25" i="10"/>
  <c r="U25" i="10" s="1"/>
  <c r="H25" i="10"/>
  <c r="G25" i="10"/>
  <c r="F25" i="10"/>
  <c r="I25" i="10" s="1"/>
  <c r="AF24" i="10"/>
  <c r="AE24" i="10"/>
  <c r="AD24" i="10"/>
  <c r="AG24" i="10" s="1"/>
  <c r="U24" i="10"/>
  <c r="T24" i="10"/>
  <c r="S24" i="10"/>
  <c r="R24" i="10"/>
  <c r="H24" i="10"/>
  <c r="G24" i="10"/>
  <c r="F24" i="10"/>
  <c r="I24" i="10" s="1"/>
  <c r="AG23" i="10"/>
  <c r="AF23" i="10"/>
  <c r="AE23" i="10"/>
  <c r="AD23" i="10"/>
  <c r="T23" i="10"/>
  <c r="S23" i="10"/>
  <c r="R23" i="10"/>
  <c r="U23" i="10" s="1"/>
  <c r="I23" i="10"/>
  <c r="H23" i="10"/>
  <c r="G23" i="10"/>
  <c r="F23" i="10"/>
  <c r="AF22" i="10"/>
  <c r="AE22" i="10"/>
  <c r="AD22" i="10"/>
  <c r="AG22" i="10" s="1"/>
  <c r="T22" i="10"/>
  <c r="S22" i="10"/>
  <c r="R22" i="10"/>
  <c r="U22" i="10" s="1"/>
  <c r="H22" i="10"/>
  <c r="G22" i="10"/>
  <c r="F22" i="10"/>
  <c r="I22" i="10" s="1"/>
  <c r="AF21" i="10"/>
  <c r="AE21" i="10"/>
  <c r="AD21" i="10"/>
  <c r="AG21" i="10" s="1"/>
  <c r="T21" i="10"/>
  <c r="S21" i="10"/>
  <c r="R21" i="10"/>
  <c r="U21" i="10" s="1"/>
  <c r="H21" i="10"/>
  <c r="G21" i="10"/>
  <c r="F21" i="10"/>
  <c r="I21" i="10" s="1"/>
  <c r="AF20" i="10"/>
  <c r="AE20" i="10"/>
  <c r="AD20" i="10"/>
  <c r="AG20" i="10" s="1"/>
  <c r="T20" i="10"/>
  <c r="S20" i="10"/>
  <c r="R20" i="10"/>
  <c r="U20" i="10" s="1"/>
  <c r="H20" i="10"/>
  <c r="G20" i="10"/>
  <c r="F20" i="10"/>
  <c r="I20" i="10" s="1"/>
  <c r="AF19" i="10"/>
  <c r="AE19" i="10"/>
  <c r="AD19" i="10"/>
  <c r="AG19" i="10" s="1"/>
  <c r="T19" i="10"/>
  <c r="S19" i="10"/>
  <c r="R19" i="10"/>
  <c r="U19" i="10" s="1"/>
  <c r="H19" i="10"/>
  <c r="G19" i="10"/>
  <c r="F19" i="10"/>
  <c r="I19" i="10" s="1"/>
  <c r="AF18" i="10"/>
  <c r="AE18" i="10"/>
  <c r="AD18" i="10"/>
  <c r="AG18" i="10" s="1"/>
  <c r="T18" i="10"/>
  <c r="S18" i="10"/>
  <c r="R18" i="10"/>
  <c r="U18" i="10" s="1"/>
  <c r="H18" i="10"/>
  <c r="G18" i="10"/>
  <c r="F18" i="10"/>
  <c r="I18" i="10" s="1"/>
  <c r="AG17" i="10"/>
  <c r="AF17" i="10"/>
  <c r="AE17" i="10"/>
  <c r="AD17" i="10"/>
  <c r="T17" i="10"/>
  <c r="S17" i="10"/>
  <c r="R17" i="10"/>
  <c r="U17" i="10" s="1"/>
  <c r="H17" i="10"/>
  <c r="G17" i="10"/>
  <c r="F17" i="10"/>
  <c r="I17" i="10" s="1"/>
  <c r="AF16" i="10"/>
  <c r="AE16" i="10"/>
  <c r="AD16" i="10"/>
  <c r="AG16" i="10" s="1"/>
  <c r="T16" i="10"/>
  <c r="S16" i="10"/>
  <c r="R16" i="10"/>
  <c r="U16" i="10" s="1"/>
  <c r="I16" i="10"/>
  <c r="H16" i="10"/>
  <c r="G16" i="10"/>
  <c r="F16" i="10"/>
  <c r="AF15" i="10"/>
  <c r="AE15" i="10"/>
  <c r="AD15" i="10"/>
  <c r="AG15" i="10" s="1"/>
  <c r="U15" i="10"/>
  <c r="T15" i="10"/>
  <c r="S15" i="10"/>
  <c r="R15" i="10"/>
  <c r="H15" i="10"/>
  <c r="G15" i="10"/>
  <c r="F15" i="10"/>
  <c r="I15" i="10" s="1"/>
  <c r="AF14" i="10"/>
  <c r="AE14" i="10"/>
  <c r="AD14" i="10"/>
  <c r="AG14" i="10" s="1"/>
  <c r="T14" i="10"/>
  <c r="S14" i="10"/>
  <c r="R14" i="10"/>
  <c r="U14" i="10" s="1"/>
  <c r="H14" i="10"/>
  <c r="G14" i="10"/>
  <c r="F14" i="10"/>
  <c r="I14" i="10" s="1"/>
  <c r="AF13" i="10"/>
  <c r="AE13" i="10"/>
  <c r="AD13" i="10"/>
  <c r="AG13" i="10" s="1"/>
  <c r="U13" i="10"/>
  <c r="T13" i="10"/>
  <c r="S13" i="10"/>
  <c r="R13" i="10"/>
  <c r="H13" i="10"/>
  <c r="G13" i="10"/>
  <c r="F13" i="10"/>
  <c r="I13" i="10" s="1"/>
  <c r="AF12" i="10"/>
  <c r="AE12" i="10"/>
  <c r="AD12" i="10"/>
  <c r="AG12" i="10" s="1"/>
  <c r="T12" i="10"/>
  <c r="S12" i="10"/>
  <c r="R12" i="10"/>
  <c r="U12" i="10" s="1"/>
  <c r="I12" i="10"/>
  <c r="H12" i="10"/>
  <c r="G12" i="10"/>
  <c r="F12" i="10"/>
  <c r="AF11" i="10"/>
  <c r="AE11" i="10"/>
  <c r="AD11" i="10"/>
  <c r="AG11" i="10" s="1"/>
  <c r="T11" i="10"/>
  <c r="S11" i="10"/>
  <c r="R11" i="10"/>
  <c r="U11" i="10" s="1"/>
  <c r="H11" i="10"/>
  <c r="G11" i="10"/>
  <c r="F11" i="10"/>
  <c r="I11" i="10" s="1"/>
  <c r="AG10" i="10"/>
  <c r="AF10" i="10"/>
  <c r="AE10" i="10"/>
  <c r="AD10" i="10"/>
  <c r="T10" i="10"/>
  <c r="S10" i="10"/>
  <c r="R10" i="10"/>
  <c r="U10" i="10" s="1"/>
  <c r="H10" i="10"/>
  <c r="G10" i="10"/>
  <c r="F10" i="10"/>
  <c r="I10" i="10" s="1"/>
  <c r="AF9" i="10"/>
  <c r="AE9" i="10"/>
  <c r="AD9" i="10"/>
  <c r="AG9" i="10" s="1"/>
  <c r="T9" i="10"/>
  <c r="S9" i="10"/>
  <c r="R9" i="10"/>
  <c r="U9" i="10" s="1"/>
  <c r="V7" i="10" s="1"/>
  <c r="W7" i="10" s="1"/>
  <c r="H9" i="10"/>
  <c r="G9" i="10"/>
  <c r="F9" i="10"/>
  <c r="I9" i="10" s="1"/>
  <c r="AF8" i="10"/>
  <c r="AE8" i="10"/>
  <c r="AD8" i="10"/>
  <c r="AG8" i="10" s="1"/>
  <c r="T8" i="10"/>
  <c r="S8" i="10"/>
  <c r="R8" i="10"/>
  <c r="U8" i="10" s="1"/>
  <c r="H8" i="10"/>
  <c r="G8" i="10"/>
  <c r="F8" i="10"/>
  <c r="I8" i="10" s="1"/>
  <c r="AF7" i="10"/>
  <c r="AE7" i="10"/>
  <c r="AD7" i="10"/>
  <c r="AG7" i="10" s="1"/>
  <c r="T7" i="10"/>
  <c r="S7" i="10"/>
  <c r="R7" i="10"/>
  <c r="U7" i="10" s="1"/>
  <c r="V27" i="10" s="1"/>
  <c r="W27" i="10" s="1"/>
  <c r="O13" i="45" s="1"/>
  <c r="P13" i="45" s="1"/>
  <c r="I7" i="10"/>
  <c r="J27" i="10" s="1"/>
  <c r="K27" i="10" s="1"/>
  <c r="O13" i="44" s="1"/>
  <c r="H7" i="10"/>
  <c r="G7" i="10"/>
  <c r="F7" i="10"/>
  <c r="AB3" i="10"/>
  <c r="AA3" i="10"/>
  <c r="Z3" i="10"/>
  <c r="P3" i="10"/>
  <c r="O3" i="10"/>
  <c r="N3" i="10"/>
  <c r="D3" i="10"/>
  <c r="C3" i="10"/>
  <c r="B3" i="10"/>
  <c r="M2" i="10"/>
  <c r="A2" i="10"/>
  <c r="AG41" i="9"/>
  <c r="AF41" i="9"/>
  <c r="AE41" i="9"/>
  <c r="AD41" i="9"/>
  <c r="T41" i="9"/>
  <c r="S41" i="9"/>
  <c r="R41" i="9"/>
  <c r="U41" i="9" s="1"/>
  <c r="I41" i="9"/>
  <c r="H41" i="9"/>
  <c r="G41" i="9"/>
  <c r="F41" i="9"/>
  <c r="AF40" i="9"/>
  <c r="AE40" i="9"/>
  <c r="AD40" i="9"/>
  <c r="AG40" i="9" s="1"/>
  <c r="U40" i="9"/>
  <c r="T40" i="9"/>
  <c r="S40" i="9"/>
  <c r="R40" i="9"/>
  <c r="H40" i="9"/>
  <c r="G40" i="9"/>
  <c r="F40" i="9"/>
  <c r="I40" i="9" s="1"/>
  <c r="AG39" i="9"/>
  <c r="AF39" i="9"/>
  <c r="AE39" i="9"/>
  <c r="AD39" i="9"/>
  <c r="T39" i="9"/>
  <c r="S39" i="9"/>
  <c r="R39" i="9"/>
  <c r="U39" i="9" s="1"/>
  <c r="I39" i="9"/>
  <c r="H39" i="9"/>
  <c r="G39" i="9"/>
  <c r="F39" i="9"/>
  <c r="AF38" i="9"/>
  <c r="AE38" i="9"/>
  <c r="AD38" i="9"/>
  <c r="AG38" i="9" s="1"/>
  <c r="U38" i="9"/>
  <c r="T38" i="9"/>
  <c r="S38" i="9"/>
  <c r="R38" i="9"/>
  <c r="H38" i="9"/>
  <c r="G38" i="9"/>
  <c r="F38" i="9"/>
  <c r="I38" i="9" s="1"/>
  <c r="AG37" i="9"/>
  <c r="AF37" i="9"/>
  <c r="AE37" i="9"/>
  <c r="AD37" i="9"/>
  <c r="T37" i="9"/>
  <c r="S37" i="9"/>
  <c r="R37" i="9"/>
  <c r="U37" i="9" s="1"/>
  <c r="H37" i="9"/>
  <c r="G37" i="9"/>
  <c r="F37" i="9"/>
  <c r="I37" i="9" s="1"/>
  <c r="AF36" i="9"/>
  <c r="AE36" i="9"/>
  <c r="AD36" i="9"/>
  <c r="AG36" i="9" s="1"/>
  <c r="T36" i="9"/>
  <c r="S36" i="9"/>
  <c r="R36" i="9"/>
  <c r="U36" i="9" s="1"/>
  <c r="H36" i="9"/>
  <c r="G36" i="9"/>
  <c r="F36" i="9"/>
  <c r="I36" i="9" s="1"/>
  <c r="AF35" i="9"/>
  <c r="AE35" i="9"/>
  <c r="AD35" i="9"/>
  <c r="AG35" i="9" s="1"/>
  <c r="U35" i="9"/>
  <c r="T35" i="9"/>
  <c r="S35" i="9"/>
  <c r="R35" i="9"/>
  <c r="H35" i="9"/>
  <c r="G35" i="9"/>
  <c r="F35" i="9"/>
  <c r="I35" i="9" s="1"/>
  <c r="AG34" i="9"/>
  <c r="AF34" i="9"/>
  <c r="AE34" i="9"/>
  <c r="AD34" i="9"/>
  <c r="T34" i="9"/>
  <c r="S34" i="9"/>
  <c r="R34" i="9"/>
  <c r="U34" i="9" s="1"/>
  <c r="V35" i="9" s="1"/>
  <c r="W37" i="9" s="1"/>
  <c r="Q12" i="45" s="1"/>
  <c r="R12" i="45" s="1"/>
  <c r="I34" i="9"/>
  <c r="H34" i="9"/>
  <c r="G34" i="9"/>
  <c r="F34" i="9"/>
  <c r="AG31" i="9"/>
  <c r="AF31" i="9"/>
  <c r="AE31" i="9"/>
  <c r="AD31" i="9"/>
  <c r="T31" i="9"/>
  <c r="S31" i="9"/>
  <c r="R31" i="9"/>
  <c r="U31" i="9" s="1"/>
  <c r="I31" i="9"/>
  <c r="H31" i="9"/>
  <c r="G31" i="9"/>
  <c r="F31" i="9"/>
  <c r="AF30" i="9"/>
  <c r="AE30" i="9"/>
  <c r="AD30" i="9"/>
  <c r="AG30" i="9" s="1"/>
  <c r="T30" i="9"/>
  <c r="S30" i="9"/>
  <c r="R30" i="9"/>
  <c r="U30" i="9" s="1"/>
  <c r="H30" i="9"/>
  <c r="G30" i="9"/>
  <c r="F30" i="9"/>
  <c r="I30" i="9" s="1"/>
  <c r="AG29" i="9"/>
  <c r="AF29" i="9"/>
  <c r="AE29" i="9"/>
  <c r="AD29" i="9"/>
  <c r="T29" i="9"/>
  <c r="S29" i="9"/>
  <c r="R29" i="9"/>
  <c r="U29" i="9" s="1"/>
  <c r="I29" i="9"/>
  <c r="H29" i="9"/>
  <c r="G29" i="9"/>
  <c r="F29" i="9"/>
  <c r="AF28" i="9"/>
  <c r="AE28" i="9"/>
  <c r="AD28" i="9"/>
  <c r="AG28" i="9" s="1"/>
  <c r="U28" i="9"/>
  <c r="T28" i="9"/>
  <c r="S28" i="9"/>
  <c r="R28" i="9"/>
  <c r="H28" i="9"/>
  <c r="G28" i="9"/>
  <c r="F28" i="9"/>
  <c r="I28" i="9" s="1"/>
  <c r="AF27" i="9"/>
  <c r="AE27" i="9"/>
  <c r="AD27" i="9"/>
  <c r="AG27" i="9" s="1"/>
  <c r="T27" i="9"/>
  <c r="S27" i="9"/>
  <c r="R27" i="9"/>
  <c r="U27" i="9" s="1"/>
  <c r="H27" i="9"/>
  <c r="G27" i="9"/>
  <c r="F27" i="9"/>
  <c r="I27" i="9" s="1"/>
  <c r="AF26" i="9"/>
  <c r="AE26" i="9"/>
  <c r="AD26" i="9"/>
  <c r="AG26" i="9" s="1"/>
  <c r="T26" i="9"/>
  <c r="S26" i="9"/>
  <c r="R26" i="9"/>
  <c r="U26" i="9" s="1"/>
  <c r="H26" i="9"/>
  <c r="G26" i="9"/>
  <c r="F26" i="9"/>
  <c r="I26" i="9" s="1"/>
  <c r="AF25" i="9"/>
  <c r="AE25" i="9"/>
  <c r="AD25" i="9"/>
  <c r="AG25" i="9" s="1"/>
  <c r="T25" i="9"/>
  <c r="S25" i="9"/>
  <c r="R25" i="9"/>
  <c r="U25" i="9" s="1"/>
  <c r="H25" i="9"/>
  <c r="G25" i="9"/>
  <c r="F25" i="9"/>
  <c r="I25" i="9" s="1"/>
  <c r="AF24" i="9"/>
  <c r="AE24" i="9"/>
  <c r="AD24" i="9"/>
  <c r="AG24" i="9" s="1"/>
  <c r="U24" i="9"/>
  <c r="T24" i="9"/>
  <c r="S24" i="9"/>
  <c r="R24" i="9"/>
  <c r="H24" i="9"/>
  <c r="G24" i="9"/>
  <c r="F24" i="9"/>
  <c r="I24" i="9" s="1"/>
  <c r="AG23" i="9"/>
  <c r="AF23" i="9"/>
  <c r="AE23" i="9"/>
  <c r="AD23" i="9"/>
  <c r="T23" i="9"/>
  <c r="S23" i="9"/>
  <c r="R23" i="9"/>
  <c r="U23" i="9" s="1"/>
  <c r="I23" i="9"/>
  <c r="H23" i="9"/>
  <c r="G23" i="9"/>
  <c r="F23" i="9"/>
  <c r="AF22" i="9"/>
  <c r="AE22" i="9"/>
  <c r="AD22" i="9"/>
  <c r="AG22" i="9" s="1"/>
  <c r="T22" i="9"/>
  <c r="S22" i="9"/>
  <c r="R22" i="9"/>
  <c r="U22" i="9" s="1"/>
  <c r="H22" i="9"/>
  <c r="G22" i="9"/>
  <c r="F22" i="9"/>
  <c r="I22" i="9" s="1"/>
  <c r="AF21" i="9"/>
  <c r="AE21" i="9"/>
  <c r="AD21" i="9"/>
  <c r="AG21" i="9" s="1"/>
  <c r="U21" i="9"/>
  <c r="T21" i="9"/>
  <c r="S21" i="9"/>
  <c r="R21" i="9"/>
  <c r="H21" i="9"/>
  <c r="G21" i="9"/>
  <c r="F21" i="9"/>
  <c r="I21" i="9" s="1"/>
  <c r="AG20" i="9"/>
  <c r="AF20" i="9"/>
  <c r="AE20" i="9"/>
  <c r="AD20" i="9"/>
  <c r="T20" i="9"/>
  <c r="S20" i="9"/>
  <c r="R20" i="9"/>
  <c r="U20" i="9" s="1"/>
  <c r="I20" i="9"/>
  <c r="H20" i="9"/>
  <c r="G20" i="9"/>
  <c r="F20" i="9"/>
  <c r="AF19" i="9"/>
  <c r="AE19" i="9"/>
  <c r="AD19" i="9"/>
  <c r="AG19" i="9" s="1"/>
  <c r="T19" i="9"/>
  <c r="S19" i="9"/>
  <c r="R19" i="9"/>
  <c r="U19" i="9" s="1"/>
  <c r="H19" i="9"/>
  <c r="G19" i="9"/>
  <c r="F19" i="9"/>
  <c r="I19" i="9" s="1"/>
  <c r="AF18" i="9"/>
  <c r="AE18" i="9"/>
  <c r="AD18" i="9"/>
  <c r="AG18" i="9" s="1"/>
  <c r="T18" i="9"/>
  <c r="S18" i="9"/>
  <c r="R18" i="9"/>
  <c r="U18" i="9" s="1"/>
  <c r="I18" i="9"/>
  <c r="H18" i="9"/>
  <c r="G18" i="9"/>
  <c r="F18" i="9"/>
  <c r="AF17" i="9"/>
  <c r="AE17" i="9"/>
  <c r="AD17" i="9"/>
  <c r="AG17" i="9" s="1"/>
  <c r="T17" i="9"/>
  <c r="S17" i="9"/>
  <c r="R17" i="9"/>
  <c r="U17" i="9" s="1"/>
  <c r="H17" i="9"/>
  <c r="G17" i="9"/>
  <c r="F17" i="9"/>
  <c r="I17" i="9" s="1"/>
  <c r="AG16" i="9"/>
  <c r="AF16" i="9"/>
  <c r="AE16" i="9"/>
  <c r="AD16" i="9"/>
  <c r="T16" i="9"/>
  <c r="S16" i="9"/>
  <c r="R16" i="9"/>
  <c r="U16" i="9" s="1"/>
  <c r="H16" i="9"/>
  <c r="G16" i="9"/>
  <c r="F16" i="9"/>
  <c r="I16" i="9" s="1"/>
  <c r="AF15" i="9"/>
  <c r="AE15" i="9"/>
  <c r="AD15" i="9"/>
  <c r="AG15" i="9" s="1"/>
  <c r="T15" i="9"/>
  <c r="S15" i="9"/>
  <c r="R15" i="9"/>
  <c r="U15" i="9" s="1"/>
  <c r="H15" i="9"/>
  <c r="G15" i="9"/>
  <c r="F15" i="9"/>
  <c r="I15" i="9" s="1"/>
  <c r="AF14" i="9"/>
  <c r="AE14" i="9"/>
  <c r="AD14" i="9"/>
  <c r="AG14" i="9" s="1"/>
  <c r="T14" i="9"/>
  <c r="S14" i="9"/>
  <c r="R14" i="9"/>
  <c r="U14" i="9" s="1"/>
  <c r="H14" i="9"/>
  <c r="G14" i="9"/>
  <c r="F14" i="9"/>
  <c r="I14" i="9" s="1"/>
  <c r="AF13" i="9"/>
  <c r="AE13" i="9"/>
  <c r="AD13" i="9"/>
  <c r="AG13" i="9" s="1"/>
  <c r="T13" i="9"/>
  <c r="S13" i="9"/>
  <c r="R13" i="9"/>
  <c r="U13" i="9" s="1"/>
  <c r="H13" i="9"/>
  <c r="G13" i="9"/>
  <c r="F13" i="9"/>
  <c r="I13" i="9" s="1"/>
  <c r="AG12" i="9"/>
  <c r="AF12" i="9"/>
  <c r="AE12" i="9"/>
  <c r="AD12" i="9"/>
  <c r="T12" i="9"/>
  <c r="S12" i="9"/>
  <c r="R12" i="9"/>
  <c r="U12" i="9" s="1"/>
  <c r="H12" i="9"/>
  <c r="G12" i="9"/>
  <c r="F12" i="9"/>
  <c r="I12" i="9" s="1"/>
  <c r="J22" i="9" s="1"/>
  <c r="K22" i="9" s="1"/>
  <c r="K12" i="44" s="1"/>
  <c r="AG11" i="9"/>
  <c r="AF11" i="9"/>
  <c r="AE11" i="9"/>
  <c r="AD11" i="9"/>
  <c r="T11" i="9"/>
  <c r="S11" i="9"/>
  <c r="R11" i="9"/>
  <c r="U11" i="9" s="1"/>
  <c r="I11" i="9"/>
  <c r="H11" i="9"/>
  <c r="G11" i="9"/>
  <c r="F11" i="9"/>
  <c r="AF10" i="9"/>
  <c r="AE10" i="9"/>
  <c r="AD10" i="9"/>
  <c r="AG10" i="9" s="1"/>
  <c r="AH27" i="9" s="1"/>
  <c r="T10" i="9"/>
  <c r="S10" i="9"/>
  <c r="R10" i="9"/>
  <c r="U10" i="9" s="1"/>
  <c r="H10" i="9"/>
  <c r="G10" i="9"/>
  <c r="F10" i="9"/>
  <c r="I10" i="9" s="1"/>
  <c r="AG9" i="9"/>
  <c r="AF9" i="9"/>
  <c r="AE9" i="9"/>
  <c r="AD9" i="9"/>
  <c r="T9" i="9"/>
  <c r="S9" i="9"/>
  <c r="R9" i="9"/>
  <c r="U9" i="9" s="1"/>
  <c r="H9" i="9"/>
  <c r="G9" i="9"/>
  <c r="F9" i="9"/>
  <c r="I9" i="9" s="1"/>
  <c r="AF8" i="9"/>
  <c r="AE8" i="9"/>
  <c r="AD8" i="9"/>
  <c r="AG8" i="9" s="1"/>
  <c r="AH17" i="9" s="1"/>
  <c r="U8" i="9"/>
  <c r="T8" i="9"/>
  <c r="S8" i="9"/>
  <c r="R8" i="9"/>
  <c r="H8" i="9"/>
  <c r="G8" i="9"/>
  <c r="F8" i="9"/>
  <c r="I8" i="9" s="1"/>
  <c r="J17" i="9" s="1"/>
  <c r="K17" i="9" s="1"/>
  <c r="I12" i="44" s="1"/>
  <c r="AF7" i="9"/>
  <c r="AE7" i="9"/>
  <c r="AD7" i="9"/>
  <c r="AG7" i="9" s="1"/>
  <c r="U7" i="9"/>
  <c r="T7" i="9"/>
  <c r="S7" i="9"/>
  <c r="R7" i="9"/>
  <c r="H7" i="9"/>
  <c r="G7" i="9"/>
  <c r="F7" i="9"/>
  <c r="I7" i="9" s="1"/>
  <c r="J27" i="9" s="1"/>
  <c r="K27" i="9" s="1"/>
  <c r="O12" i="44" s="1"/>
  <c r="AB3" i="9"/>
  <c r="AA3" i="9"/>
  <c r="Z3" i="9"/>
  <c r="P3" i="9"/>
  <c r="O3" i="9"/>
  <c r="N3" i="9"/>
  <c r="D3" i="9"/>
  <c r="C3" i="9"/>
  <c r="B3" i="9"/>
  <c r="M2" i="9"/>
  <c r="A2" i="9"/>
  <c r="AF41" i="8"/>
  <c r="AE41" i="8"/>
  <c r="AD41" i="8"/>
  <c r="AG41" i="8" s="1"/>
  <c r="U41" i="8"/>
  <c r="T41" i="8"/>
  <c r="S41" i="8"/>
  <c r="R41" i="8"/>
  <c r="H41" i="8"/>
  <c r="G41" i="8"/>
  <c r="F41" i="8"/>
  <c r="I41" i="8" s="1"/>
  <c r="AG40" i="8"/>
  <c r="AF40" i="8"/>
  <c r="AE40" i="8"/>
  <c r="AD40" i="8"/>
  <c r="T40" i="8"/>
  <c r="S40" i="8"/>
  <c r="R40" i="8"/>
  <c r="U40" i="8" s="1"/>
  <c r="I40" i="8"/>
  <c r="H40" i="8"/>
  <c r="G40" i="8"/>
  <c r="F40" i="8"/>
  <c r="AF39" i="8"/>
  <c r="AE39" i="8"/>
  <c r="AD39" i="8"/>
  <c r="AG39" i="8" s="1"/>
  <c r="U39" i="8"/>
  <c r="T39" i="8"/>
  <c r="S39" i="8"/>
  <c r="R39" i="8"/>
  <c r="H39" i="8"/>
  <c r="G39" i="8"/>
  <c r="F39" i="8"/>
  <c r="I39" i="8" s="1"/>
  <c r="AG38" i="8"/>
  <c r="AF38" i="8"/>
  <c r="AE38" i="8"/>
  <c r="AD38" i="8"/>
  <c r="T38" i="8"/>
  <c r="S38" i="8"/>
  <c r="R38" i="8"/>
  <c r="U38" i="8" s="1"/>
  <c r="I38" i="8"/>
  <c r="H38" i="8"/>
  <c r="G38" i="8"/>
  <c r="F38" i="8"/>
  <c r="AF37" i="8"/>
  <c r="AE37" i="8"/>
  <c r="AD37" i="8"/>
  <c r="AG37" i="8" s="1"/>
  <c r="T37" i="8"/>
  <c r="S37" i="8"/>
  <c r="R37" i="8"/>
  <c r="U37" i="8" s="1"/>
  <c r="I37" i="8"/>
  <c r="H37" i="8"/>
  <c r="G37" i="8"/>
  <c r="F37" i="8"/>
  <c r="AF36" i="8"/>
  <c r="AE36" i="8"/>
  <c r="AD36" i="8"/>
  <c r="AG36" i="8" s="1"/>
  <c r="U36" i="8"/>
  <c r="T36" i="8"/>
  <c r="S36" i="8"/>
  <c r="R36" i="8"/>
  <c r="H36" i="8"/>
  <c r="G36" i="8"/>
  <c r="F36" i="8"/>
  <c r="I36" i="8" s="1"/>
  <c r="AG35" i="8"/>
  <c r="AF35" i="8"/>
  <c r="AE35" i="8"/>
  <c r="AD35" i="8"/>
  <c r="U35" i="8"/>
  <c r="T35" i="8"/>
  <c r="S35" i="8"/>
  <c r="R35" i="8"/>
  <c r="H35" i="8"/>
  <c r="G35" i="8"/>
  <c r="F35" i="8"/>
  <c r="I35" i="8" s="1"/>
  <c r="AG34" i="8"/>
  <c r="AF34" i="8"/>
  <c r="AE34" i="8"/>
  <c r="AD34" i="8"/>
  <c r="T34" i="8"/>
  <c r="S34" i="8"/>
  <c r="R34" i="8"/>
  <c r="U34" i="8" s="1"/>
  <c r="I34" i="8"/>
  <c r="H34" i="8"/>
  <c r="G34" i="8"/>
  <c r="F34" i="8"/>
  <c r="AF31" i="8"/>
  <c r="AE31" i="8"/>
  <c r="AD31" i="8"/>
  <c r="AG31" i="8" s="1"/>
  <c r="U31" i="8"/>
  <c r="T31" i="8"/>
  <c r="S31" i="8"/>
  <c r="R31" i="8"/>
  <c r="I31" i="8"/>
  <c r="H31" i="8"/>
  <c r="G31" i="8"/>
  <c r="F31" i="8"/>
  <c r="AF30" i="8"/>
  <c r="AE30" i="8"/>
  <c r="AD30" i="8"/>
  <c r="AG30" i="8" s="1"/>
  <c r="U30" i="8"/>
  <c r="T30" i="8"/>
  <c r="S30" i="8"/>
  <c r="R30" i="8"/>
  <c r="H30" i="8"/>
  <c r="G30" i="8"/>
  <c r="F30" i="8"/>
  <c r="I30" i="8" s="1"/>
  <c r="AG29" i="8"/>
  <c r="AF29" i="8"/>
  <c r="AE29" i="8"/>
  <c r="AD29" i="8"/>
  <c r="T29" i="8"/>
  <c r="S29" i="8"/>
  <c r="R29" i="8"/>
  <c r="U29" i="8" s="1"/>
  <c r="H29" i="8"/>
  <c r="G29" i="8"/>
  <c r="F29" i="8"/>
  <c r="I29" i="8" s="1"/>
  <c r="AF28" i="8"/>
  <c r="AE28" i="8"/>
  <c r="AD28" i="8"/>
  <c r="AG28" i="8" s="1"/>
  <c r="T28" i="8"/>
  <c r="S28" i="8"/>
  <c r="R28" i="8"/>
  <c r="U28" i="8" s="1"/>
  <c r="H28" i="8"/>
  <c r="G28" i="8"/>
  <c r="F28" i="8"/>
  <c r="I28" i="8" s="1"/>
  <c r="AG27" i="8"/>
  <c r="AF27" i="8"/>
  <c r="AE27" i="8"/>
  <c r="AD27" i="8"/>
  <c r="T27" i="8"/>
  <c r="S27" i="8"/>
  <c r="R27" i="8"/>
  <c r="U27" i="8" s="1"/>
  <c r="H27" i="8"/>
  <c r="G27" i="8"/>
  <c r="F27" i="8"/>
  <c r="I27" i="8" s="1"/>
  <c r="AG26" i="8"/>
  <c r="AF26" i="8"/>
  <c r="AE26" i="8"/>
  <c r="AD26" i="8"/>
  <c r="T26" i="8"/>
  <c r="S26" i="8"/>
  <c r="R26" i="8"/>
  <c r="U26" i="8" s="1"/>
  <c r="I26" i="8"/>
  <c r="H26" i="8"/>
  <c r="G26" i="8"/>
  <c r="F26" i="8"/>
  <c r="AF25" i="8"/>
  <c r="AE25" i="8"/>
  <c r="AD25" i="8"/>
  <c r="AG25" i="8" s="1"/>
  <c r="U25" i="8"/>
  <c r="T25" i="8"/>
  <c r="S25" i="8"/>
  <c r="R25" i="8"/>
  <c r="H25" i="8"/>
  <c r="G25" i="8"/>
  <c r="F25" i="8"/>
  <c r="I25" i="8" s="1"/>
  <c r="AG24" i="8"/>
  <c r="AF24" i="8"/>
  <c r="AE24" i="8"/>
  <c r="AD24" i="8"/>
  <c r="T24" i="8"/>
  <c r="S24" i="8"/>
  <c r="R24" i="8"/>
  <c r="U24" i="8" s="1"/>
  <c r="H24" i="8"/>
  <c r="G24" i="8"/>
  <c r="F24" i="8"/>
  <c r="I24" i="8" s="1"/>
  <c r="AF23" i="8"/>
  <c r="AE23" i="8"/>
  <c r="AD23" i="8"/>
  <c r="AG23" i="8" s="1"/>
  <c r="U23" i="8"/>
  <c r="T23" i="8"/>
  <c r="S23" i="8"/>
  <c r="R23" i="8"/>
  <c r="H23" i="8"/>
  <c r="G23" i="8"/>
  <c r="F23" i="8"/>
  <c r="I23" i="8" s="1"/>
  <c r="AF22" i="8"/>
  <c r="AE22" i="8"/>
  <c r="AD22" i="8"/>
  <c r="AG22" i="8" s="1"/>
  <c r="U22" i="8"/>
  <c r="T22" i="8"/>
  <c r="S22" i="8"/>
  <c r="R22" i="8"/>
  <c r="H22" i="8"/>
  <c r="G22" i="8"/>
  <c r="F22" i="8"/>
  <c r="I22" i="8" s="1"/>
  <c r="AF21" i="8"/>
  <c r="AE21" i="8"/>
  <c r="AD21" i="8"/>
  <c r="AG21" i="8" s="1"/>
  <c r="T21" i="8"/>
  <c r="S21" i="8"/>
  <c r="R21" i="8"/>
  <c r="U21" i="8" s="1"/>
  <c r="H21" i="8"/>
  <c r="G21" i="8"/>
  <c r="F21" i="8"/>
  <c r="I21" i="8" s="1"/>
  <c r="AF20" i="8"/>
  <c r="AE20" i="8"/>
  <c r="AD20" i="8"/>
  <c r="AG20" i="8" s="1"/>
  <c r="T20" i="8"/>
  <c r="S20" i="8"/>
  <c r="R20" i="8"/>
  <c r="U20" i="8" s="1"/>
  <c r="H20" i="8"/>
  <c r="G20" i="8"/>
  <c r="F20" i="8"/>
  <c r="I20" i="8" s="1"/>
  <c r="AF19" i="8"/>
  <c r="AE19" i="8"/>
  <c r="AD19" i="8"/>
  <c r="AG19" i="8" s="1"/>
  <c r="T19" i="8"/>
  <c r="S19" i="8"/>
  <c r="R19" i="8"/>
  <c r="U19" i="8" s="1"/>
  <c r="H19" i="8"/>
  <c r="G19" i="8"/>
  <c r="F19" i="8"/>
  <c r="I19" i="8" s="1"/>
  <c r="AG18" i="8"/>
  <c r="AF18" i="8"/>
  <c r="AE18" i="8"/>
  <c r="AD18" i="8"/>
  <c r="T18" i="8"/>
  <c r="S18" i="8"/>
  <c r="R18" i="8"/>
  <c r="U18" i="8" s="1"/>
  <c r="H18" i="8"/>
  <c r="G18" i="8"/>
  <c r="F18" i="8"/>
  <c r="I18" i="8" s="1"/>
  <c r="AF17" i="8"/>
  <c r="AE17" i="8"/>
  <c r="AD17" i="8"/>
  <c r="AG17" i="8" s="1"/>
  <c r="T17" i="8"/>
  <c r="S17" i="8"/>
  <c r="R17" i="8"/>
  <c r="U17" i="8" s="1"/>
  <c r="I17" i="8"/>
  <c r="H17" i="8"/>
  <c r="G17" i="8"/>
  <c r="F17" i="8"/>
  <c r="AF16" i="8"/>
  <c r="AE16" i="8"/>
  <c r="AD16" i="8"/>
  <c r="AG16" i="8" s="1"/>
  <c r="U16" i="8"/>
  <c r="T16" i="8"/>
  <c r="S16" i="8"/>
  <c r="R16" i="8"/>
  <c r="H16" i="8"/>
  <c r="G16" i="8"/>
  <c r="F16" i="8"/>
  <c r="I16" i="8" s="1"/>
  <c r="AG15" i="8"/>
  <c r="AF15" i="8"/>
  <c r="AE15" i="8"/>
  <c r="AD15" i="8"/>
  <c r="T15" i="8"/>
  <c r="S15" i="8"/>
  <c r="R15" i="8"/>
  <c r="U15" i="8" s="1"/>
  <c r="I15" i="8"/>
  <c r="H15" i="8"/>
  <c r="G15" i="8"/>
  <c r="F15" i="8"/>
  <c r="AF14" i="8"/>
  <c r="AE14" i="8"/>
  <c r="AD14" i="8"/>
  <c r="AG14" i="8" s="1"/>
  <c r="U14" i="8"/>
  <c r="T14" i="8"/>
  <c r="S14" i="8"/>
  <c r="R14" i="8"/>
  <c r="H14" i="8"/>
  <c r="G14" i="8"/>
  <c r="F14" i="8"/>
  <c r="I14" i="8" s="1"/>
  <c r="AG13" i="8"/>
  <c r="AF13" i="8"/>
  <c r="AE13" i="8"/>
  <c r="AD13" i="8"/>
  <c r="T13" i="8"/>
  <c r="S13" i="8"/>
  <c r="R13" i="8"/>
  <c r="U13" i="8" s="1"/>
  <c r="I13" i="8"/>
  <c r="H13" i="8"/>
  <c r="G13" i="8"/>
  <c r="F13" i="8"/>
  <c r="AF12" i="8"/>
  <c r="AE12" i="8"/>
  <c r="AD12" i="8"/>
  <c r="AG12" i="8" s="1"/>
  <c r="T12" i="8"/>
  <c r="S12" i="8"/>
  <c r="R12" i="8"/>
  <c r="U12" i="8" s="1"/>
  <c r="H12" i="8"/>
  <c r="G12" i="8"/>
  <c r="F12" i="8"/>
  <c r="I12" i="8" s="1"/>
  <c r="AF11" i="8"/>
  <c r="AE11" i="8"/>
  <c r="AD11" i="8"/>
  <c r="AG11" i="8" s="1"/>
  <c r="AH12" i="8" s="1"/>
  <c r="T11" i="8"/>
  <c r="S11" i="8"/>
  <c r="R11" i="8"/>
  <c r="U11" i="8" s="1"/>
  <c r="I11" i="8"/>
  <c r="H11" i="8"/>
  <c r="G11" i="8"/>
  <c r="F11" i="8"/>
  <c r="AF10" i="8"/>
  <c r="AE10" i="8"/>
  <c r="AD10" i="8"/>
  <c r="AG10" i="8" s="1"/>
  <c r="AH27" i="8" s="1"/>
  <c r="T10" i="8"/>
  <c r="S10" i="8"/>
  <c r="R10" i="8"/>
  <c r="U10" i="8" s="1"/>
  <c r="H10" i="8"/>
  <c r="G10" i="8"/>
  <c r="F10" i="8"/>
  <c r="I10" i="8" s="1"/>
  <c r="AF9" i="8"/>
  <c r="AE9" i="8"/>
  <c r="AD9" i="8"/>
  <c r="AG9" i="8" s="1"/>
  <c r="AH7" i="8" s="1"/>
  <c r="T9" i="8"/>
  <c r="S9" i="8"/>
  <c r="R9" i="8"/>
  <c r="U9" i="8" s="1"/>
  <c r="H9" i="8"/>
  <c r="G9" i="8"/>
  <c r="F9" i="8"/>
  <c r="I9" i="8" s="1"/>
  <c r="J7" i="8" s="1"/>
  <c r="K7" i="8" s="1"/>
  <c r="AF8" i="8"/>
  <c r="AE8" i="8"/>
  <c r="AD8" i="8"/>
  <c r="AG8" i="8" s="1"/>
  <c r="T8" i="8"/>
  <c r="S8" i="8"/>
  <c r="R8" i="8"/>
  <c r="U8" i="8" s="1"/>
  <c r="H8" i="8"/>
  <c r="G8" i="8"/>
  <c r="F8" i="8"/>
  <c r="I8" i="8" s="1"/>
  <c r="AG7" i="8"/>
  <c r="AF7" i="8"/>
  <c r="AE7" i="8"/>
  <c r="AD7" i="8"/>
  <c r="U7" i="8"/>
  <c r="T7" i="8"/>
  <c r="S7" i="8"/>
  <c r="R7" i="8"/>
  <c r="H7" i="8"/>
  <c r="G7" i="8"/>
  <c r="F7" i="8"/>
  <c r="I7" i="8" s="1"/>
  <c r="AB3" i="8"/>
  <c r="AA3" i="8"/>
  <c r="Z3" i="8"/>
  <c r="P3" i="8"/>
  <c r="O3" i="8"/>
  <c r="N3" i="8"/>
  <c r="D3" i="8"/>
  <c r="C3" i="8"/>
  <c r="B3" i="8"/>
  <c r="M2" i="8"/>
  <c r="A2" i="8"/>
  <c r="AF41" i="7"/>
  <c r="AE41" i="7"/>
  <c r="AD41" i="7"/>
  <c r="AG41" i="7" s="1"/>
  <c r="U41" i="7"/>
  <c r="T41" i="7"/>
  <c r="S41" i="7"/>
  <c r="R41" i="7"/>
  <c r="H41" i="7"/>
  <c r="G41" i="7"/>
  <c r="F41" i="7"/>
  <c r="I41" i="7" s="1"/>
  <c r="AG40" i="7"/>
  <c r="AF40" i="7"/>
  <c r="AE40" i="7"/>
  <c r="AD40" i="7"/>
  <c r="T40" i="7"/>
  <c r="S40" i="7"/>
  <c r="R40" i="7"/>
  <c r="U40" i="7" s="1"/>
  <c r="I40" i="7"/>
  <c r="H40" i="7"/>
  <c r="G40" i="7"/>
  <c r="F40" i="7"/>
  <c r="AF39" i="7"/>
  <c r="AE39" i="7"/>
  <c r="AD39" i="7"/>
  <c r="AG39" i="7" s="1"/>
  <c r="U39" i="7"/>
  <c r="T39" i="7"/>
  <c r="S39" i="7"/>
  <c r="R39" i="7"/>
  <c r="H39" i="7"/>
  <c r="G39" i="7"/>
  <c r="F39" i="7"/>
  <c r="I39" i="7" s="1"/>
  <c r="AG38" i="7"/>
  <c r="AF38" i="7"/>
  <c r="AE38" i="7"/>
  <c r="AD38" i="7"/>
  <c r="T38" i="7"/>
  <c r="S38" i="7"/>
  <c r="R38" i="7"/>
  <c r="U38" i="7" s="1"/>
  <c r="I38" i="7"/>
  <c r="H38" i="7"/>
  <c r="G38" i="7"/>
  <c r="F38" i="7"/>
  <c r="AF37" i="7"/>
  <c r="AE37" i="7"/>
  <c r="AD37" i="7"/>
  <c r="AG37" i="7" s="1"/>
  <c r="U37" i="7"/>
  <c r="T37" i="7"/>
  <c r="S37" i="7"/>
  <c r="R37" i="7"/>
  <c r="H37" i="7"/>
  <c r="G37" i="7"/>
  <c r="F37" i="7"/>
  <c r="I37" i="7" s="1"/>
  <c r="AF36" i="7"/>
  <c r="AE36" i="7"/>
  <c r="AD36" i="7"/>
  <c r="AG36" i="7" s="1"/>
  <c r="T36" i="7"/>
  <c r="S36" i="7"/>
  <c r="R36" i="7"/>
  <c r="U36" i="7" s="1"/>
  <c r="H36" i="7"/>
  <c r="G36" i="7"/>
  <c r="F36" i="7"/>
  <c r="I36" i="7" s="1"/>
  <c r="AG35" i="7"/>
  <c r="AF35" i="7"/>
  <c r="AE35" i="7"/>
  <c r="AD35" i="7"/>
  <c r="T35" i="7"/>
  <c r="S35" i="7"/>
  <c r="R35" i="7"/>
  <c r="U35" i="7" s="1"/>
  <c r="I35" i="7"/>
  <c r="H35" i="7"/>
  <c r="G35" i="7"/>
  <c r="F35" i="7"/>
  <c r="AF34" i="7"/>
  <c r="AE34" i="7"/>
  <c r="AD34" i="7"/>
  <c r="AG34" i="7" s="1"/>
  <c r="AH35" i="7" s="1"/>
  <c r="AI37" i="7" s="1"/>
  <c r="U34" i="7"/>
  <c r="T34" i="7"/>
  <c r="S34" i="7"/>
  <c r="R34" i="7"/>
  <c r="H34" i="7"/>
  <c r="G34" i="7"/>
  <c r="F34" i="7"/>
  <c r="I34" i="7" s="1"/>
  <c r="J35" i="7" s="1"/>
  <c r="K37" i="7" s="1"/>
  <c r="Q10" i="44" s="1"/>
  <c r="AF31" i="7"/>
  <c r="AE31" i="7"/>
  <c r="AD31" i="7"/>
  <c r="AG31" i="7" s="1"/>
  <c r="T31" i="7"/>
  <c r="S31" i="7"/>
  <c r="R31" i="7"/>
  <c r="U31" i="7" s="1"/>
  <c r="H31" i="7"/>
  <c r="G31" i="7"/>
  <c r="F31" i="7"/>
  <c r="I31" i="7" s="1"/>
  <c r="AF30" i="7"/>
  <c r="AE30" i="7"/>
  <c r="AD30" i="7"/>
  <c r="AG30" i="7" s="1"/>
  <c r="T30" i="7"/>
  <c r="S30" i="7"/>
  <c r="R30" i="7"/>
  <c r="U30" i="7" s="1"/>
  <c r="H30" i="7"/>
  <c r="G30" i="7"/>
  <c r="F30" i="7"/>
  <c r="I30" i="7" s="1"/>
  <c r="AF29" i="7"/>
  <c r="AE29" i="7"/>
  <c r="AD29" i="7"/>
  <c r="AG29" i="7" s="1"/>
  <c r="U29" i="7"/>
  <c r="T29" i="7"/>
  <c r="S29" i="7"/>
  <c r="R29" i="7"/>
  <c r="H29" i="7"/>
  <c r="G29" i="7"/>
  <c r="F29" i="7"/>
  <c r="I29" i="7" s="1"/>
  <c r="AF28" i="7"/>
  <c r="AE28" i="7"/>
  <c r="AD28" i="7"/>
  <c r="AG28" i="7" s="1"/>
  <c r="T28" i="7"/>
  <c r="S28" i="7"/>
  <c r="R28" i="7"/>
  <c r="U28" i="7" s="1"/>
  <c r="I28" i="7"/>
  <c r="H28" i="7"/>
  <c r="G28" i="7"/>
  <c r="F28" i="7"/>
  <c r="AF27" i="7"/>
  <c r="AE27" i="7"/>
  <c r="AD27" i="7"/>
  <c r="AG27" i="7" s="1"/>
  <c r="T27" i="7"/>
  <c r="S27" i="7"/>
  <c r="R27" i="7"/>
  <c r="U27" i="7" s="1"/>
  <c r="H27" i="7"/>
  <c r="G27" i="7"/>
  <c r="F27" i="7"/>
  <c r="I27" i="7" s="1"/>
  <c r="AG26" i="7"/>
  <c r="AF26" i="7"/>
  <c r="AE26" i="7"/>
  <c r="AD26" i="7"/>
  <c r="T26" i="7"/>
  <c r="S26" i="7"/>
  <c r="R26" i="7"/>
  <c r="U26" i="7" s="1"/>
  <c r="I26" i="7"/>
  <c r="H26" i="7"/>
  <c r="G26" i="7"/>
  <c r="F26" i="7"/>
  <c r="AF25" i="7"/>
  <c r="AE25" i="7"/>
  <c r="AD25" i="7"/>
  <c r="AG25" i="7" s="1"/>
  <c r="U25" i="7"/>
  <c r="T25" i="7"/>
  <c r="S25" i="7"/>
  <c r="R25" i="7"/>
  <c r="H25" i="7"/>
  <c r="G25" i="7"/>
  <c r="F25" i="7"/>
  <c r="I25" i="7" s="1"/>
  <c r="AF24" i="7"/>
  <c r="AE24" i="7"/>
  <c r="AD24" i="7"/>
  <c r="AG24" i="7" s="1"/>
  <c r="T24" i="7"/>
  <c r="S24" i="7"/>
  <c r="R24" i="7"/>
  <c r="U24" i="7" s="1"/>
  <c r="H24" i="7"/>
  <c r="G24" i="7"/>
  <c r="F24" i="7"/>
  <c r="I24" i="7" s="1"/>
  <c r="AF23" i="7"/>
  <c r="AE23" i="7"/>
  <c r="AD23" i="7"/>
  <c r="AG23" i="7" s="1"/>
  <c r="T23" i="7"/>
  <c r="S23" i="7"/>
  <c r="R23" i="7"/>
  <c r="U23" i="7" s="1"/>
  <c r="H23" i="7"/>
  <c r="G23" i="7"/>
  <c r="F23" i="7"/>
  <c r="I23" i="7" s="1"/>
  <c r="AG22" i="7"/>
  <c r="AF22" i="7"/>
  <c r="AE22" i="7"/>
  <c r="AD22" i="7"/>
  <c r="U22" i="7"/>
  <c r="T22" i="7"/>
  <c r="S22" i="7"/>
  <c r="R22" i="7"/>
  <c r="H22" i="7"/>
  <c r="G22" i="7"/>
  <c r="F22" i="7"/>
  <c r="I22" i="7" s="1"/>
  <c r="AG21" i="7"/>
  <c r="AF21" i="7"/>
  <c r="AE21" i="7"/>
  <c r="AD21" i="7"/>
  <c r="T21" i="7"/>
  <c r="S21" i="7"/>
  <c r="R21" i="7"/>
  <c r="U21" i="7" s="1"/>
  <c r="I21" i="7"/>
  <c r="H21" i="7"/>
  <c r="G21" i="7"/>
  <c r="F21" i="7"/>
  <c r="AF20" i="7"/>
  <c r="AE20" i="7"/>
  <c r="AD20" i="7"/>
  <c r="AG20" i="7" s="1"/>
  <c r="U20" i="7"/>
  <c r="T20" i="7"/>
  <c r="S20" i="7"/>
  <c r="R20" i="7"/>
  <c r="H20" i="7"/>
  <c r="G20" i="7"/>
  <c r="F20" i="7"/>
  <c r="I20" i="7" s="1"/>
  <c r="AG19" i="7"/>
  <c r="AF19" i="7"/>
  <c r="AE19" i="7"/>
  <c r="AD19" i="7"/>
  <c r="T19" i="7"/>
  <c r="S19" i="7"/>
  <c r="R19" i="7"/>
  <c r="U19" i="7" s="1"/>
  <c r="H19" i="7"/>
  <c r="G19" i="7"/>
  <c r="F19" i="7"/>
  <c r="I19" i="7" s="1"/>
  <c r="AF18" i="7"/>
  <c r="AE18" i="7"/>
  <c r="AD18" i="7"/>
  <c r="AG18" i="7" s="1"/>
  <c r="U18" i="7"/>
  <c r="T18" i="7"/>
  <c r="S18" i="7"/>
  <c r="R18" i="7"/>
  <c r="H18" i="7"/>
  <c r="G18" i="7"/>
  <c r="F18" i="7"/>
  <c r="I18" i="7" s="1"/>
  <c r="AF17" i="7"/>
  <c r="AE17" i="7"/>
  <c r="AD17" i="7"/>
  <c r="AG17" i="7" s="1"/>
  <c r="U17" i="7"/>
  <c r="T17" i="7"/>
  <c r="S17" i="7"/>
  <c r="R17" i="7"/>
  <c r="H17" i="7"/>
  <c r="G17" i="7"/>
  <c r="F17" i="7"/>
  <c r="I17" i="7" s="1"/>
  <c r="AF16" i="7"/>
  <c r="AE16" i="7"/>
  <c r="AD16" i="7"/>
  <c r="AG16" i="7" s="1"/>
  <c r="T16" i="7"/>
  <c r="S16" i="7"/>
  <c r="R16" i="7"/>
  <c r="U16" i="7" s="1"/>
  <c r="H16" i="7"/>
  <c r="G16" i="7"/>
  <c r="F16" i="7"/>
  <c r="I16" i="7" s="1"/>
  <c r="AF15" i="7"/>
  <c r="AE15" i="7"/>
  <c r="AD15" i="7"/>
  <c r="AG15" i="7" s="1"/>
  <c r="T15" i="7"/>
  <c r="S15" i="7"/>
  <c r="R15" i="7"/>
  <c r="U15" i="7" s="1"/>
  <c r="H15" i="7"/>
  <c r="G15" i="7"/>
  <c r="F15" i="7"/>
  <c r="I15" i="7" s="1"/>
  <c r="AF14" i="7"/>
  <c r="AE14" i="7"/>
  <c r="AD14" i="7"/>
  <c r="AG14" i="7" s="1"/>
  <c r="U14" i="7"/>
  <c r="T14" i="7"/>
  <c r="S14" i="7"/>
  <c r="R14" i="7"/>
  <c r="H14" i="7"/>
  <c r="G14" i="7"/>
  <c r="F14" i="7"/>
  <c r="I14" i="7" s="1"/>
  <c r="AG13" i="7"/>
  <c r="AF13" i="7"/>
  <c r="AE13" i="7"/>
  <c r="AD13" i="7"/>
  <c r="T13" i="7"/>
  <c r="S13" i="7"/>
  <c r="R13" i="7"/>
  <c r="U13" i="7" s="1"/>
  <c r="I13" i="7"/>
  <c r="H13" i="7"/>
  <c r="G13" i="7"/>
  <c r="F13" i="7"/>
  <c r="AF12" i="7"/>
  <c r="AE12" i="7"/>
  <c r="AD12" i="7"/>
  <c r="AG12" i="7" s="1"/>
  <c r="T12" i="7"/>
  <c r="S12" i="7"/>
  <c r="R12" i="7"/>
  <c r="U12" i="7" s="1"/>
  <c r="H12" i="7"/>
  <c r="G12" i="7"/>
  <c r="F12" i="7"/>
  <c r="I12" i="7" s="1"/>
  <c r="AF11" i="7"/>
  <c r="AE11" i="7"/>
  <c r="AD11" i="7"/>
  <c r="AG11" i="7" s="1"/>
  <c r="U11" i="7"/>
  <c r="T11" i="7"/>
  <c r="S11" i="7"/>
  <c r="R11" i="7"/>
  <c r="H11" i="7"/>
  <c r="G11" i="7"/>
  <c r="F11" i="7"/>
  <c r="I11" i="7" s="1"/>
  <c r="AG10" i="7"/>
  <c r="AF10" i="7"/>
  <c r="AE10" i="7"/>
  <c r="AD10" i="7"/>
  <c r="T10" i="7"/>
  <c r="S10" i="7"/>
  <c r="R10" i="7"/>
  <c r="U10" i="7" s="1"/>
  <c r="I10" i="7"/>
  <c r="H10" i="7"/>
  <c r="G10" i="7"/>
  <c r="F10" i="7"/>
  <c r="AF9" i="7"/>
  <c r="AE9" i="7"/>
  <c r="AD9" i="7"/>
  <c r="AG9" i="7" s="1"/>
  <c r="U9" i="7"/>
  <c r="T9" i="7"/>
  <c r="S9" i="7"/>
  <c r="R9" i="7"/>
  <c r="H9" i="7"/>
  <c r="G9" i="7"/>
  <c r="F9" i="7"/>
  <c r="I9" i="7" s="1"/>
  <c r="AG8" i="7"/>
  <c r="AF8" i="7"/>
  <c r="AE8" i="7"/>
  <c r="AD8" i="7"/>
  <c r="T8" i="7"/>
  <c r="S8" i="7"/>
  <c r="R8" i="7"/>
  <c r="U8" i="7" s="1"/>
  <c r="I8" i="7"/>
  <c r="H8" i="7"/>
  <c r="G8" i="7"/>
  <c r="F8" i="7"/>
  <c r="AF7" i="7"/>
  <c r="AE7" i="7"/>
  <c r="AD7" i="7"/>
  <c r="AG7" i="7" s="1"/>
  <c r="T7" i="7"/>
  <c r="S7" i="7"/>
  <c r="R7" i="7"/>
  <c r="U7" i="7" s="1"/>
  <c r="H7" i="7"/>
  <c r="G7" i="7"/>
  <c r="F7" i="7"/>
  <c r="I7" i="7" s="1"/>
  <c r="J27" i="7" s="1"/>
  <c r="K27" i="7" s="1"/>
  <c r="O10" i="44" s="1"/>
  <c r="AB3" i="7"/>
  <c r="AA3" i="7"/>
  <c r="Z3" i="7"/>
  <c r="P3" i="7"/>
  <c r="O3" i="7"/>
  <c r="N3" i="7"/>
  <c r="D3" i="7"/>
  <c r="C3" i="7"/>
  <c r="B3" i="7"/>
  <c r="M2" i="7"/>
  <c r="A2" i="7"/>
  <c r="AG41" i="6"/>
  <c r="AF41" i="6"/>
  <c r="AE41" i="6"/>
  <c r="AD41" i="6"/>
  <c r="T41" i="6"/>
  <c r="S41" i="6"/>
  <c r="R41" i="6"/>
  <c r="U41" i="6" s="1"/>
  <c r="I41" i="6"/>
  <c r="H41" i="6"/>
  <c r="G41" i="6"/>
  <c r="F41" i="6"/>
  <c r="AF40" i="6"/>
  <c r="AE40" i="6"/>
  <c r="AD40" i="6"/>
  <c r="AG40" i="6" s="1"/>
  <c r="U40" i="6"/>
  <c r="T40" i="6"/>
  <c r="S40" i="6"/>
  <c r="R40" i="6"/>
  <c r="H40" i="6"/>
  <c r="G40" i="6"/>
  <c r="F40" i="6"/>
  <c r="I40" i="6" s="1"/>
  <c r="AG39" i="6"/>
  <c r="AF39" i="6"/>
  <c r="AE39" i="6"/>
  <c r="AD39" i="6"/>
  <c r="T39" i="6"/>
  <c r="S39" i="6"/>
  <c r="R39" i="6"/>
  <c r="U39" i="6" s="1"/>
  <c r="I39" i="6"/>
  <c r="H39" i="6"/>
  <c r="G39" i="6"/>
  <c r="F39" i="6"/>
  <c r="AF38" i="6"/>
  <c r="AE38" i="6"/>
  <c r="AD38" i="6"/>
  <c r="AG38" i="6" s="1"/>
  <c r="U38" i="6"/>
  <c r="T38" i="6"/>
  <c r="S38" i="6"/>
  <c r="R38" i="6"/>
  <c r="H38" i="6"/>
  <c r="G38" i="6"/>
  <c r="F38" i="6"/>
  <c r="I38" i="6" s="1"/>
  <c r="AF37" i="6"/>
  <c r="AE37" i="6"/>
  <c r="AD37" i="6"/>
  <c r="AG37" i="6" s="1"/>
  <c r="U37" i="6"/>
  <c r="T37" i="6"/>
  <c r="S37" i="6"/>
  <c r="R37" i="6"/>
  <c r="H37" i="6"/>
  <c r="G37" i="6"/>
  <c r="F37" i="6"/>
  <c r="I37" i="6" s="1"/>
  <c r="AG36" i="6"/>
  <c r="AF36" i="6"/>
  <c r="AE36" i="6"/>
  <c r="AD36" i="6"/>
  <c r="T36" i="6"/>
  <c r="S36" i="6"/>
  <c r="R36" i="6"/>
  <c r="U36" i="6" s="1"/>
  <c r="I36" i="6"/>
  <c r="H36" i="6"/>
  <c r="G36" i="6"/>
  <c r="F36" i="6"/>
  <c r="AF35" i="6"/>
  <c r="AE35" i="6"/>
  <c r="AD35" i="6"/>
  <c r="AG35" i="6" s="1"/>
  <c r="T35" i="6"/>
  <c r="S35" i="6"/>
  <c r="R35" i="6"/>
  <c r="U35" i="6" s="1"/>
  <c r="V35" i="6" s="1"/>
  <c r="W37" i="6" s="1"/>
  <c r="Q9" i="45" s="1"/>
  <c r="R9" i="45" s="1"/>
  <c r="I35" i="6"/>
  <c r="H35" i="6"/>
  <c r="G35" i="6"/>
  <c r="F35" i="6"/>
  <c r="AF34" i="6"/>
  <c r="AE34" i="6"/>
  <c r="AD34" i="6"/>
  <c r="AG34" i="6" s="1"/>
  <c r="U34" i="6"/>
  <c r="T34" i="6"/>
  <c r="S34" i="6"/>
  <c r="R34" i="6"/>
  <c r="H34" i="6"/>
  <c r="G34" i="6"/>
  <c r="F34" i="6"/>
  <c r="I34" i="6" s="1"/>
  <c r="J35" i="6" s="1"/>
  <c r="K37" i="6" s="1"/>
  <c r="Q9" i="44" s="1"/>
  <c r="AG31" i="6"/>
  <c r="AF31" i="6"/>
  <c r="AE31" i="6"/>
  <c r="AD31" i="6"/>
  <c r="T31" i="6"/>
  <c r="S31" i="6"/>
  <c r="R31" i="6"/>
  <c r="U31" i="6" s="1"/>
  <c r="H31" i="6"/>
  <c r="G31" i="6"/>
  <c r="F31" i="6"/>
  <c r="I31" i="6" s="1"/>
  <c r="AF30" i="6"/>
  <c r="AE30" i="6"/>
  <c r="AD30" i="6"/>
  <c r="AG30" i="6" s="1"/>
  <c r="T30" i="6"/>
  <c r="S30" i="6"/>
  <c r="R30" i="6"/>
  <c r="U30" i="6" s="1"/>
  <c r="H30" i="6"/>
  <c r="G30" i="6"/>
  <c r="F30" i="6"/>
  <c r="I30" i="6" s="1"/>
  <c r="AF29" i="6"/>
  <c r="AE29" i="6"/>
  <c r="AD29" i="6"/>
  <c r="AG29" i="6" s="1"/>
  <c r="T29" i="6"/>
  <c r="S29" i="6"/>
  <c r="R29" i="6"/>
  <c r="U29" i="6" s="1"/>
  <c r="H29" i="6"/>
  <c r="G29" i="6"/>
  <c r="F29" i="6"/>
  <c r="I29" i="6" s="1"/>
  <c r="AF28" i="6"/>
  <c r="AE28" i="6"/>
  <c r="AD28" i="6"/>
  <c r="AG28" i="6" s="1"/>
  <c r="T28" i="6"/>
  <c r="S28" i="6"/>
  <c r="R28" i="6"/>
  <c r="U28" i="6" s="1"/>
  <c r="H28" i="6"/>
  <c r="G28" i="6"/>
  <c r="F28" i="6"/>
  <c r="I28" i="6" s="1"/>
  <c r="AF27" i="6"/>
  <c r="AE27" i="6"/>
  <c r="AD27" i="6"/>
  <c r="AG27" i="6" s="1"/>
  <c r="T27" i="6"/>
  <c r="S27" i="6"/>
  <c r="R27" i="6"/>
  <c r="U27" i="6" s="1"/>
  <c r="I27" i="6"/>
  <c r="H27" i="6"/>
  <c r="G27" i="6"/>
  <c r="F27" i="6"/>
  <c r="AF26" i="6"/>
  <c r="AE26" i="6"/>
  <c r="AD26" i="6"/>
  <c r="AG26" i="6" s="1"/>
  <c r="U26" i="6"/>
  <c r="T26" i="6"/>
  <c r="S26" i="6"/>
  <c r="R26" i="6"/>
  <c r="H26" i="6"/>
  <c r="G26" i="6"/>
  <c r="F26" i="6"/>
  <c r="I26" i="6" s="1"/>
  <c r="AG25" i="6"/>
  <c r="AF25" i="6"/>
  <c r="AE25" i="6"/>
  <c r="AD25" i="6"/>
  <c r="T25" i="6"/>
  <c r="S25" i="6"/>
  <c r="R25" i="6"/>
  <c r="U25" i="6" s="1"/>
  <c r="I25" i="6"/>
  <c r="H25" i="6"/>
  <c r="G25" i="6"/>
  <c r="F25" i="6"/>
  <c r="AF24" i="6"/>
  <c r="AE24" i="6"/>
  <c r="AD24" i="6"/>
  <c r="AG24" i="6" s="1"/>
  <c r="U24" i="6"/>
  <c r="T24" i="6"/>
  <c r="S24" i="6"/>
  <c r="R24" i="6"/>
  <c r="H24" i="6"/>
  <c r="G24" i="6"/>
  <c r="F24" i="6"/>
  <c r="I24" i="6" s="1"/>
  <c r="AG23" i="6"/>
  <c r="AF23" i="6"/>
  <c r="AE23" i="6"/>
  <c r="AD23" i="6"/>
  <c r="T23" i="6"/>
  <c r="S23" i="6"/>
  <c r="R23" i="6"/>
  <c r="U23" i="6" s="1"/>
  <c r="I23" i="6"/>
  <c r="H23" i="6"/>
  <c r="G23" i="6"/>
  <c r="F23" i="6"/>
  <c r="AF22" i="6"/>
  <c r="AE22" i="6"/>
  <c r="AD22" i="6"/>
  <c r="AG22" i="6" s="1"/>
  <c r="T22" i="6"/>
  <c r="S22" i="6"/>
  <c r="R22" i="6"/>
  <c r="U22" i="6" s="1"/>
  <c r="H22" i="6"/>
  <c r="G22" i="6"/>
  <c r="F22" i="6"/>
  <c r="I22" i="6" s="1"/>
  <c r="AG21" i="6"/>
  <c r="AF21" i="6"/>
  <c r="AE21" i="6"/>
  <c r="AD21" i="6"/>
  <c r="T21" i="6"/>
  <c r="S21" i="6"/>
  <c r="R21" i="6"/>
  <c r="U21" i="6" s="1"/>
  <c r="H21" i="6"/>
  <c r="G21" i="6"/>
  <c r="F21" i="6"/>
  <c r="I21" i="6" s="1"/>
  <c r="AF20" i="6"/>
  <c r="AE20" i="6"/>
  <c r="AD20" i="6"/>
  <c r="AG20" i="6" s="1"/>
  <c r="T20" i="6"/>
  <c r="S20" i="6"/>
  <c r="R20" i="6"/>
  <c r="U20" i="6" s="1"/>
  <c r="H20" i="6"/>
  <c r="G20" i="6"/>
  <c r="F20" i="6"/>
  <c r="I20" i="6" s="1"/>
  <c r="AF19" i="6"/>
  <c r="AE19" i="6"/>
  <c r="AD19" i="6"/>
  <c r="AG19" i="6" s="1"/>
  <c r="T19" i="6"/>
  <c r="S19" i="6"/>
  <c r="R19" i="6"/>
  <c r="U19" i="6" s="1"/>
  <c r="H19" i="6"/>
  <c r="G19" i="6"/>
  <c r="F19" i="6"/>
  <c r="I19" i="6" s="1"/>
  <c r="AF18" i="6"/>
  <c r="AE18" i="6"/>
  <c r="AD18" i="6"/>
  <c r="AG18" i="6" s="1"/>
  <c r="T18" i="6"/>
  <c r="S18" i="6"/>
  <c r="R18" i="6"/>
  <c r="U18" i="6" s="1"/>
  <c r="H18" i="6"/>
  <c r="G18" i="6"/>
  <c r="F18" i="6"/>
  <c r="I18" i="6" s="1"/>
  <c r="AG17" i="6"/>
  <c r="AF17" i="6"/>
  <c r="AE17" i="6"/>
  <c r="AD17" i="6"/>
  <c r="U17" i="6"/>
  <c r="T17" i="6"/>
  <c r="S17" i="6"/>
  <c r="R17" i="6"/>
  <c r="H17" i="6"/>
  <c r="G17" i="6"/>
  <c r="F17" i="6"/>
  <c r="I17" i="6" s="1"/>
  <c r="AF16" i="6"/>
  <c r="AE16" i="6"/>
  <c r="AD16" i="6"/>
  <c r="AG16" i="6" s="1"/>
  <c r="T16" i="6"/>
  <c r="S16" i="6"/>
  <c r="R16" i="6"/>
  <c r="U16" i="6" s="1"/>
  <c r="H16" i="6"/>
  <c r="G16" i="6"/>
  <c r="F16" i="6"/>
  <c r="I16" i="6" s="1"/>
  <c r="AF15" i="6"/>
  <c r="AE15" i="6"/>
  <c r="AD15" i="6"/>
  <c r="AG15" i="6" s="1"/>
  <c r="U15" i="6"/>
  <c r="T15" i="6"/>
  <c r="S15" i="6"/>
  <c r="R15" i="6"/>
  <c r="H15" i="6"/>
  <c r="G15" i="6"/>
  <c r="F15" i="6"/>
  <c r="I15" i="6" s="1"/>
  <c r="AF14" i="6"/>
  <c r="AE14" i="6"/>
  <c r="AD14" i="6"/>
  <c r="AG14" i="6" s="1"/>
  <c r="T14" i="6"/>
  <c r="S14" i="6"/>
  <c r="R14" i="6"/>
  <c r="U14" i="6" s="1"/>
  <c r="I14" i="6"/>
  <c r="H14" i="6"/>
  <c r="G14" i="6"/>
  <c r="F14" i="6"/>
  <c r="AF13" i="6"/>
  <c r="AE13" i="6"/>
  <c r="AD13" i="6"/>
  <c r="AG13" i="6" s="1"/>
  <c r="U13" i="6"/>
  <c r="T13" i="6"/>
  <c r="S13" i="6"/>
  <c r="R13" i="6"/>
  <c r="H13" i="6"/>
  <c r="G13" i="6"/>
  <c r="F13" i="6"/>
  <c r="I13" i="6" s="1"/>
  <c r="AF12" i="6"/>
  <c r="AE12" i="6"/>
  <c r="AD12" i="6"/>
  <c r="AG12" i="6" s="1"/>
  <c r="AH22" i="6" s="1"/>
  <c r="U12" i="6"/>
  <c r="T12" i="6"/>
  <c r="S12" i="6"/>
  <c r="R12" i="6"/>
  <c r="H12" i="6"/>
  <c r="G12" i="6"/>
  <c r="F12" i="6"/>
  <c r="I12" i="6" s="1"/>
  <c r="AF11" i="6"/>
  <c r="AE11" i="6"/>
  <c r="AD11" i="6"/>
  <c r="AG11" i="6" s="1"/>
  <c r="AH12" i="6" s="1"/>
  <c r="T11" i="6"/>
  <c r="S11" i="6"/>
  <c r="R11" i="6"/>
  <c r="U11" i="6" s="1"/>
  <c r="H11" i="6"/>
  <c r="G11" i="6"/>
  <c r="F11" i="6"/>
  <c r="I11" i="6" s="1"/>
  <c r="AF10" i="6"/>
  <c r="AE10" i="6"/>
  <c r="AD10" i="6"/>
  <c r="AG10" i="6" s="1"/>
  <c r="T10" i="6"/>
  <c r="S10" i="6"/>
  <c r="R10" i="6"/>
  <c r="U10" i="6" s="1"/>
  <c r="V27" i="6" s="1"/>
  <c r="W27" i="6" s="1"/>
  <c r="O9" i="45" s="1"/>
  <c r="P9" i="45" s="1"/>
  <c r="H10" i="6"/>
  <c r="G10" i="6"/>
  <c r="F10" i="6"/>
  <c r="I10" i="6" s="1"/>
  <c r="J27" i="6" s="1"/>
  <c r="K27" i="6" s="1"/>
  <c r="O9" i="44" s="1"/>
  <c r="AF9" i="6"/>
  <c r="AE9" i="6"/>
  <c r="AD9" i="6"/>
  <c r="AG9" i="6" s="1"/>
  <c r="U9" i="6"/>
  <c r="V7" i="6" s="1"/>
  <c r="W7" i="6" s="1"/>
  <c r="T9" i="6"/>
  <c r="S9" i="6"/>
  <c r="R9" i="6"/>
  <c r="H9" i="6"/>
  <c r="G9" i="6"/>
  <c r="F9" i="6"/>
  <c r="I9" i="6" s="1"/>
  <c r="AG8" i="6"/>
  <c r="AF8" i="6"/>
  <c r="AE8" i="6"/>
  <c r="AD8" i="6"/>
  <c r="T8" i="6"/>
  <c r="S8" i="6"/>
  <c r="R8" i="6"/>
  <c r="U8" i="6" s="1"/>
  <c r="H8" i="6"/>
  <c r="G8" i="6"/>
  <c r="F8" i="6"/>
  <c r="I8" i="6" s="1"/>
  <c r="AF7" i="6"/>
  <c r="AE7" i="6"/>
  <c r="AD7" i="6"/>
  <c r="AG7" i="6" s="1"/>
  <c r="T7" i="6"/>
  <c r="S7" i="6"/>
  <c r="R7" i="6"/>
  <c r="U7" i="6" s="1"/>
  <c r="I7" i="6"/>
  <c r="H7" i="6"/>
  <c r="G7" i="6"/>
  <c r="F7" i="6"/>
  <c r="AB3" i="6"/>
  <c r="AA3" i="6"/>
  <c r="Z3" i="6"/>
  <c r="P3" i="6"/>
  <c r="O3" i="6"/>
  <c r="N3" i="6"/>
  <c r="D3" i="6"/>
  <c r="C3" i="6"/>
  <c r="B3" i="6"/>
  <c r="M2" i="6"/>
  <c r="A2" i="6"/>
  <c r="AG41" i="5"/>
  <c r="AF41" i="5"/>
  <c r="AE41" i="5"/>
  <c r="AD41" i="5"/>
  <c r="T41" i="5"/>
  <c r="S41" i="5"/>
  <c r="R41" i="5"/>
  <c r="U41" i="5" s="1"/>
  <c r="I41" i="5"/>
  <c r="H41" i="5"/>
  <c r="G41" i="5"/>
  <c r="F41" i="5"/>
  <c r="AF40" i="5"/>
  <c r="AE40" i="5"/>
  <c r="AD40" i="5"/>
  <c r="AG40" i="5" s="1"/>
  <c r="U40" i="5"/>
  <c r="T40" i="5"/>
  <c r="S40" i="5"/>
  <c r="R40" i="5"/>
  <c r="H40" i="5"/>
  <c r="G40" i="5"/>
  <c r="F40" i="5"/>
  <c r="I40" i="5" s="1"/>
  <c r="AG39" i="5"/>
  <c r="AF39" i="5"/>
  <c r="AE39" i="5"/>
  <c r="AD39" i="5"/>
  <c r="T39" i="5"/>
  <c r="S39" i="5"/>
  <c r="R39" i="5"/>
  <c r="U39" i="5" s="1"/>
  <c r="I39" i="5"/>
  <c r="H39" i="5"/>
  <c r="G39" i="5"/>
  <c r="F39" i="5"/>
  <c r="AF38" i="5"/>
  <c r="AE38" i="5"/>
  <c r="AD38" i="5"/>
  <c r="AG38" i="5" s="1"/>
  <c r="U38" i="5"/>
  <c r="T38" i="5"/>
  <c r="S38" i="5"/>
  <c r="R38" i="5"/>
  <c r="H38" i="5"/>
  <c r="G38" i="5"/>
  <c r="F38" i="5"/>
  <c r="I38" i="5" s="1"/>
  <c r="AG37" i="5"/>
  <c r="AF37" i="5"/>
  <c r="AE37" i="5"/>
  <c r="AD37" i="5"/>
  <c r="T37" i="5"/>
  <c r="S37" i="5"/>
  <c r="R37" i="5"/>
  <c r="U37" i="5" s="1"/>
  <c r="H37" i="5"/>
  <c r="G37" i="5"/>
  <c r="F37" i="5"/>
  <c r="I37" i="5" s="1"/>
  <c r="AF36" i="5"/>
  <c r="AE36" i="5"/>
  <c r="AD36" i="5"/>
  <c r="AG36" i="5" s="1"/>
  <c r="T36" i="5"/>
  <c r="S36" i="5"/>
  <c r="R36" i="5"/>
  <c r="U36" i="5" s="1"/>
  <c r="I36" i="5"/>
  <c r="H36" i="5"/>
  <c r="G36" i="5"/>
  <c r="F36" i="5"/>
  <c r="AF35" i="5"/>
  <c r="AE35" i="5"/>
  <c r="AD35" i="5"/>
  <c r="AG35" i="5" s="1"/>
  <c r="U35" i="5"/>
  <c r="V35" i="5" s="1"/>
  <c r="W37" i="5" s="1"/>
  <c r="Q8" i="45" s="1"/>
  <c r="R8" i="45" s="1"/>
  <c r="T35" i="5"/>
  <c r="S35" i="5"/>
  <c r="R35" i="5"/>
  <c r="H35" i="5"/>
  <c r="G35" i="5"/>
  <c r="F35" i="5"/>
  <c r="I35" i="5" s="1"/>
  <c r="AG34" i="5"/>
  <c r="AF34" i="5"/>
  <c r="AE34" i="5"/>
  <c r="AD34" i="5"/>
  <c r="T34" i="5"/>
  <c r="S34" i="5"/>
  <c r="R34" i="5"/>
  <c r="U34" i="5" s="1"/>
  <c r="I34" i="5"/>
  <c r="H34" i="5"/>
  <c r="G34" i="5"/>
  <c r="F34" i="5"/>
  <c r="AF31" i="5"/>
  <c r="AE31" i="5"/>
  <c r="AD31" i="5"/>
  <c r="AG31" i="5" s="1"/>
  <c r="T31" i="5"/>
  <c r="S31" i="5"/>
  <c r="R31" i="5"/>
  <c r="U31" i="5" s="1"/>
  <c r="I31" i="5"/>
  <c r="H31" i="5"/>
  <c r="G31" i="5"/>
  <c r="F31" i="5"/>
  <c r="AF30" i="5"/>
  <c r="AE30" i="5"/>
  <c r="AD30" i="5"/>
  <c r="AG30" i="5" s="1"/>
  <c r="U30" i="5"/>
  <c r="T30" i="5"/>
  <c r="S30" i="5"/>
  <c r="R30" i="5"/>
  <c r="H30" i="5"/>
  <c r="G30" i="5"/>
  <c r="F30" i="5"/>
  <c r="I30" i="5" s="1"/>
  <c r="AG29" i="5"/>
  <c r="AF29" i="5"/>
  <c r="AE29" i="5"/>
  <c r="AD29" i="5"/>
  <c r="T29" i="5"/>
  <c r="S29" i="5"/>
  <c r="R29" i="5"/>
  <c r="U29" i="5" s="1"/>
  <c r="H29" i="5"/>
  <c r="G29" i="5"/>
  <c r="F29" i="5"/>
  <c r="I29" i="5" s="1"/>
  <c r="AF28" i="5"/>
  <c r="AE28" i="5"/>
  <c r="AD28" i="5"/>
  <c r="AG28" i="5" s="1"/>
  <c r="T28" i="5"/>
  <c r="S28" i="5"/>
  <c r="R28" i="5"/>
  <c r="U28" i="5" s="1"/>
  <c r="H28" i="5"/>
  <c r="G28" i="5"/>
  <c r="F28" i="5"/>
  <c r="I28" i="5" s="1"/>
  <c r="AF27" i="5"/>
  <c r="AE27" i="5"/>
  <c r="AD27" i="5"/>
  <c r="AG27" i="5" s="1"/>
  <c r="U27" i="5"/>
  <c r="T27" i="5"/>
  <c r="S27" i="5"/>
  <c r="R27" i="5"/>
  <c r="H27" i="5"/>
  <c r="G27" i="5"/>
  <c r="F27" i="5"/>
  <c r="I27" i="5" s="1"/>
  <c r="AF26" i="5"/>
  <c r="AE26" i="5"/>
  <c r="AD26" i="5"/>
  <c r="AG26" i="5" s="1"/>
  <c r="T26" i="5"/>
  <c r="S26" i="5"/>
  <c r="R26" i="5"/>
  <c r="U26" i="5" s="1"/>
  <c r="H26" i="5"/>
  <c r="G26" i="5"/>
  <c r="F26" i="5"/>
  <c r="I26" i="5" s="1"/>
  <c r="AF25" i="5"/>
  <c r="AE25" i="5"/>
  <c r="AD25" i="5"/>
  <c r="AG25" i="5" s="1"/>
  <c r="T25" i="5"/>
  <c r="S25" i="5"/>
  <c r="R25" i="5"/>
  <c r="U25" i="5" s="1"/>
  <c r="I25" i="5"/>
  <c r="H25" i="5"/>
  <c r="G25" i="5"/>
  <c r="F25" i="5"/>
  <c r="AF24" i="5"/>
  <c r="AE24" i="5"/>
  <c r="AD24" i="5"/>
  <c r="AG24" i="5" s="1"/>
  <c r="T24" i="5"/>
  <c r="S24" i="5"/>
  <c r="R24" i="5"/>
  <c r="U24" i="5" s="1"/>
  <c r="H24" i="5"/>
  <c r="G24" i="5"/>
  <c r="F24" i="5"/>
  <c r="I24" i="5" s="1"/>
  <c r="AF23" i="5"/>
  <c r="AE23" i="5"/>
  <c r="AD23" i="5"/>
  <c r="AG23" i="5" s="1"/>
  <c r="AH27" i="5" s="1"/>
  <c r="T23" i="5"/>
  <c r="S23" i="5"/>
  <c r="R23" i="5"/>
  <c r="U23" i="5" s="1"/>
  <c r="H23" i="5"/>
  <c r="G23" i="5"/>
  <c r="F23" i="5"/>
  <c r="I23" i="5" s="1"/>
  <c r="AF22" i="5"/>
  <c r="AE22" i="5"/>
  <c r="AD22" i="5"/>
  <c r="AG22" i="5" s="1"/>
  <c r="T22" i="5"/>
  <c r="S22" i="5"/>
  <c r="R22" i="5"/>
  <c r="U22" i="5" s="1"/>
  <c r="I22" i="5"/>
  <c r="H22" i="5"/>
  <c r="G22" i="5"/>
  <c r="F22" i="5"/>
  <c r="AF21" i="5"/>
  <c r="AE21" i="5"/>
  <c r="AD21" i="5"/>
  <c r="AG21" i="5" s="1"/>
  <c r="U21" i="5"/>
  <c r="T21" i="5"/>
  <c r="S21" i="5"/>
  <c r="R21" i="5"/>
  <c r="H21" i="5"/>
  <c r="G21" i="5"/>
  <c r="F21" i="5"/>
  <c r="I21" i="5" s="1"/>
  <c r="AG20" i="5"/>
  <c r="AF20" i="5"/>
  <c r="AE20" i="5"/>
  <c r="AD20" i="5"/>
  <c r="T20" i="5"/>
  <c r="S20" i="5"/>
  <c r="R20" i="5"/>
  <c r="U20" i="5" s="1"/>
  <c r="I20" i="5"/>
  <c r="H20" i="5"/>
  <c r="G20" i="5"/>
  <c r="F20" i="5"/>
  <c r="AF19" i="5"/>
  <c r="AE19" i="5"/>
  <c r="AD19" i="5"/>
  <c r="AG19" i="5" s="1"/>
  <c r="T19" i="5"/>
  <c r="S19" i="5"/>
  <c r="R19" i="5"/>
  <c r="U19" i="5" s="1"/>
  <c r="H19" i="5"/>
  <c r="G19" i="5"/>
  <c r="F19" i="5"/>
  <c r="I19" i="5" s="1"/>
  <c r="AF18" i="5"/>
  <c r="AE18" i="5"/>
  <c r="AD18" i="5"/>
  <c r="AG18" i="5" s="1"/>
  <c r="AH12" i="5" s="1"/>
  <c r="G8" i="46" s="1"/>
  <c r="H8" i="46" s="1"/>
  <c r="T18" i="5"/>
  <c r="S18" i="5"/>
  <c r="R18" i="5"/>
  <c r="U18" i="5" s="1"/>
  <c r="I18" i="5"/>
  <c r="H18" i="5"/>
  <c r="G18" i="5"/>
  <c r="F18" i="5"/>
  <c r="AG17" i="5"/>
  <c r="AF17" i="5"/>
  <c r="AE17" i="5"/>
  <c r="AD17" i="5"/>
  <c r="T17" i="5"/>
  <c r="S17" i="5"/>
  <c r="R17" i="5"/>
  <c r="U17" i="5" s="1"/>
  <c r="H17" i="5"/>
  <c r="G17" i="5"/>
  <c r="F17" i="5"/>
  <c r="I17" i="5" s="1"/>
  <c r="AF16" i="5"/>
  <c r="AE16" i="5"/>
  <c r="AD16" i="5"/>
  <c r="AG16" i="5" s="1"/>
  <c r="AH17" i="5" s="1"/>
  <c r="T16" i="5"/>
  <c r="S16" i="5"/>
  <c r="R16" i="5"/>
  <c r="U16" i="5" s="1"/>
  <c r="H16" i="5"/>
  <c r="G16" i="5"/>
  <c r="F16" i="5"/>
  <c r="I16" i="5" s="1"/>
  <c r="AF15" i="5"/>
  <c r="AE15" i="5"/>
  <c r="AD15" i="5"/>
  <c r="AG15" i="5" s="1"/>
  <c r="T15" i="5"/>
  <c r="S15" i="5"/>
  <c r="R15" i="5"/>
  <c r="U15" i="5" s="1"/>
  <c r="H15" i="5"/>
  <c r="G15" i="5"/>
  <c r="F15" i="5"/>
  <c r="I15" i="5" s="1"/>
  <c r="AF14" i="5"/>
  <c r="AE14" i="5"/>
  <c r="AD14" i="5"/>
  <c r="AG14" i="5" s="1"/>
  <c r="T14" i="5"/>
  <c r="S14" i="5"/>
  <c r="R14" i="5"/>
  <c r="U14" i="5" s="1"/>
  <c r="H14" i="5"/>
  <c r="G14" i="5"/>
  <c r="F14" i="5"/>
  <c r="I14" i="5" s="1"/>
  <c r="AF13" i="5"/>
  <c r="AE13" i="5"/>
  <c r="AD13" i="5"/>
  <c r="AG13" i="5" s="1"/>
  <c r="U13" i="5"/>
  <c r="T13" i="5"/>
  <c r="S13" i="5"/>
  <c r="R13" i="5"/>
  <c r="H13" i="5"/>
  <c r="G13" i="5"/>
  <c r="F13" i="5"/>
  <c r="I13" i="5" s="1"/>
  <c r="AG12" i="5"/>
  <c r="AF12" i="5"/>
  <c r="AE12" i="5"/>
  <c r="AD12" i="5"/>
  <c r="T12" i="5"/>
  <c r="S12" i="5"/>
  <c r="R12" i="5"/>
  <c r="U12" i="5" s="1"/>
  <c r="H12" i="5"/>
  <c r="G12" i="5"/>
  <c r="F12" i="5"/>
  <c r="I12" i="5" s="1"/>
  <c r="AG11" i="5"/>
  <c r="AF11" i="5"/>
  <c r="AE11" i="5"/>
  <c r="AD11" i="5"/>
  <c r="T11" i="5"/>
  <c r="S11" i="5"/>
  <c r="R11" i="5"/>
  <c r="U11" i="5" s="1"/>
  <c r="H11" i="5"/>
  <c r="G11" i="5"/>
  <c r="F11" i="5"/>
  <c r="I11" i="5" s="1"/>
  <c r="AF10" i="5"/>
  <c r="AE10" i="5"/>
  <c r="AD10" i="5"/>
  <c r="AG10" i="5" s="1"/>
  <c r="U10" i="5"/>
  <c r="T10" i="5"/>
  <c r="S10" i="5"/>
  <c r="R10" i="5"/>
  <c r="H10" i="5"/>
  <c r="G10" i="5"/>
  <c r="F10" i="5"/>
  <c r="I10" i="5" s="1"/>
  <c r="AG9" i="5"/>
  <c r="AF9" i="5"/>
  <c r="AE9" i="5"/>
  <c r="AD9" i="5"/>
  <c r="T9" i="5"/>
  <c r="S9" i="5"/>
  <c r="R9" i="5"/>
  <c r="U9" i="5" s="1"/>
  <c r="H9" i="5"/>
  <c r="G9" i="5"/>
  <c r="F9" i="5"/>
  <c r="I9" i="5" s="1"/>
  <c r="AF8" i="5"/>
  <c r="AE8" i="5"/>
  <c r="AD8" i="5"/>
  <c r="AG8" i="5" s="1"/>
  <c r="U8" i="5"/>
  <c r="T8" i="5"/>
  <c r="S8" i="5"/>
  <c r="R8" i="5"/>
  <c r="H8" i="5"/>
  <c r="G8" i="5"/>
  <c r="F8" i="5"/>
  <c r="I8" i="5" s="1"/>
  <c r="AF7" i="5"/>
  <c r="AE7" i="5"/>
  <c r="AD7" i="5"/>
  <c r="AG7" i="5" s="1"/>
  <c r="U7" i="5"/>
  <c r="T7" i="5"/>
  <c r="S7" i="5"/>
  <c r="R7" i="5"/>
  <c r="H7" i="5"/>
  <c r="G7" i="5"/>
  <c r="F7" i="5"/>
  <c r="I7" i="5" s="1"/>
  <c r="AB3" i="5"/>
  <c r="AA3" i="5"/>
  <c r="Z3" i="5"/>
  <c r="P3" i="5"/>
  <c r="O3" i="5"/>
  <c r="N3" i="5"/>
  <c r="D3" i="5"/>
  <c r="C3" i="5"/>
  <c r="B3" i="5"/>
  <c r="M2" i="5"/>
  <c r="A2" i="5"/>
  <c r="AF41" i="4"/>
  <c r="AE41" i="4"/>
  <c r="AD41" i="4"/>
  <c r="AG41" i="4" s="1"/>
  <c r="U41" i="4"/>
  <c r="T41" i="4"/>
  <c r="S41" i="4"/>
  <c r="R41" i="4"/>
  <c r="H41" i="4"/>
  <c r="G41" i="4"/>
  <c r="F41" i="4"/>
  <c r="I41" i="4" s="1"/>
  <c r="AG40" i="4"/>
  <c r="AF40" i="4"/>
  <c r="AE40" i="4"/>
  <c r="AD40" i="4"/>
  <c r="T40" i="4"/>
  <c r="S40" i="4"/>
  <c r="R40" i="4"/>
  <c r="U40" i="4" s="1"/>
  <c r="I40" i="4"/>
  <c r="H40" i="4"/>
  <c r="G40" i="4"/>
  <c r="F40" i="4"/>
  <c r="AF39" i="4"/>
  <c r="AE39" i="4"/>
  <c r="AD39" i="4"/>
  <c r="AG39" i="4" s="1"/>
  <c r="U39" i="4"/>
  <c r="T39" i="4"/>
  <c r="S39" i="4"/>
  <c r="R39" i="4"/>
  <c r="H39" i="4"/>
  <c r="G39" i="4"/>
  <c r="F39" i="4"/>
  <c r="I39" i="4" s="1"/>
  <c r="AG38" i="4"/>
  <c r="AF38" i="4"/>
  <c r="AE38" i="4"/>
  <c r="AD38" i="4"/>
  <c r="T38" i="4"/>
  <c r="S38" i="4"/>
  <c r="R38" i="4"/>
  <c r="U38" i="4" s="1"/>
  <c r="I38" i="4"/>
  <c r="H38" i="4"/>
  <c r="G38" i="4"/>
  <c r="F38" i="4"/>
  <c r="AF37" i="4"/>
  <c r="AE37" i="4"/>
  <c r="AD37" i="4"/>
  <c r="AG37" i="4" s="1"/>
  <c r="AH35" i="4" s="1"/>
  <c r="AI37" i="4" s="1"/>
  <c r="T37" i="4"/>
  <c r="S37" i="4"/>
  <c r="R37" i="4"/>
  <c r="U37" i="4" s="1"/>
  <c r="I37" i="4"/>
  <c r="H37" i="4"/>
  <c r="G37" i="4"/>
  <c r="F37" i="4"/>
  <c r="AF36" i="4"/>
  <c r="AE36" i="4"/>
  <c r="AD36" i="4"/>
  <c r="AG36" i="4" s="1"/>
  <c r="U36" i="4"/>
  <c r="T36" i="4"/>
  <c r="S36" i="4"/>
  <c r="R36" i="4"/>
  <c r="H36" i="4"/>
  <c r="G36" i="4"/>
  <c r="F36" i="4"/>
  <c r="I36" i="4" s="1"/>
  <c r="AG35" i="4"/>
  <c r="AF35" i="4"/>
  <c r="AE35" i="4"/>
  <c r="AD35" i="4"/>
  <c r="U35" i="4"/>
  <c r="V35" i="4" s="1"/>
  <c r="W37" i="4" s="1"/>
  <c r="Q7" i="45" s="1"/>
  <c r="R7" i="45" s="1"/>
  <c r="T35" i="4"/>
  <c r="S35" i="4"/>
  <c r="R35" i="4"/>
  <c r="H35" i="4"/>
  <c r="G35" i="4"/>
  <c r="F35" i="4"/>
  <c r="I35" i="4" s="1"/>
  <c r="AG34" i="4"/>
  <c r="AF34" i="4"/>
  <c r="AE34" i="4"/>
  <c r="AD34" i="4"/>
  <c r="T34" i="4"/>
  <c r="S34" i="4"/>
  <c r="R34" i="4"/>
  <c r="U34" i="4" s="1"/>
  <c r="I34" i="4"/>
  <c r="H34" i="4"/>
  <c r="G34" i="4"/>
  <c r="F34" i="4"/>
  <c r="AF31" i="4"/>
  <c r="AE31" i="4"/>
  <c r="AD31" i="4"/>
  <c r="AG31" i="4" s="1"/>
  <c r="U31" i="4"/>
  <c r="T31" i="4"/>
  <c r="S31" i="4"/>
  <c r="R31" i="4"/>
  <c r="H31" i="4"/>
  <c r="G31" i="4"/>
  <c r="F31" i="4"/>
  <c r="I31" i="4" s="1"/>
  <c r="AF30" i="4"/>
  <c r="AE30" i="4"/>
  <c r="AD30" i="4"/>
  <c r="AG30" i="4" s="1"/>
  <c r="U30" i="4"/>
  <c r="T30" i="4"/>
  <c r="S30" i="4"/>
  <c r="R30" i="4"/>
  <c r="H30" i="4"/>
  <c r="G30" i="4"/>
  <c r="F30" i="4"/>
  <c r="I30" i="4" s="1"/>
  <c r="AG29" i="4"/>
  <c r="AF29" i="4"/>
  <c r="AE29" i="4"/>
  <c r="AD29" i="4"/>
  <c r="T29" i="4"/>
  <c r="S29" i="4"/>
  <c r="R29" i="4"/>
  <c r="U29" i="4" s="1"/>
  <c r="I29" i="4"/>
  <c r="H29" i="4"/>
  <c r="G29" i="4"/>
  <c r="F29" i="4"/>
  <c r="AF28" i="4"/>
  <c r="AE28" i="4"/>
  <c r="AD28" i="4"/>
  <c r="AG28" i="4" s="1"/>
  <c r="T28" i="4"/>
  <c r="S28" i="4"/>
  <c r="R28" i="4"/>
  <c r="U28" i="4" s="1"/>
  <c r="H28" i="4"/>
  <c r="G28" i="4"/>
  <c r="F28" i="4"/>
  <c r="I28" i="4" s="1"/>
  <c r="AG27" i="4"/>
  <c r="AF27" i="4"/>
  <c r="AE27" i="4"/>
  <c r="AD27" i="4"/>
  <c r="T27" i="4"/>
  <c r="S27" i="4"/>
  <c r="R27" i="4"/>
  <c r="U27" i="4" s="1"/>
  <c r="H27" i="4"/>
  <c r="G27" i="4"/>
  <c r="F27" i="4"/>
  <c r="I27" i="4" s="1"/>
  <c r="AG26" i="4"/>
  <c r="AF26" i="4"/>
  <c r="AE26" i="4"/>
  <c r="AD26" i="4"/>
  <c r="T26" i="4"/>
  <c r="S26" i="4"/>
  <c r="R26" i="4"/>
  <c r="U26" i="4" s="1"/>
  <c r="I26" i="4"/>
  <c r="H26" i="4"/>
  <c r="G26" i="4"/>
  <c r="F26" i="4"/>
  <c r="AF25" i="4"/>
  <c r="AE25" i="4"/>
  <c r="AD25" i="4"/>
  <c r="AG25" i="4" s="1"/>
  <c r="U25" i="4"/>
  <c r="T25" i="4"/>
  <c r="S25" i="4"/>
  <c r="R25" i="4"/>
  <c r="H25" i="4"/>
  <c r="G25" i="4"/>
  <c r="F25" i="4"/>
  <c r="I25" i="4" s="1"/>
  <c r="AF24" i="4"/>
  <c r="AE24" i="4"/>
  <c r="AD24" i="4"/>
  <c r="AG24" i="4" s="1"/>
  <c r="T24" i="4"/>
  <c r="S24" i="4"/>
  <c r="R24" i="4"/>
  <c r="U24" i="4" s="1"/>
  <c r="I24" i="4"/>
  <c r="H24" i="4"/>
  <c r="G24" i="4"/>
  <c r="F24" i="4"/>
  <c r="AF23" i="4"/>
  <c r="AE23" i="4"/>
  <c r="AD23" i="4"/>
  <c r="AG23" i="4" s="1"/>
  <c r="U23" i="4"/>
  <c r="T23" i="4"/>
  <c r="S23" i="4"/>
  <c r="R23" i="4"/>
  <c r="H23" i="4"/>
  <c r="G23" i="4"/>
  <c r="F23" i="4"/>
  <c r="I23" i="4" s="1"/>
  <c r="AF22" i="4"/>
  <c r="AE22" i="4"/>
  <c r="AD22" i="4"/>
  <c r="AG22" i="4" s="1"/>
  <c r="U22" i="4"/>
  <c r="T22" i="4"/>
  <c r="S22" i="4"/>
  <c r="R22" i="4"/>
  <c r="H22" i="4"/>
  <c r="G22" i="4"/>
  <c r="F22" i="4"/>
  <c r="I22" i="4" s="1"/>
  <c r="AF21" i="4"/>
  <c r="AE21" i="4"/>
  <c r="AD21" i="4"/>
  <c r="AG21" i="4" s="1"/>
  <c r="U21" i="4"/>
  <c r="T21" i="4"/>
  <c r="S21" i="4"/>
  <c r="R21" i="4"/>
  <c r="H21" i="4"/>
  <c r="G21" i="4"/>
  <c r="F21" i="4"/>
  <c r="I21" i="4" s="1"/>
  <c r="AG20" i="4"/>
  <c r="AF20" i="4"/>
  <c r="AE20" i="4"/>
  <c r="AD20" i="4"/>
  <c r="T20" i="4"/>
  <c r="S20" i="4"/>
  <c r="R20" i="4"/>
  <c r="U20" i="4" s="1"/>
  <c r="H20" i="4"/>
  <c r="G20" i="4"/>
  <c r="F20" i="4"/>
  <c r="I20" i="4" s="1"/>
  <c r="AF19" i="4"/>
  <c r="AE19" i="4"/>
  <c r="AD19" i="4"/>
  <c r="AG19" i="4" s="1"/>
  <c r="T19" i="4"/>
  <c r="S19" i="4"/>
  <c r="R19" i="4"/>
  <c r="U19" i="4" s="1"/>
  <c r="H19" i="4"/>
  <c r="G19" i="4"/>
  <c r="F19" i="4"/>
  <c r="I19" i="4" s="1"/>
  <c r="AF18" i="4"/>
  <c r="AE18" i="4"/>
  <c r="AD18" i="4"/>
  <c r="AG18" i="4" s="1"/>
  <c r="T18" i="4"/>
  <c r="S18" i="4"/>
  <c r="R18" i="4"/>
  <c r="U18" i="4" s="1"/>
  <c r="H18" i="4"/>
  <c r="G18" i="4"/>
  <c r="F18" i="4"/>
  <c r="I18" i="4" s="1"/>
  <c r="AF17" i="4"/>
  <c r="AE17" i="4"/>
  <c r="AD17" i="4"/>
  <c r="AG17" i="4" s="1"/>
  <c r="T17" i="4"/>
  <c r="S17" i="4"/>
  <c r="R17" i="4"/>
  <c r="U17" i="4" s="1"/>
  <c r="I17" i="4"/>
  <c r="H17" i="4"/>
  <c r="G17" i="4"/>
  <c r="F17" i="4"/>
  <c r="AF16" i="4"/>
  <c r="AE16" i="4"/>
  <c r="AD16" i="4"/>
  <c r="AG16" i="4" s="1"/>
  <c r="T16" i="4"/>
  <c r="S16" i="4"/>
  <c r="R16" i="4"/>
  <c r="U16" i="4" s="1"/>
  <c r="H16" i="4"/>
  <c r="G16" i="4"/>
  <c r="F16" i="4"/>
  <c r="I16" i="4" s="1"/>
  <c r="AG15" i="4"/>
  <c r="AF15" i="4"/>
  <c r="AE15" i="4"/>
  <c r="AD15" i="4"/>
  <c r="T15" i="4"/>
  <c r="S15" i="4"/>
  <c r="R15" i="4"/>
  <c r="U15" i="4" s="1"/>
  <c r="I15" i="4"/>
  <c r="H15" i="4"/>
  <c r="G15" i="4"/>
  <c r="F15" i="4"/>
  <c r="AF14" i="4"/>
  <c r="AE14" i="4"/>
  <c r="AD14" i="4"/>
  <c r="AG14" i="4" s="1"/>
  <c r="U14" i="4"/>
  <c r="T14" i="4"/>
  <c r="S14" i="4"/>
  <c r="R14" i="4"/>
  <c r="H14" i="4"/>
  <c r="G14" i="4"/>
  <c r="F14" i="4"/>
  <c r="I14" i="4" s="1"/>
  <c r="AF13" i="4"/>
  <c r="AE13" i="4"/>
  <c r="AD13" i="4"/>
  <c r="AG13" i="4" s="1"/>
  <c r="T13" i="4"/>
  <c r="S13" i="4"/>
  <c r="R13" i="4"/>
  <c r="U13" i="4" s="1"/>
  <c r="H13" i="4"/>
  <c r="G13" i="4"/>
  <c r="F13" i="4"/>
  <c r="I13" i="4" s="1"/>
  <c r="AG12" i="4"/>
  <c r="AH22" i="4" s="1"/>
  <c r="AF12" i="4"/>
  <c r="AE12" i="4"/>
  <c r="AD12" i="4"/>
  <c r="T12" i="4"/>
  <c r="S12" i="4"/>
  <c r="R12" i="4"/>
  <c r="U12" i="4" s="1"/>
  <c r="V22" i="4" s="1"/>
  <c r="W22" i="4" s="1"/>
  <c r="K7" i="45" s="1"/>
  <c r="L7" i="45" s="1"/>
  <c r="H12" i="4"/>
  <c r="G12" i="4"/>
  <c r="F12" i="4"/>
  <c r="I12" i="4" s="1"/>
  <c r="AF11" i="4"/>
  <c r="AE11" i="4"/>
  <c r="AD11" i="4"/>
  <c r="AG11" i="4" s="1"/>
  <c r="T11" i="4"/>
  <c r="S11" i="4"/>
  <c r="R11" i="4"/>
  <c r="U11" i="4" s="1"/>
  <c r="H11" i="4"/>
  <c r="G11" i="4"/>
  <c r="F11" i="4"/>
  <c r="I11" i="4" s="1"/>
  <c r="AF10" i="4"/>
  <c r="AE10" i="4"/>
  <c r="AD10" i="4"/>
  <c r="AG10" i="4" s="1"/>
  <c r="T10" i="4"/>
  <c r="S10" i="4"/>
  <c r="R10" i="4"/>
  <c r="U10" i="4" s="1"/>
  <c r="H10" i="4"/>
  <c r="G10" i="4"/>
  <c r="F10" i="4"/>
  <c r="I10" i="4" s="1"/>
  <c r="AG9" i="4"/>
  <c r="AF9" i="4"/>
  <c r="AE9" i="4"/>
  <c r="AD9" i="4"/>
  <c r="T9" i="4"/>
  <c r="S9" i="4"/>
  <c r="R9" i="4"/>
  <c r="U9" i="4" s="1"/>
  <c r="H9" i="4"/>
  <c r="G9" i="4"/>
  <c r="F9" i="4"/>
  <c r="I9" i="4" s="1"/>
  <c r="AF8" i="4"/>
  <c r="AE8" i="4"/>
  <c r="AD8" i="4"/>
  <c r="AG8" i="4" s="1"/>
  <c r="U8" i="4"/>
  <c r="T8" i="4"/>
  <c r="S8" i="4"/>
  <c r="R8" i="4"/>
  <c r="H8" i="4"/>
  <c r="G8" i="4"/>
  <c r="F8" i="4"/>
  <c r="I8" i="4" s="1"/>
  <c r="AG7" i="4"/>
  <c r="AH27" i="4" s="1"/>
  <c r="AF7" i="4"/>
  <c r="AE7" i="4"/>
  <c r="AD7" i="4"/>
  <c r="T7" i="4"/>
  <c r="S7" i="4"/>
  <c r="R7" i="4"/>
  <c r="U7" i="4" s="1"/>
  <c r="V27" i="4" s="1"/>
  <c r="W27" i="4" s="1"/>
  <c r="O7" i="45" s="1"/>
  <c r="P7" i="45" s="1"/>
  <c r="H7" i="4"/>
  <c r="G7" i="4"/>
  <c r="F7" i="4"/>
  <c r="I7" i="4" s="1"/>
  <c r="AB3" i="4"/>
  <c r="AA3" i="4"/>
  <c r="Z3" i="4"/>
  <c r="P3" i="4"/>
  <c r="O3" i="4"/>
  <c r="N3" i="4"/>
  <c r="K3" i="4"/>
  <c r="D3" i="4"/>
  <c r="C3" i="4"/>
  <c r="B3" i="4"/>
  <c r="M2" i="4"/>
  <c r="A2" i="4"/>
  <c r="L34" i="1"/>
  <c r="B3" i="1"/>
  <c r="AH17" i="30" l="1"/>
  <c r="V12" i="30"/>
  <c r="W12" i="30" s="1"/>
  <c r="G33" i="45" s="1"/>
  <c r="H33" i="45" s="1"/>
  <c r="J12" i="30"/>
  <c r="K12" i="30" s="1"/>
  <c r="G33" i="44" s="1"/>
  <c r="J17" i="30"/>
  <c r="K17" i="30" s="1"/>
  <c r="I33" i="44" s="1"/>
  <c r="J27" i="30"/>
  <c r="K27" i="30" s="1"/>
  <c r="O33" i="44" s="1"/>
  <c r="AH12" i="29"/>
  <c r="G32" i="46" s="1"/>
  <c r="H32" i="46" s="1"/>
  <c r="AH17" i="29"/>
  <c r="I32" i="46" s="1"/>
  <c r="J32" i="46" s="1"/>
  <c r="V17" i="29"/>
  <c r="W17" i="29" s="1"/>
  <c r="I32" i="45" s="1"/>
  <c r="J32" i="45" s="1"/>
  <c r="J22" i="29"/>
  <c r="K22" i="29" s="1"/>
  <c r="K32" i="44" s="1"/>
  <c r="AH12" i="28"/>
  <c r="G31" i="46" s="1"/>
  <c r="H31" i="46" s="1"/>
  <c r="AH7" i="28"/>
  <c r="E31" i="46" s="1"/>
  <c r="V22" i="28"/>
  <c r="W22" i="28" s="1"/>
  <c r="K31" i="45" s="1"/>
  <c r="L31" i="45" s="1"/>
  <c r="J22" i="28"/>
  <c r="K22" i="28" s="1"/>
  <c r="K31" i="44" s="1"/>
  <c r="J7" i="28"/>
  <c r="K7" i="28" s="1"/>
  <c r="E31" i="44" s="1"/>
  <c r="AH27" i="27"/>
  <c r="O30" i="46" s="1"/>
  <c r="P30" i="46" s="1"/>
  <c r="V22" i="27"/>
  <c r="W22" i="27" s="1"/>
  <c r="K30" i="45" s="1"/>
  <c r="L30" i="45" s="1"/>
  <c r="V12" i="27"/>
  <c r="W12" i="27" s="1"/>
  <c r="G30" i="45" s="1"/>
  <c r="H30" i="45" s="1"/>
  <c r="V17" i="27"/>
  <c r="W17" i="27" s="1"/>
  <c r="I30" i="45" s="1"/>
  <c r="J30" i="45" s="1"/>
  <c r="J7" i="27"/>
  <c r="K7" i="27" s="1"/>
  <c r="AH12" i="26"/>
  <c r="AI12" i="26" s="1"/>
  <c r="V12" i="26"/>
  <c r="W12" i="26" s="1"/>
  <c r="G29" i="45" s="1"/>
  <c r="H29" i="45" s="1"/>
  <c r="J22" i="26"/>
  <c r="K22" i="26" s="1"/>
  <c r="K29" i="44" s="1"/>
  <c r="L29" i="44" s="1"/>
  <c r="J17" i="26"/>
  <c r="K17" i="26" s="1"/>
  <c r="I29" i="44" s="1"/>
  <c r="J7" i="26"/>
  <c r="K7" i="26" s="1"/>
  <c r="E29" i="44" s="1"/>
  <c r="AH12" i="25"/>
  <c r="G28" i="46" s="1"/>
  <c r="H28" i="46" s="1"/>
  <c r="AH7" i="25"/>
  <c r="E28" i="46" s="1"/>
  <c r="V7" i="25"/>
  <c r="W7" i="25" s="1"/>
  <c r="V22" i="25"/>
  <c r="W22" i="25" s="1"/>
  <c r="K28" i="45" s="1"/>
  <c r="L28" i="45" s="1"/>
  <c r="V17" i="25"/>
  <c r="W17" i="25" s="1"/>
  <c r="I28" i="45" s="1"/>
  <c r="J28" i="45" s="1"/>
  <c r="AH7" i="24"/>
  <c r="AI7" i="24" s="1"/>
  <c r="AH22" i="24"/>
  <c r="K27" i="46" s="1"/>
  <c r="L27" i="46" s="1"/>
  <c r="V22" i="24"/>
  <c r="W22" i="24" s="1"/>
  <c r="K27" i="45" s="1"/>
  <c r="L27" i="45" s="1"/>
  <c r="V17" i="24"/>
  <c r="W17" i="24" s="1"/>
  <c r="I27" i="45" s="1"/>
  <c r="J27" i="45" s="1"/>
  <c r="J17" i="24"/>
  <c r="K17" i="24" s="1"/>
  <c r="I27" i="44" s="1"/>
  <c r="J12" i="24"/>
  <c r="K12" i="24" s="1"/>
  <c r="G27" i="44" s="1"/>
  <c r="H27" i="44" s="1"/>
  <c r="J7" i="24"/>
  <c r="K7" i="24" s="1"/>
  <c r="E27" i="44" s="1"/>
  <c r="AH7" i="23"/>
  <c r="E26" i="46" s="1"/>
  <c r="V7" i="23"/>
  <c r="W7" i="23" s="1"/>
  <c r="E26" i="45" s="1"/>
  <c r="V12" i="23"/>
  <c r="W12" i="23" s="1"/>
  <c r="G26" i="45" s="1"/>
  <c r="H26" i="45" s="1"/>
  <c r="J17" i="23"/>
  <c r="K17" i="23" s="1"/>
  <c r="I26" i="44" s="1"/>
  <c r="J7" i="23"/>
  <c r="K7" i="23" s="1"/>
  <c r="E26" i="44" s="1"/>
  <c r="J12" i="23"/>
  <c r="K12" i="23" s="1"/>
  <c r="G26" i="44" s="1"/>
  <c r="H26" i="44" s="1"/>
  <c r="AH22" i="22"/>
  <c r="K25" i="46" s="1"/>
  <c r="L25" i="46" s="1"/>
  <c r="AH17" i="22"/>
  <c r="V7" i="22"/>
  <c r="W7" i="22" s="1"/>
  <c r="V12" i="22"/>
  <c r="W12" i="22" s="1"/>
  <c r="G25" i="45" s="1"/>
  <c r="H25" i="45" s="1"/>
  <c r="V17" i="22"/>
  <c r="W17" i="22" s="1"/>
  <c r="I25" i="45" s="1"/>
  <c r="J25" i="45" s="1"/>
  <c r="J22" i="22"/>
  <c r="K22" i="22" s="1"/>
  <c r="K25" i="44" s="1"/>
  <c r="L25" i="44" s="1"/>
  <c r="J17" i="22"/>
  <c r="K17" i="22" s="1"/>
  <c r="I25" i="44" s="1"/>
  <c r="AH12" i="21"/>
  <c r="AI12" i="21" s="1"/>
  <c r="AH22" i="21"/>
  <c r="V22" i="21"/>
  <c r="W22" i="21" s="1"/>
  <c r="K24" i="45" s="1"/>
  <c r="L24" i="45" s="1"/>
  <c r="J12" i="21"/>
  <c r="K12" i="21" s="1"/>
  <c r="G24" i="44" s="1"/>
  <c r="H24" i="44" s="1"/>
  <c r="J22" i="21"/>
  <c r="K22" i="21" s="1"/>
  <c r="K24" i="44" s="1"/>
  <c r="L24" i="44" s="1"/>
  <c r="J17" i="21"/>
  <c r="K17" i="21" s="1"/>
  <c r="I24" i="44" s="1"/>
  <c r="J24" i="44" s="1"/>
  <c r="AH17" i="20"/>
  <c r="AH22" i="20"/>
  <c r="AH7" i="20"/>
  <c r="E23" i="46" s="1"/>
  <c r="F23" i="46" s="1"/>
  <c r="AH27" i="20"/>
  <c r="O23" i="46" s="1"/>
  <c r="P23" i="46" s="1"/>
  <c r="J17" i="20"/>
  <c r="K17" i="20" s="1"/>
  <c r="I23" i="44" s="1"/>
  <c r="J23" i="44" s="1"/>
  <c r="J12" i="20"/>
  <c r="K12" i="20" s="1"/>
  <c r="G23" i="44" s="1"/>
  <c r="H23" i="44" s="1"/>
  <c r="AH12" i="19"/>
  <c r="G22" i="46" s="1"/>
  <c r="H22" i="46" s="1"/>
  <c r="V17" i="19"/>
  <c r="W17" i="19" s="1"/>
  <c r="I22" i="45" s="1"/>
  <c r="J22" i="45" s="1"/>
  <c r="V12" i="19"/>
  <c r="W12" i="19" s="1"/>
  <c r="G22" i="45" s="1"/>
  <c r="H22" i="45" s="1"/>
  <c r="J12" i="19"/>
  <c r="K12" i="19" s="1"/>
  <c r="G22" i="44" s="1"/>
  <c r="AH12" i="18"/>
  <c r="G21" i="46" s="1"/>
  <c r="H21" i="46" s="1"/>
  <c r="AH17" i="18"/>
  <c r="J7" i="18"/>
  <c r="K7" i="18" s="1"/>
  <c r="J12" i="18"/>
  <c r="K12" i="18" s="1"/>
  <c r="G21" i="44" s="1"/>
  <c r="J17" i="18"/>
  <c r="K17" i="18" s="1"/>
  <c r="I21" i="44" s="1"/>
  <c r="AH7" i="17"/>
  <c r="E20" i="46" s="1"/>
  <c r="V7" i="17"/>
  <c r="W7" i="17" s="1"/>
  <c r="E20" i="45" s="1"/>
  <c r="V22" i="16"/>
  <c r="W22" i="16" s="1"/>
  <c r="K19" i="45" s="1"/>
  <c r="L19" i="45" s="1"/>
  <c r="AH22" i="14"/>
  <c r="AH17" i="14"/>
  <c r="AH12" i="14"/>
  <c r="AI12" i="14" s="1"/>
  <c r="V17" i="14"/>
  <c r="W17" i="14" s="1"/>
  <c r="I17" i="45" s="1"/>
  <c r="J17" i="45" s="1"/>
  <c r="V12" i="14"/>
  <c r="W12" i="14" s="1"/>
  <c r="G17" i="45" s="1"/>
  <c r="H17" i="45" s="1"/>
  <c r="J22" i="14"/>
  <c r="K22" i="14" s="1"/>
  <c r="K17" i="44" s="1"/>
  <c r="J7" i="14"/>
  <c r="K7" i="14" s="1"/>
  <c r="J17" i="14"/>
  <c r="K17" i="14" s="1"/>
  <c r="I17" i="44" s="1"/>
  <c r="AH35" i="6"/>
  <c r="AI37" i="6" s="1"/>
  <c r="AH22" i="13"/>
  <c r="AH12" i="13"/>
  <c r="G16" i="46" s="1"/>
  <c r="H16" i="46" s="1"/>
  <c r="AH7" i="13"/>
  <c r="V22" i="13"/>
  <c r="W22" i="13" s="1"/>
  <c r="K16" i="45" s="1"/>
  <c r="L16" i="45" s="1"/>
  <c r="V7" i="13"/>
  <c r="W7" i="13" s="1"/>
  <c r="J22" i="13"/>
  <c r="K22" i="13" s="1"/>
  <c r="K16" i="44" s="1"/>
  <c r="J17" i="13"/>
  <c r="K17" i="13" s="1"/>
  <c r="I16" i="44" s="1"/>
  <c r="J12" i="13"/>
  <c r="K12" i="13" s="1"/>
  <c r="G16" i="44" s="1"/>
  <c r="AH22" i="12"/>
  <c r="AH7" i="12"/>
  <c r="E15" i="46" s="1"/>
  <c r="AH12" i="12"/>
  <c r="AI12" i="12" s="1"/>
  <c r="V22" i="12"/>
  <c r="W22" i="12" s="1"/>
  <c r="K15" i="45" s="1"/>
  <c r="L15" i="45" s="1"/>
  <c r="V27" i="12"/>
  <c r="W27" i="12" s="1"/>
  <c r="O15" i="45" s="1"/>
  <c r="P15" i="45" s="1"/>
  <c r="V17" i="12"/>
  <c r="W17" i="12" s="1"/>
  <c r="I15" i="45" s="1"/>
  <c r="J15" i="45" s="1"/>
  <c r="J12" i="12"/>
  <c r="K12" i="12" s="1"/>
  <c r="G15" i="44" s="1"/>
  <c r="AH22" i="11"/>
  <c r="AH17" i="11"/>
  <c r="V12" i="11"/>
  <c r="W12" i="11" s="1"/>
  <c r="G14" i="45" s="1"/>
  <c r="H14" i="45" s="1"/>
  <c r="V17" i="11"/>
  <c r="W17" i="11" s="1"/>
  <c r="I14" i="45" s="1"/>
  <c r="J14" i="45" s="1"/>
  <c r="J22" i="11"/>
  <c r="K22" i="11" s="1"/>
  <c r="K14" i="44" s="1"/>
  <c r="J7" i="11"/>
  <c r="K7" i="11" s="1"/>
  <c r="J12" i="11"/>
  <c r="K12" i="11" s="1"/>
  <c r="G14" i="44" s="1"/>
  <c r="H14" i="44" s="1"/>
  <c r="AH7" i="15"/>
  <c r="V17" i="15"/>
  <c r="W17" i="15" s="1"/>
  <c r="I18" i="45" s="1"/>
  <c r="J18" i="45" s="1"/>
  <c r="V12" i="15"/>
  <c r="W12" i="15" s="1"/>
  <c r="G18" i="45" s="1"/>
  <c r="H18" i="45" s="1"/>
  <c r="V22" i="15"/>
  <c r="W22" i="15" s="1"/>
  <c r="K18" i="45" s="1"/>
  <c r="L18" i="45" s="1"/>
  <c r="AH17" i="10"/>
  <c r="AH12" i="10"/>
  <c r="V12" i="10"/>
  <c r="W12" i="10" s="1"/>
  <c r="G13" i="45" s="1"/>
  <c r="H13" i="45" s="1"/>
  <c r="J22" i="10"/>
  <c r="K22" i="10" s="1"/>
  <c r="K13" i="44" s="1"/>
  <c r="J7" i="10"/>
  <c r="K7" i="10" s="1"/>
  <c r="E13" i="44" s="1"/>
  <c r="AH7" i="9"/>
  <c r="AH12" i="9"/>
  <c r="V17" i="9"/>
  <c r="W17" i="9" s="1"/>
  <c r="I12" i="45" s="1"/>
  <c r="J12" i="45" s="1"/>
  <c r="V22" i="9"/>
  <c r="W22" i="9" s="1"/>
  <c r="K12" i="45" s="1"/>
  <c r="L12" i="45" s="1"/>
  <c r="V7" i="9"/>
  <c r="W7" i="9" s="1"/>
  <c r="V22" i="8"/>
  <c r="W22" i="8" s="1"/>
  <c r="K11" i="45" s="1"/>
  <c r="L11" i="45" s="1"/>
  <c r="J12" i="8"/>
  <c r="K12" i="8" s="1"/>
  <c r="G11" i="44" s="1"/>
  <c r="J17" i="8"/>
  <c r="K17" i="8" s="1"/>
  <c r="I11" i="44" s="1"/>
  <c r="AH22" i="7"/>
  <c r="AH7" i="7"/>
  <c r="AH27" i="7"/>
  <c r="V17" i="7"/>
  <c r="W17" i="7" s="1"/>
  <c r="I10" i="45" s="1"/>
  <c r="J10" i="45" s="1"/>
  <c r="V12" i="7"/>
  <c r="W12" i="7" s="1"/>
  <c r="G10" i="45" s="1"/>
  <c r="H10" i="45" s="1"/>
  <c r="V7" i="7"/>
  <c r="W7" i="7" s="1"/>
  <c r="E10" i="45" s="1"/>
  <c r="J7" i="7"/>
  <c r="K7" i="7" s="1"/>
  <c r="AH17" i="6"/>
  <c r="V12" i="6"/>
  <c r="W12" i="6" s="1"/>
  <c r="G9" i="45" s="1"/>
  <c r="H9" i="45" s="1"/>
  <c r="J22" i="6"/>
  <c r="K22" i="6" s="1"/>
  <c r="K9" i="44" s="1"/>
  <c r="J7" i="6"/>
  <c r="K7" i="6" s="1"/>
  <c r="AH22" i="5"/>
  <c r="AH7" i="5"/>
  <c r="AI7" i="5" s="1"/>
  <c r="V22" i="5"/>
  <c r="W22" i="5" s="1"/>
  <c r="K8" i="45" s="1"/>
  <c r="L8" i="45" s="1"/>
  <c r="V27" i="5"/>
  <c r="W27" i="5" s="1"/>
  <c r="O8" i="45" s="1"/>
  <c r="P8" i="45" s="1"/>
  <c r="V7" i="5"/>
  <c r="W7" i="5" s="1"/>
  <c r="J22" i="5"/>
  <c r="K22" i="5" s="1"/>
  <c r="K8" i="44" s="1"/>
  <c r="J27" i="5"/>
  <c r="K27" i="5" s="1"/>
  <c r="O8" i="44" s="1"/>
  <c r="P8" i="44" s="1"/>
  <c r="J7" i="5"/>
  <c r="K7" i="5" s="1"/>
  <c r="E8" i="44" s="1"/>
  <c r="AH7" i="4"/>
  <c r="E7" i="46" s="1"/>
  <c r="J17" i="4"/>
  <c r="K17" i="4" s="1"/>
  <c r="I7" i="44" s="1"/>
  <c r="J7" i="44" s="1"/>
  <c r="E8" i="46"/>
  <c r="I9" i="46"/>
  <c r="J9" i="46" s="1"/>
  <c r="AI17" i="6"/>
  <c r="E10" i="44"/>
  <c r="E11" i="46"/>
  <c r="AI7" i="8"/>
  <c r="P12" i="44"/>
  <c r="E12" i="45"/>
  <c r="K14" i="46"/>
  <c r="L14" i="46" s="1"/>
  <c r="AI22" i="11"/>
  <c r="G15" i="46"/>
  <c r="H15" i="46" s="1"/>
  <c r="L16" i="44"/>
  <c r="I17" i="46"/>
  <c r="J17" i="46" s="1"/>
  <c r="AI17" i="14"/>
  <c r="E9" i="44"/>
  <c r="R10" i="44"/>
  <c r="J11" i="44"/>
  <c r="O11" i="46"/>
  <c r="P11" i="46" s="1"/>
  <c r="AI27" i="8"/>
  <c r="E13" i="45"/>
  <c r="E17" i="44"/>
  <c r="R21" i="44"/>
  <c r="E22" i="44"/>
  <c r="E11" i="44"/>
  <c r="I12" i="47"/>
  <c r="J12" i="47" s="1"/>
  <c r="J12" i="44"/>
  <c r="O15" i="46"/>
  <c r="P15" i="46" s="1"/>
  <c r="AI27" i="12"/>
  <c r="H15" i="44"/>
  <c r="E16" i="46"/>
  <c r="AI7" i="13"/>
  <c r="O16" i="46"/>
  <c r="P16" i="46" s="1"/>
  <c r="AI27" i="13"/>
  <c r="J16" i="44"/>
  <c r="G17" i="46"/>
  <c r="H17" i="46" s="1"/>
  <c r="E8" i="45"/>
  <c r="P17" i="44"/>
  <c r="I21" i="46"/>
  <c r="J21" i="46" s="1"/>
  <c r="AI17" i="18"/>
  <c r="G9" i="46"/>
  <c r="H9" i="46" s="1"/>
  <c r="AI12" i="6"/>
  <c r="P9" i="44"/>
  <c r="G12" i="46"/>
  <c r="H12" i="46" s="1"/>
  <c r="AI12" i="9"/>
  <c r="J17" i="5"/>
  <c r="K17" i="5" s="1"/>
  <c r="I8" i="44" s="1"/>
  <c r="P10" i="44"/>
  <c r="V17" i="8"/>
  <c r="W17" i="8" s="1"/>
  <c r="I11" i="45" s="1"/>
  <c r="J11" i="45" s="1"/>
  <c r="L12" i="44"/>
  <c r="P13" i="44"/>
  <c r="G13" i="46"/>
  <c r="H13" i="46" s="1"/>
  <c r="AI12" i="10"/>
  <c r="K15" i="46"/>
  <c r="L15" i="46" s="1"/>
  <c r="AI22" i="12"/>
  <c r="E16" i="45"/>
  <c r="E65526" i="46"/>
  <c r="AI7" i="4"/>
  <c r="AH12" i="4"/>
  <c r="AH35" i="8"/>
  <c r="AI37" i="8" s="1"/>
  <c r="I13" i="46"/>
  <c r="J13" i="46" s="1"/>
  <c r="AI17" i="10"/>
  <c r="R13" i="47"/>
  <c r="S13" i="47" s="1"/>
  <c r="R13" i="44"/>
  <c r="V17" i="4"/>
  <c r="W17" i="4" s="1"/>
  <c r="I7" i="45" s="1"/>
  <c r="J7" i="45" s="1"/>
  <c r="V7" i="4"/>
  <c r="W7" i="4" s="1"/>
  <c r="J12" i="4"/>
  <c r="K12" i="4" s="1"/>
  <c r="G7" i="44" s="1"/>
  <c r="J22" i="4"/>
  <c r="K22" i="4" s="1"/>
  <c r="K7" i="44" s="1"/>
  <c r="V12" i="5"/>
  <c r="W12" i="5" s="1"/>
  <c r="G8" i="45" s="1"/>
  <c r="H8" i="45" s="1"/>
  <c r="L8" i="44"/>
  <c r="L9" i="44"/>
  <c r="J12" i="7"/>
  <c r="K12" i="7" s="1"/>
  <c r="G10" i="44" s="1"/>
  <c r="AH22" i="8"/>
  <c r="J17" i="10"/>
  <c r="K17" i="10" s="1"/>
  <c r="I13" i="44" s="1"/>
  <c r="P14" i="44"/>
  <c r="J17" i="12"/>
  <c r="K17" i="12" s="1"/>
  <c r="I15" i="44" s="1"/>
  <c r="L17" i="44"/>
  <c r="O8" i="46"/>
  <c r="P8" i="46" s="1"/>
  <c r="AI27" i="5"/>
  <c r="O10" i="46"/>
  <c r="P10" i="46" s="1"/>
  <c r="AI27" i="7"/>
  <c r="O7" i="46"/>
  <c r="P7" i="46" s="1"/>
  <c r="AI27" i="4"/>
  <c r="R9" i="47"/>
  <c r="S9" i="47" s="1"/>
  <c r="R9" i="44"/>
  <c r="K10" i="46"/>
  <c r="L10" i="46" s="1"/>
  <c r="AI22" i="7"/>
  <c r="V27" i="9"/>
  <c r="W27" i="9" s="1"/>
  <c r="O12" i="45" s="1"/>
  <c r="P12" i="45" s="1"/>
  <c r="O12" i="46"/>
  <c r="P12" i="46" s="1"/>
  <c r="AI27" i="9"/>
  <c r="E12" i="46"/>
  <c r="AI7" i="9"/>
  <c r="L13" i="44"/>
  <c r="I14" i="46"/>
  <c r="J14" i="46" s="1"/>
  <c r="AI17" i="11"/>
  <c r="E18" i="46"/>
  <c r="AI7" i="15"/>
  <c r="E21" i="44"/>
  <c r="I8" i="46"/>
  <c r="J8" i="46" s="1"/>
  <c r="AI17" i="5"/>
  <c r="K7" i="46"/>
  <c r="L7" i="46" s="1"/>
  <c r="AI22" i="4"/>
  <c r="E9" i="45"/>
  <c r="AH17" i="7"/>
  <c r="H11" i="44"/>
  <c r="E14" i="44"/>
  <c r="R14" i="44"/>
  <c r="R16" i="47"/>
  <c r="S16" i="47" s="1"/>
  <c r="R16" i="44"/>
  <c r="R17" i="47"/>
  <c r="S17" i="47" s="1"/>
  <c r="R17" i="44"/>
  <c r="L21" i="44"/>
  <c r="V22" i="6"/>
  <c r="W22" i="6" s="1"/>
  <c r="K9" i="45" s="1"/>
  <c r="L9" i="45" s="1"/>
  <c r="V27" i="7"/>
  <c r="W27" i="7" s="1"/>
  <c r="O10" i="45" s="1"/>
  <c r="P10" i="45" s="1"/>
  <c r="F10" i="45"/>
  <c r="AH27" i="10"/>
  <c r="L14" i="44"/>
  <c r="J35" i="12"/>
  <c r="K37" i="12" s="1"/>
  <c r="Q15" i="44" s="1"/>
  <c r="H16" i="44"/>
  <c r="V22" i="14"/>
  <c r="W22" i="14" s="1"/>
  <c r="K17" i="45" s="1"/>
  <c r="L17" i="45" s="1"/>
  <c r="J7" i="15"/>
  <c r="K7" i="15" s="1"/>
  <c r="J12" i="15"/>
  <c r="K12" i="15" s="1"/>
  <c r="G18" i="44" s="1"/>
  <c r="AH12" i="15"/>
  <c r="J12" i="16"/>
  <c r="K12" i="16" s="1"/>
  <c r="G19" i="44" s="1"/>
  <c r="J22" i="16"/>
  <c r="K22" i="16" s="1"/>
  <c r="K19" i="44" s="1"/>
  <c r="V27" i="20"/>
  <c r="W27" i="20" s="1"/>
  <c r="O23" i="45" s="1"/>
  <c r="P23" i="45" s="1"/>
  <c r="I23" i="46"/>
  <c r="J23" i="46" s="1"/>
  <c r="AI17" i="20"/>
  <c r="R24" i="47"/>
  <c r="S24" i="47" s="1"/>
  <c r="R24" i="44"/>
  <c r="O26" i="46"/>
  <c r="P26" i="46" s="1"/>
  <c r="AI27" i="23"/>
  <c r="R26" i="44"/>
  <c r="J27" i="44"/>
  <c r="J29" i="44"/>
  <c r="E32" i="44"/>
  <c r="E10" i="46"/>
  <c r="AI7" i="7"/>
  <c r="V27" i="8"/>
  <c r="W27" i="8" s="1"/>
  <c r="O11" i="45" s="1"/>
  <c r="P11" i="45" s="1"/>
  <c r="G11" i="46"/>
  <c r="H11" i="46" s="1"/>
  <c r="AI12" i="8"/>
  <c r="I12" i="46"/>
  <c r="J12" i="46" s="1"/>
  <c r="AI17" i="9"/>
  <c r="J7" i="12"/>
  <c r="K7" i="12" s="1"/>
  <c r="V35" i="12"/>
  <c r="W37" i="12" s="1"/>
  <c r="Q15" i="45" s="1"/>
  <c r="R15" i="45" s="1"/>
  <c r="V12" i="13"/>
  <c r="W12" i="13" s="1"/>
  <c r="G16" i="45" s="1"/>
  <c r="H16" i="45" s="1"/>
  <c r="AH35" i="13"/>
  <c r="AI37" i="13" s="1"/>
  <c r="AH7" i="14"/>
  <c r="J7" i="16"/>
  <c r="K7" i="16" s="1"/>
  <c r="V12" i="16"/>
  <c r="W12" i="16" s="1"/>
  <c r="G19" i="45" s="1"/>
  <c r="H19" i="45" s="1"/>
  <c r="AH35" i="16"/>
  <c r="AI37" i="16" s="1"/>
  <c r="V17" i="17"/>
  <c r="W17" i="17" s="1"/>
  <c r="I20" i="45" s="1"/>
  <c r="J20" i="45" s="1"/>
  <c r="V12" i="18"/>
  <c r="W12" i="18" s="1"/>
  <c r="G21" i="45" s="1"/>
  <c r="H21" i="45" s="1"/>
  <c r="J22" i="19"/>
  <c r="K22" i="19" s="1"/>
  <c r="K22" i="44" s="1"/>
  <c r="K23" i="46"/>
  <c r="L23" i="46" s="1"/>
  <c r="AI22" i="20"/>
  <c r="O27" i="46"/>
  <c r="P27" i="46" s="1"/>
  <c r="AI27" i="24"/>
  <c r="E28" i="45"/>
  <c r="P29" i="44"/>
  <c r="J17" i="7"/>
  <c r="K17" i="7" s="1"/>
  <c r="I10" i="44" s="1"/>
  <c r="F13" i="44"/>
  <c r="AH27" i="11"/>
  <c r="AH12" i="11"/>
  <c r="F15" i="46"/>
  <c r="V7" i="12"/>
  <c r="W7" i="12" s="1"/>
  <c r="J27" i="13"/>
  <c r="K27" i="13" s="1"/>
  <c r="O16" i="44" s="1"/>
  <c r="K16" i="46"/>
  <c r="L16" i="46" s="1"/>
  <c r="AI22" i="13"/>
  <c r="J17" i="44"/>
  <c r="V35" i="15"/>
  <c r="W37" i="15" s="1"/>
  <c r="Q18" i="45" s="1"/>
  <c r="R18" i="45" s="1"/>
  <c r="AH7" i="16"/>
  <c r="AH17" i="17"/>
  <c r="V7" i="18"/>
  <c r="W7" i="18" s="1"/>
  <c r="R22" i="47"/>
  <c r="S22" i="47" s="1"/>
  <c r="R22" i="44"/>
  <c r="E24" i="46"/>
  <c r="AI7" i="21"/>
  <c r="P26" i="44"/>
  <c r="P28" i="44"/>
  <c r="O28" i="46"/>
  <c r="P28" i="46" s="1"/>
  <c r="AI27" i="25"/>
  <c r="AH7" i="6"/>
  <c r="J17" i="6"/>
  <c r="K17" i="6" s="1"/>
  <c r="I9" i="44" s="1"/>
  <c r="V35" i="11"/>
  <c r="W37" i="11" s="1"/>
  <c r="Q14" i="45" s="1"/>
  <c r="R14" i="45" s="1"/>
  <c r="E19" i="45"/>
  <c r="W31" i="16"/>
  <c r="J17" i="17"/>
  <c r="K17" i="17" s="1"/>
  <c r="I20" i="44" s="1"/>
  <c r="O21" i="46"/>
  <c r="P21" i="46" s="1"/>
  <c r="AI27" i="18"/>
  <c r="H21" i="44"/>
  <c r="O22" i="46"/>
  <c r="P22" i="46" s="1"/>
  <c r="AI27" i="19"/>
  <c r="AI12" i="19"/>
  <c r="H22" i="44"/>
  <c r="E24" i="44"/>
  <c r="R25" i="47"/>
  <c r="S25" i="47" s="1"/>
  <c r="R25" i="44"/>
  <c r="J35" i="5"/>
  <c r="K37" i="5" s="1"/>
  <c r="Q8" i="44" s="1"/>
  <c r="J12" i="10"/>
  <c r="K12" i="10" s="1"/>
  <c r="G13" i="44" s="1"/>
  <c r="J7" i="13"/>
  <c r="K7" i="13" s="1"/>
  <c r="E17" i="45"/>
  <c r="K17" i="46"/>
  <c r="L17" i="46" s="1"/>
  <c r="AI22" i="14"/>
  <c r="AH27" i="6"/>
  <c r="J22" i="7"/>
  <c r="K22" i="7" s="1"/>
  <c r="K10" i="44" s="1"/>
  <c r="J35" i="8"/>
  <c r="K37" i="8" s="1"/>
  <c r="Q11" i="44" s="1"/>
  <c r="J12" i="9"/>
  <c r="K12" i="9" s="1"/>
  <c r="G12" i="44" s="1"/>
  <c r="AH35" i="10"/>
  <c r="AI37" i="10" s="1"/>
  <c r="V27" i="11"/>
  <c r="W27" i="11" s="1"/>
  <c r="O14" i="45" s="1"/>
  <c r="P14" i="45" s="1"/>
  <c r="V7" i="11"/>
  <c r="W7" i="11" s="1"/>
  <c r="V17" i="13"/>
  <c r="W17" i="13" s="1"/>
  <c r="I16" i="45" s="1"/>
  <c r="J16" i="45" s="1"/>
  <c r="AI12" i="13"/>
  <c r="AH27" i="14"/>
  <c r="J27" i="15"/>
  <c r="K27" i="15" s="1"/>
  <c r="O18" i="44" s="1"/>
  <c r="AH27" i="15"/>
  <c r="J17" i="15"/>
  <c r="K17" i="15" s="1"/>
  <c r="I18" i="44" s="1"/>
  <c r="AH17" i="15"/>
  <c r="AH22" i="15"/>
  <c r="J35" i="15"/>
  <c r="K37" i="15" s="1"/>
  <c r="Q18" i="44" s="1"/>
  <c r="J19" i="44"/>
  <c r="AH12" i="17"/>
  <c r="J27" i="19"/>
  <c r="K27" i="19" s="1"/>
  <c r="O22" i="44" s="1"/>
  <c r="V22" i="19"/>
  <c r="W22" i="19" s="1"/>
  <c r="K22" i="45" s="1"/>
  <c r="L22" i="45" s="1"/>
  <c r="V7" i="21"/>
  <c r="W7" i="21" s="1"/>
  <c r="AI27" i="21"/>
  <c r="I25" i="46"/>
  <c r="J25" i="46" s="1"/>
  <c r="AI17" i="22"/>
  <c r="K26" i="46"/>
  <c r="L26" i="46" s="1"/>
  <c r="AI22" i="23"/>
  <c r="E29" i="45"/>
  <c r="J7" i="4"/>
  <c r="K7" i="4" s="1"/>
  <c r="AI12" i="5"/>
  <c r="J22" i="8"/>
  <c r="K22" i="8" s="1"/>
  <c r="K11" i="44" s="1"/>
  <c r="AH17" i="4"/>
  <c r="V17" i="6"/>
  <c r="W17" i="6" s="1"/>
  <c r="I9" i="45" s="1"/>
  <c r="J9" i="45" s="1"/>
  <c r="J27" i="8"/>
  <c r="K27" i="8" s="1"/>
  <c r="O11" i="44" s="1"/>
  <c r="V22" i="11"/>
  <c r="W22" i="11" s="1"/>
  <c r="K14" i="45" s="1"/>
  <c r="L14" i="45" s="1"/>
  <c r="V22" i="10"/>
  <c r="W22" i="10" s="1"/>
  <c r="K13" i="45" s="1"/>
  <c r="L13" i="45" s="1"/>
  <c r="J12" i="5"/>
  <c r="K12" i="5" s="1"/>
  <c r="G8" i="44" s="1"/>
  <c r="V35" i="8"/>
  <c r="W37" i="8" s="1"/>
  <c r="Q11" i="45" s="1"/>
  <c r="R11" i="45" s="1"/>
  <c r="V12" i="9"/>
  <c r="W12" i="9" s="1"/>
  <c r="G12" i="45" s="1"/>
  <c r="H12" i="45" s="1"/>
  <c r="AH35" i="9"/>
  <c r="AI37" i="9" s="1"/>
  <c r="AH7" i="10"/>
  <c r="AH7" i="11"/>
  <c r="AH17" i="13"/>
  <c r="J27" i="16"/>
  <c r="K27" i="16" s="1"/>
  <c r="O19" i="44" s="1"/>
  <c r="J22" i="17"/>
  <c r="K22" i="17" s="1"/>
  <c r="K20" i="44" s="1"/>
  <c r="V35" i="17"/>
  <c r="W37" i="17" s="1"/>
  <c r="Q20" i="45" s="1"/>
  <c r="R20" i="45" s="1"/>
  <c r="J27" i="18"/>
  <c r="K27" i="18" s="1"/>
  <c r="O21" i="44" s="1"/>
  <c r="AI17" i="19"/>
  <c r="AH12" i="20"/>
  <c r="J7" i="22"/>
  <c r="K7" i="22" s="1"/>
  <c r="AH17" i="23"/>
  <c r="AI22" i="24"/>
  <c r="AH35" i="24"/>
  <c r="AI37" i="24" s="1"/>
  <c r="J17" i="25"/>
  <c r="K17" i="25" s="1"/>
  <c r="I28" i="44" s="1"/>
  <c r="K8" i="46"/>
  <c r="L8" i="46" s="1"/>
  <c r="AI22" i="5"/>
  <c r="AH35" i="5"/>
  <c r="AI37" i="5" s="1"/>
  <c r="K9" i="46"/>
  <c r="L9" i="46" s="1"/>
  <c r="AI22" i="6"/>
  <c r="V12" i="8"/>
  <c r="W12" i="8" s="1"/>
  <c r="G11" i="45" s="1"/>
  <c r="H11" i="45" s="1"/>
  <c r="AI7" i="12"/>
  <c r="J35" i="4"/>
  <c r="K37" i="4" s="1"/>
  <c r="Q7" i="44" s="1"/>
  <c r="J27" i="4"/>
  <c r="K27" i="4" s="1"/>
  <c r="O7" i="44" s="1"/>
  <c r="AH12" i="7"/>
  <c r="V7" i="8"/>
  <c r="W7" i="8" s="1"/>
  <c r="AH22" i="9"/>
  <c r="J35" i="9"/>
  <c r="K37" i="9" s="1"/>
  <c r="Q12" i="44" s="1"/>
  <c r="J17" i="11"/>
  <c r="K17" i="11" s="1"/>
  <c r="I14" i="44" s="1"/>
  <c r="J22" i="12"/>
  <c r="K22" i="12" s="1"/>
  <c r="K15" i="44" s="1"/>
  <c r="AH22" i="16"/>
  <c r="J27" i="17"/>
  <c r="K27" i="17" s="1"/>
  <c r="O20" i="44" s="1"/>
  <c r="AH27" i="17"/>
  <c r="J21" i="44"/>
  <c r="V35" i="18"/>
  <c r="W37" i="18" s="1"/>
  <c r="Q21" i="45" s="1"/>
  <c r="R21" i="45" s="1"/>
  <c r="R23" i="44"/>
  <c r="E25" i="45"/>
  <c r="AH12" i="22"/>
  <c r="AH17" i="26"/>
  <c r="J12" i="27"/>
  <c r="K12" i="27" s="1"/>
  <c r="G30" i="44" s="1"/>
  <c r="V17" i="5"/>
  <c r="W17" i="5" s="1"/>
  <c r="I8" i="45" s="1"/>
  <c r="J8" i="45" s="1"/>
  <c r="AH17" i="12"/>
  <c r="V12" i="4"/>
  <c r="W12" i="4" s="1"/>
  <c r="G7" i="45" s="1"/>
  <c r="H7" i="45" s="1"/>
  <c r="J12" i="6"/>
  <c r="K12" i="6" s="1"/>
  <c r="G9" i="44" s="1"/>
  <c r="V22" i="7"/>
  <c r="W22" i="7" s="1"/>
  <c r="K10" i="45" s="1"/>
  <c r="L10" i="45" s="1"/>
  <c r="V35" i="7"/>
  <c r="W37" i="7" s="1"/>
  <c r="Q10" i="45" s="1"/>
  <c r="R10" i="45" s="1"/>
  <c r="AH17" i="8"/>
  <c r="J7" i="9"/>
  <c r="K7" i="9" s="1"/>
  <c r="V17" i="10"/>
  <c r="W17" i="10" s="1"/>
  <c r="I13" i="45" s="1"/>
  <c r="J13" i="45" s="1"/>
  <c r="AH22" i="10"/>
  <c r="J27" i="12"/>
  <c r="K27" i="12" s="1"/>
  <c r="O15" i="44" s="1"/>
  <c r="V12" i="12"/>
  <c r="W12" i="12" s="1"/>
  <c r="G15" i="45" s="1"/>
  <c r="H15" i="45" s="1"/>
  <c r="J12" i="14"/>
  <c r="K12" i="14" s="1"/>
  <c r="G17" i="44" s="1"/>
  <c r="V35" i="14"/>
  <c r="W37" i="14" s="1"/>
  <c r="Q17" i="45" s="1"/>
  <c r="R17" i="45" s="1"/>
  <c r="AH27" i="16"/>
  <c r="AH12" i="16"/>
  <c r="AH22" i="19"/>
  <c r="V17" i="20"/>
  <c r="W17" i="20" s="1"/>
  <c r="I23" i="45" s="1"/>
  <c r="J23" i="45" s="1"/>
  <c r="P25" i="44"/>
  <c r="V17" i="23"/>
  <c r="W17" i="23" s="1"/>
  <c r="I26" i="45" s="1"/>
  <c r="J26" i="45" s="1"/>
  <c r="E27" i="46"/>
  <c r="J22" i="25"/>
  <c r="K22" i="25" s="1"/>
  <c r="K28" i="44" s="1"/>
  <c r="V22" i="22"/>
  <c r="W22" i="22" s="1"/>
  <c r="K25" i="45" s="1"/>
  <c r="L25" i="45" s="1"/>
  <c r="V27" i="23"/>
  <c r="W27" i="23" s="1"/>
  <c r="O26" i="45" s="1"/>
  <c r="P26" i="45" s="1"/>
  <c r="F26" i="45"/>
  <c r="AH27" i="26"/>
  <c r="J22" i="27"/>
  <c r="K22" i="27" s="1"/>
  <c r="K30" i="44" s="1"/>
  <c r="AH22" i="27"/>
  <c r="L31" i="44"/>
  <c r="O33" i="46"/>
  <c r="P33" i="46" s="1"/>
  <c r="AI27" i="30"/>
  <c r="L33" i="44"/>
  <c r="P33" i="44"/>
  <c r="E36" i="45"/>
  <c r="W31" i="33"/>
  <c r="E36" i="44"/>
  <c r="K31" i="33"/>
  <c r="K38" i="46"/>
  <c r="L38" i="46" s="1"/>
  <c r="AI22" i="35"/>
  <c r="J7" i="20"/>
  <c r="K7" i="20" s="1"/>
  <c r="V35" i="20"/>
  <c r="W37" i="20" s="1"/>
  <c r="Q23" i="45" s="1"/>
  <c r="R23" i="45" s="1"/>
  <c r="V12" i="21"/>
  <c r="W12" i="21" s="1"/>
  <c r="G24" i="45" s="1"/>
  <c r="H24" i="45" s="1"/>
  <c r="AH35" i="21"/>
  <c r="AI37" i="21" s="1"/>
  <c r="AH7" i="22"/>
  <c r="AI7" i="23"/>
  <c r="V27" i="24"/>
  <c r="W27" i="24" s="1"/>
  <c r="O27" i="45" s="1"/>
  <c r="P27" i="45" s="1"/>
  <c r="AH12" i="24"/>
  <c r="AH17" i="25"/>
  <c r="V7" i="29"/>
  <c r="W7" i="29" s="1"/>
  <c r="J34" i="44"/>
  <c r="E35" i="46"/>
  <c r="AI7" i="32"/>
  <c r="E38" i="46"/>
  <c r="AI7" i="35"/>
  <c r="V7" i="20"/>
  <c r="W7" i="20" s="1"/>
  <c r="J27" i="21"/>
  <c r="K27" i="21" s="1"/>
  <c r="O24" i="44" s="1"/>
  <c r="K24" i="46"/>
  <c r="L24" i="46" s="1"/>
  <c r="AI22" i="21"/>
  <c r="J25" i="44"/>
  <c r="J26" i="44"/>
  <c r="J22" i="24"/>
  <c r="K22" i="24" s="1"/>
  <c r="K27" i="44" s="1"/>
  <c r="AI27" i="27"/>
  <c r="AH12" i="27"/>
  <c r="J27" i="28"/>
  <c r="K27" i="28" s="1"/>
  <c r="O31" i="44" s="1"/>
  <c r="AH27" i="29"/>
  <c r="J35" i="30"/>
  <c r="K37" i="30" s="1"/>
  <c r="Q33" i="44" s="1"/>
  <c r="J38" i="44"/>
  <c r="E38" i="44"/>
  <c r="K31" i="35"/>
  <c r="AI22" i="22"/>
  <c r="P27" i="44"/>
  <c r="V12" i="24"/>
  <c r="W12" i="24" s="1"/>
  <c r="G27" i="45" s="1"/>
  <c r="H27" i="45" s="1"/>
  <c r="J12" i="26"/>
  <c r="K12" i="26" s="1"/>
  <c r="G29" i="44" s="1"/>
  <c r="R29" i="47"/>
  <c r="S29" i="47" s="1"/>
  <c r="R29" i="44"/>
  <c r="E30" i="44"/>
  <c r="P32" i="44"/>
  <c r="K32" i="46"/>
  <c r="L32" i="46" s="1"/>
  <c r="AI22" i="29"/>
  <c r="AI17" i="29"/>
  <c r="E35" i="45"/>
  <c r="E35" i="47" s="1"/>
  <c r="I36" i="46"/>
  <c r="J36" i="46" s="1"/>
  <c r="AI17" i="33"/>
  <c r="P37" i="44"/>
  <c r="E37" i="45"/>
  <c r="W31" i="34"/>
  <c r="K37" i="46"/>
  <c r="L37" i="46" s="1"/>
  <c r="AI22" i="34"/>
  <c r="J35" i="16"/>
  <c r="K37" i="16" s="1"/>
  <c r="Q19" i="44" s="1"/>
  <c r="J12" i="17"/>
  <c r="K12" i="17" s="1"/>
  <c r="G20" i="44" s="1"/>
  <c r="V22" i="18"/>
  <c r="W22" i="18" s="1"/>
  <c r="K21" i="45" s="1"/>
  <c r="L21" i="45" s="1"/>
  <c r="AH35" i="18"/>
  <c r="AI37" i="18" s="1"/>
  <c r="V27" i="19"/>
  <c r="W27" i="19" s="1"/>
  <c r="O22" i="45" s="1"/>
  <c r="P22" i="45" s="1"/>
  <c r="V7" i="19"/>
  <c r="W7" i="19" s="1"/>
  <c r="V17" i="21"/>
  <c r="W17" i="21" s="1"/>
  <c r="I24" i="45" s="1"/>
  <c r="J24" i="45" s="1"/>
  <c r="AH27" i="22"/>
  <c r="J22" i="23"/>
  <c r="K22" i="23" s="1"/>
  <c r="K26" i="44" s="1"/>
  <c r="J35" i="24"/>
  <c r="K37" i="24" s="1"/>
  <c r="Q27" i="44" s="1"/>
  <c r="J12" i="25"/>
  <c r="K12" i="25" s="1"/>
  <c r="G28" i="44" s="1"/>
  <c r="V22" i="26"/>
  <c r="W22" i="26" s="1"/>
  <c r="K29" i="45" s="1"/>
  <c r="L29" i="45" s="1"/>
  <c r="AH35" i="26"/>
  <c r="AI37" i="26" s="1"/>
  <c r="V27" i="27"/>
  <c r="W27" i="27" s="1"/>
  <c r="O30" i="45" s="1"/>
  <c r="P30" i="45" s="1"/>
  <c r="V7" i="27"/>
  <c r="W7" i="27" s="1"/>
  <c r="F31" i="46"/>
  <c r="V17" i="28"/>
  <c r="W17" i="28" s="1"/>
  <c r="I31" i="45" s="1"/>
  <c r="J31" i="45" s="1"/>
  <c r="V7" i="28"/>
  <c r="W7" i="28" s="1"/>
  <c r="O34" i="47"/>
  <c r="P34" i="44"/>
  <c r="H34" i="44"/>
  <c r="E34" i="46"/>
  <c r="AI7" i="31"/>
  <c r="O35" i="46"/>
  <c r="P35" i="46" s="1"/>
  <c r="AI27" i="32"/>
  <c r="P36" i="44"/>
  <c r="E37" i="44"/>
  <c r="E39" i="45"/>
  <c r="V7" i="15"/>
  <c r="W7" i="15" s="1"/>
  <c r="J22" i="15"/>
  <c r="K22" i="15" s="1"/>
  <c r="K18" i="44" s="1"/>
  <c r="V35" i="16"/>
  <c r="W37" i="16" s="1"/>
  <c r="Q19" i="45" s="1"/>
  <c r="R19" i="45" s="1"/>
  <c r="V12" i="17"/>
  <c r="W12" i="17" s="1"/>
  <c r="G20" i="45" s="1"/>
  <c r="H20" i="45" s="1"/>
  <c r="AH35" i="17"/>
  <c r="AI37" i="17" s="1"/>
  <c r="AH7" i="18"/>
  <c r="AH7" i="19"/>
  <c r="AH17" i="21"/>
  <c r="V35" i="24"/>
  <c r="W37" i="24" s="1"/>
  <c r="Q27" i="45" s="1"/>
  <c r="R27" i="45" s="1"/>
  <c r="V12" i="25"/>
  <c r="W12" i="25" s="1"/>
  <c r="G28" i="45" s="1"/>
  <c r="H28" i="45" s="1"/>
  <c r="AH35" i="25"/>
  <c r="AI37" i="25" s="1"/>
  <c r="AH7" i="26"/>
  <c r="AH17" i="27"/>
  <c r="AH7" i="27"/>
  <c r="AI7" i="28"/>
  <c r="AH17" i="28"/>
  <c r="V35" i="28"/>
  <c r="W37" i="28" s="1"/>
  <c r="Q31" i="45" s="1"/>
  <c r="R31" i="45" s="1"/>
  <c r="J17" i="29"/>
  <c r="K17" i="29" s="1"/>
  <c r="I32" i="44" s="1"/>
  <c r="I33" i="46"/>
  <c r="J33" i="46" s="1"/>
  <c r="AI17" i="30"/>
  <c r="H33" i="44"/>
  <c r="O34" i="46"/>
  <c r="P34" i="46" s="1"/>
  <c r="AI27" i="31"/>
  <c r="AH35" i="32"/>
  <c r="AI37" i="32" s="1"/>
  <c r="G36" i="46"/>
  <c r="H36" i="46" s="1"/>
  <c r="AI12" i="33"/>
  <c r="R37" i="47"/>
  <c r="S37" i="47" s="1"/>
  <c r="R37" i="44"/>
  <c r="P38" i="44"/>
  <c r="E39" i="46"/>
  <c r="AI7" i="36"/>
  <c r="AH17" i="16"/>
  <c r="AH22" i="17"/>
  <c r="J35" i="17"/>
  <c r="K37" i="17" s="1"/>
  <c r="Q20" i="44" s="1"/>
  <c r="J17" i="19"/>
  <c r="K17" i="19" s="1"/>
  <c r="I22" i="44" s="1"/>
  <c r="J22" i="20"/>
  <c r="K22" i="20" s="1"/>
  <c r="K23" i="44" s="1"/>
  <c r="AH12" i="23"/>
  <c r="V7" i="24"/>
  <c r="W7" i="24" s="1"/>
  <c r="AH22" i="25"/>
  <c r="J35" i="25"/>
  <c r="K37" i="25" s="1"/>
  <c r="Q28" i="44" s="1"/>
  <c r="J17" i="27"/>
  <c r="K17" i="27" s="1"/>
  <c r="I30" i="44" s="1"/>
  <c r="J17" i="28"/>
  <c r="K17" i="28" s="1"/>
  <c r="I31" i="44" s="1"/>
  <c r="AI27" i="28"/>
  <c r="L32" i="44"/>
  <c r="J35" i="29"/>
  <c r="K37" i="29" s="1"/>
  <c r="Q32" i="44" s="1"/>
  <c r="E33" i="44"/>
  <c r="K31" i="30"/>
  <c r="AH22" i="30"/>
  <c r="L36" i="44"/>
  <c r="O38" i="46"/>
  <c r="P38" i="46" s="1"/>
  <c r="AI27" i="35"/>
  <c r="R38" i="44"/>
  <c r="J7" i="17"/>
  <c r="K7" i="17" s="1"/>
  <c r="V17" i="18"/>
  <c r="W17" i="18" s="1"/>
  <c r="I21" i="45" s="1"/>
  <c r="J21" i="45" s="1"/>
  <c r="AH22" i="18"/>
  <c r="J27" i="20"/>
  <c r="K27" i="20" s="1"/>
  <c r="O23" i="44" s="1"/>
  <c r="V12" i="20"/>
  <c r="W12" i="20" s="1"/>
  <c r="G23" i="45" s="1"/>
  <c r="H23" i="45" s="1"/>
  <c r="J12" i="22"/>
  <c r="K12" i="22" s="1"/>
  <c r="G25" i="44" s="1"/>
  <c r="V22" i="23"/>
  <c r="W22" i="23" s="1"/>
  <c r="K26" i="45" s="1"/>
  <c r="L26" i="45" s="1"/>
  <c r="V35" i="23"/>
  <c r="W37" i="23" s="1"/>
  <c r="Q26" i="45" s="1"/>
  <c r="R26" i="45" s="1"/>
  <c r="AH17" i="24"/>
  <c r="J7" i="25"/>
  <c r="K7" i="25" s="1"/>
  <c r="V17" i="26"/>
  <c r="W17" i="26" s="1"/>
  <c r="I29" i="45" s="1"/>
  <c r="J29" i="45" s="1"/>
  <c r="AH22" i="26"/>
  <c r="J27" i="27"/>
  <c r="K27" i="27" s="1"/>
  <c r="O30" i="44" s="1"/>
  <c r="V12" i="29"/>
  <c r="W12" i="29" s="1"/>
  <c r="G32" i="45" s="1"/>
  <c r="H32" i="45" s="1"/>
  <c r="R34" i="44"/>
  <c r="K35" i="47"/>
  <c r="L35" i="47" s="1"/>
  <c r="L35" i="44"/>
  <c r="J35" i="44"/>
  <c r="H37" i="44"/>
  <c r="H38" i="44"/>
  <c r="AH7" i="30"/>
  <c r="J7" i="31"/>
  <c r="K7" i="31" s="1"/>
  <c r="J27" i="32"/>
  <c r="K27" i="32" s="1"/>
  <c r="O35" i="44" s="1"/>
  <c r="F38" i="45"/>
  <c r="O39" i="46"/>
  <c r="P39" i="46" s="1"/>
  <c r="AI27" i="36"/>
  <c r="E39" i="47"/>
  <c r="M39" i="44"/>
  <c r="N39" i="44" s="1"/>
  <c r="F39" i="44"/>
  <c r="V17" i="37"/>
  <c r="W17" i="37" s="1"/>
  <c r="I40" i="45" s="1"/>
  <c r="J40" i="45" s="1"/>
  <c r="E40" i="44"/>
  <c r="L40" i="44"/>
  <c r="R43" i="47"/>
  <c r="S43" i="47" s="1"/>
  <c r="R43" i="44"/>
  <c r="E44" i="46"/>
  <c r="AI7" i="41"/>
  <c r="J33" i="44"/>
  <c r="J17" i="33"/>
  <c r="K17" i="33" s="1"/>
  <c r="I36" i="44" s="1"/>
  <c r="AH12" i="34"/>
  <c r="AH17" i="35"/>
  <c r="G41" i="46"/>
  <c r="H41" i="46" s="1"/>
  <c r="AI12" i="38"/>
  <c r="K41" i="46"/>
  <c r="L41" i="46" s="1"/>
  <c r="AI22" i="38"/>
  <c r="I42" i="46"/>
  <c r="J42" i="46" s="1"/>
  <c r="AI17" i="39"/>
  <c r="L42" i="44"/>
  <c r="J43" i="44"/>
  <c r="J44" i="44"/>
  <c r="K34" i="47"/>
  <c r="L34" i="47" s="1"/>
  <c r="L34" i="44"/>
  <c r="V35" i="31"/>
  <c r="W37" i="31" s="1"/>
  <c r="Q34" i="45" s="1"/>
  <c r="R34" i="45" s="1"/>
  <c r="J35" i="32"/>
  <c r="K37" i="32" s="1"/>
  <c r="Q35" i="44" s="1"/>
  <c r="AH35" i="33"/>
  <c r="AI37" i="33" s="1"/>
  <c r="V35" i="34"/>
  <c r="W37" i="34" s="1"/>
  <c r="Q37" i="45" s="1"/>
  <c r="R37" i="45" s="1"/>
  <c r="AH17" i="36"/>
  <c r="L39" i="44"/>
  <c r="J40" i="44"/>
  <c r="R40" i="47"/>
  <c r="S40" i="47" s="1"/>
  <c r="R40" i="44"/>
  <c r="H41" i="44"/>
  <c r="L41" i="44"/>
  <c r="E45" i="45"/>
  <c r="W31" i="42"/>
  <c r="F35" i="44"/>
  <c r="M35" i="44"/>
  <c r="N35" i="44" s="1"/>
  <c r="H35" i="44"/>
  <c r="G35" i="46"/>
  <c r="H35" i="46" s="1"/>
  <c r="AI12" i="32"/>
  <c r="G36" i="47"/>
  <c r="H36" i="47" s="1"/>
  <c r="H36" i="44"/>
  <c r="R36" i="47"/>
  <c r="S36" i="47" s="1"/>
  <c r="R36" i="44"/>
  <c r="J39" i="44"/>
  <c r="K31" i="36"/>
  <c r="E41" i="44"/>
  <c r="K31" i="38"/>
  <c r="E41" i="45"/>
  <c r="W31" i="38"/>
  <c r="L43" i="44"/>
  <c r="P44" i="44"/>
  <c r="J12" i="29"/>
  <c r="K12" i="29" s="1"/>
  <c r="G32" i="44" s="1"/>
  <c r="AH12" i="31"/>
  <c r="AI22" i="31"/>
  <c r="V17" i="32"/>
  <c r="W17" i="32" s="1"/>
  <c r="I35" i="45" s="1"/>
  <c r="J35" i="45" s="1"/>
  <c r="E37" i="46"/>
  <c r="AI7" i="34"/>
  <c r="V22" i="34"/>
  <c r="W22" i="34" s="1"/>
  <c r="K37" i="45" s="1"/>
  <c r="L37" i="45" s="1"/>
  <c r="J22" i="35"/>
  <c r="K22" i="35" s="1"/>
  <c r="K38" i="44" s="1"/>
  <c r="AH17" i="37"/>
  <c r="J35" i="27"/>
  <c r="K37" i="27" s="1"/>
  <c r="Q30" i="44" s="1"/>
  <c r="J12" i="28"/>
  <c r="K12" i="28" s="1"/>
  <c r="G31" i="44" s="1"/>
  <c r="V22" i="29"/>
  <c r="W22" i="29" s="1"/>
  <c r="K32" i="45" s="1"/>
  <c r="L32" i="45" s="1"/>
  <c r="AH35" i="29"/>
  <c r="AI37" i="29" s="1"/>
  <c r="V27" i="31"/>
  <c r="W27" i="31" s="1"/>
  <c r="O34" i="45" s="1"/>
  <c r="P34" i="45" s="1"/>
  <c r="AH17" i="32"/>
  <c r="AH27" i="33"/>
  <c r="AH7" i="33"/>
  <c r="J17" i="34"/>
  <c r="K17" i="34" s="1"/>
  <c r="I37" i="44" s="1"/>
  <c r="V12" i="35"/>
  <c r="W12" i="35" s="1"/>
  <c r="G38" i="45" s="1"/>
  <c r="H38" i="45" s="1"/>
  <c r="J27" i="36"/>
  <c r="K27" i="36" s="1"/>
  <c r="O39" i="44" s="1"/>
  <c r="J12" i="36"/>
  <c r="K12" i="36" s="1"/>
  <c r="G39" i="44" s="1"/>
  <c r="AH35" i="36"/>
  <c r="AI37" i="36" s="1"/>
  <c r="J27" i="37"/>
  <c r="K27" i="37" s="1"/>
  <c r="O40" i="44" s="1"/>
  <c r="V35" i="38"/>
  <c r="W37" i="38" s="1"/>
  <c r="Q41" i="45" s="1"/>
  <c r="R41" i="45" s="1"/>
  <c r="E43" i="45"/>
  <c r="W31" i="40"/>
  <c r="G43" i="46"/>
  <c r="H43" i="46" s="1"/>
  <c r="AI12" i="40"/>
  <c r="O44" i="46"/>
  <c r="P44" i="46" s="1"/>
  <c r="AI27" i="41"/>
  <c r="V35" i="27"/>
  <c r="W37" i="27" s="1"/>
  <c r="Q30" i="45" s="1"/>
  <c r="R30" i="45" s="1"/>
  <c r="V12" i="28"/>
  <c r="W12" i="28" s="1"/>
  <c r="G31" i="45" s="1"/>
  <c r="H31" i="45" s="1"/>
  <c r="AH35" i="28"/>
  <c r="AI37" i="28" s="1"/>
  <c r="AH7" i="29"/>
  <c r="AI12" i="30"/>
  <c r="V35" i="30"/>
  <c r="W37" i="30" s="1"/>
  <c r="Q33" i="45" s="1"/>
  <c r="R33" i="45" s="1"/>
  <c r="V7" i="31"/>
  <c r="W7" i="31" s="1"/>
  <c r="AH22" i="33"/>
  <c r="AH12" i="35"/>
  <c r="V12" i="36"/>
  <c r="W12" i="36" s="1"/>
  <c r="G39" i="45" s="1"/>
  <c r="H39" i="45" s="1"/>
  <c r="AH22" i="36"/>
  <c r="J35" i="36"/>
  <c r="K37" i="36" s="1"/>
  <c r="Q39" i="44" s="1"/>
  <c r="AH27" i="37"/>
  <c r="AH35" i="38"/>
  <c r="AI37" i="38" s="1"/>
  <c r="P42" i="44"/>
  <c r="E42" i="44"/>
  <c r="K31" i="39"/>
  <c r="H43" i="44"/>
  <c r="E44" i="44"/>
  <c r="I44" i="46"/>
  <c r="J44" i="46" s="1"/>
  <c r="AI17" i="41"/>
  <c r="AH22" i="28"/>
  <c r="J35" i="28"/>
  <c r="K37" i="28" s="1"/>
  <c r="Q31" i="44" s="1"/>
  <c r="V27" i="30"/>
  <c r="W27" i="30" s="1"/>
  <c r="O33" i="45" s="1"/>
  <c r="P33" i="45" s="1"/>
  <c r="V7" i="30"/>
  <c r="W7" i="30" s="1"/>
  <c r="AH35" i="30"/>
  <c r="AI37" i="30" s="1"/>
  <c r="AH17" i="31"/>
  <c r="K31" i="32"/>
  <c r="V17" i="33"/>
  <c r="W17" i="33" s="1"/>
  <c r="I36" i="45" s="1"/>
  <c r="J36" i="45" s="1"/>
  <c r="AH27" i="34"/>
  <c r="J22" i="34"/>
  <c r="K22" i="34" s="1"/>
  <c r="K37" i="44" s="1"/>
  <c r="V27" i="35"/>
  <c r="W27" i="35" s="1"/>
  <c r="O38" i="45" s="1"/>
  <c r="P38" i="45" s="1"/>
  <c r="V35" i="35"/>
  <c r="W37" i="35" s="1"/>
  <c r="Q38" i="45" s="1"/>
  <c r="R38" i="45" s="1"/>
  <c r="G39" i="46"/>
  <c r="H39" i="46" s="1"/>
  <c r="AI12" i="36"/>
  <c r="J42" i="44"/>
  <c r="O42" i="46"/>
  <c r="P42" i="46" s="1"/>
  <c r="AI27" i="39"/>
  <c r="V35" i="39"/>
  <c r="W37" i="39" s="1"/>
  <c r="Q42" i="45" s="1"/>
  <c r="R42" i="45" s="1"/>
  <c r="AH17" i="40"/>
  <c r="K43" i="46"/>
  <c r="L43" i="46" s="1"/>
  <c r="AI22" i="40"/>
  <c r="R44" i="44"/>
  <c r="V7" i="37"/>
  <c r="W7" i="37" s="1"/>
  <c r="J17" i="38"/>
  <c r="K17" i="38" s="1"/>
  <c r="I41" i="44" s="1"/>
  <c r="F42" i="46"/>
  <c r="V17" i="39"/>
  <c r="W17" i="39" s="1"/>
  <c r="I42" i="45" s="1"/>
  <c r="J42" i="45" s="1"/>
  <c r="AH35" i="40"/>
  <c r="AI37" i="40" s="1"/>
  <c r="AH22" i="42"/>
  <c r="AH17" i="43"/>
  <c r="J35" i="39"/>
  <c r="K37" i="39" s="1"/>
  <c r="Q42" i="44" s="1"/>
  <c r="AH35" i="39"/>
  <c r="AI37" i="39" s="1"/>
  <c r="O43" i="46"/>
  <c r="P43" i="46" s="1"/>
  <c r="AI27" i="40"/>
  <c r="G45" i="47"/>
  <c r="H45" i="47" s="1"/>
  <c r="H45" i="44"/>
  <c r="P46" i="44"/>
  <c r="J46" i="44"/>
  <c r="V22" i="38"/>
  <c r="W22" i="38" s="1"/>
  <c r="K41" i="45" s="1"/>
  <c r="L41" i="45" s="1"/>
  <c r="AH22" i="39"/>
  <c r="V7" i="39"/>
  <c r="W7" i="39" s="1"/>
  <c r="J27" i="40"/>
  <c r="K27" i="40" s="1"/>
  <c r="O43" i="44" s="1"/>
  <c r="V12" i="40"/>
  <c r="W12" i="40" s="1"/>
  <c r="G43" i="45" s="1"/>
  <c r="H43" i="45" s="1"/>
  <c r="V17" i="41"/>
  <c r="W17" i="41" s="1"/>
  <c r="I44" i="45" s="1"/>
  <c r="J44" i="45" s="1"/>
  <c r="AH22" i="41"/>
  <c r="J27" i="42"/>
  <c r="K27" i="42" s="1"/>
  <c r="O45" i="44" s="1"/>
  <c r="L45" i="44"/>
  <c r="G46" i="46"/>
  <c r="H46" i="46" s="1"/>
  <c r="AI12" i="43"/>
  <c r="R46" i="47"/>
  <c r="S46" i="47" s="1"/>
  <c r="R46" i="44"/>
  <c r="F40" i="46"/>
  <c r="AH22" i="37"/>
  <c r="P41" i="44"/>
  <c r="V27" i="39"/>
  <c r="W27" i="39" s="1"/>
  <c r="O42" i="45" s="1"/>
  <c r="P42" i="45" s="1"/>
  <c r="L44" i="44"/>
  <c r="AH35" i="41"/>
  <c r="AI37" i="41" s="1"/>
  <c r="G45" i="46"/>
  <c r="H45" i="46" s="1"/>
  <c r="AI12" i="42"/>
  <c r="R45" i="47"/>
  <c r="S45" i="47" s="1"/>
  <c r="R45" i="44"/>
  <c r="J12" i="43"/>
  <c r="K12" i="43" s="1"/>
  <c r="G46" i="44" s="1"/>
  <c r="L46" i="44"/>
  <c r="F41" i="46"/>
  <c r="O45" i="46"/>
  <c r="P45" i="46" s="1"/>
  <c r="AI27" i="42"/>
  <c r="I45" i="46"/>
  <c r="J45" i="46" s="1"/>
  <c r="AI17" i="42"/>
  <c r="V35" i="37"/>
  <c r="W37" i="37" s="1"/>
  <c r="Q40" i="45" s="1"/>
  <c r="R40" i="45" s="1"/>
  <c r="J35" i="38"/>
  <c r="K37" i="38" s="1"/>
  <c r="Q41" i="44" s="1"/>
  <c r="AH12" i="39"/>
  <c r="AH12" i="41"/>
  <c r="V27" i="42"/>
  <c r="W27" i="42" s="1"/>
  <c r="O45" i="45" s="1"/>
  <c r="P45" i="45" s="1"/>
  <c r="J17" i="42"/>
  <c r="K17" i="42" s="1"/>
  <c r="I45" i="44" s="1"/>
  <c r="AH7" i="42"/>
  <c r="V22" i="42"/>
  <c r="W22" i="42" s="1"/>
  <c r="K45" i="45" s="1"/>
  <c r="L45" i="45" s="1"/>
  <c r="V27" i="43"/>
  <c r="W27" i="43" s="1"/>
  <c r="O46" i="45" s="1"/>
  <c r="P46" i="45" s="1"/>
  <c r="AH7" i="43"/>
  <c r="K46" i="46"/>
  <c r="L46" i="46" s="1"/>
  <c r="AI22" i="43"/>
  <c r="J7" i="43"/>
  <c r="K7" i="43" s="1"/>
  <c r="AH12" i="37"/>
  <c r="AH27" i="38"/>
  <c r="J12" i="39"/>
  <c r="K12" i="39" s="1"/>
  <c r="G42" i="44" s="1"/>
  <c r="AH7" i="40"/>
  <c r="V22" i="40"/>
  <c r="W22" i="40" s="1"/>
  <c r="K43" i="45" s="1"/>
  <c r="L43" i="45" s="1"/>
  <c r="V27" i="41"/>
  <c r="W27" i="41" s="1"/>
  <c r="O44" i="45" s="1"/>
  <c r="P44" i="45" s="1"/>
  <c r="J12" i="41"/>
  <c r="K12" i="41" s="1"/>
  <c r="G44" i="44" s="1"/>
  <c r="AH27" i="43"/>
  <c r="J12" i="37"/>
  <c r="K12" i="37" s="1"/>
  <c r="G40" i="44" s="1"/>
  <c r="AI7" i="38"/>
  <c r="AH17" i="38"/>
  <c r="J7" i="40"/>
  <c r="K7" i="40" s="1"/>
  <c r="V7" i="41"/>
  <c r="W7" i="41" s="1"/>
  <c r="V35" i="41"/>
  <c r="W37" i="41" s="1"/>
  <c r="Q44" i="45" s="1"/>
  <c r="R44" i="45" s="1"/>
  <c r="J7" i="42"/>
  <c r="K7" i="42" s="1"/>
  <c r="V17" i="43"/>
  <c r="W17" i="43" s="1"/>
  <c r="I46" i="45" s="1"/>
  <c r="J46" i="45" s="1"/>
  <c r="V7" i="43"/>
  <c r="W7" i="43" s="1"/>
  <c r="G33" i="47" l="1"/>
  <c r="H33" i="47" s="1"/>
  <c r="AI12" i="29"/>
  <c r="AI12" i="28"/>
  <c r="K31" i="27"/>
  <c r="G29" i="46"/>
  <c r="H29" i="46" s="1"/>
  <c r="K31" i="26"/>
  <c r="AI12" i="25"/>
  <c r="AI7" i="25"/>
  <c r="M26" i="45"/>
  <c r="N26" i="45" s="1"/>
  <c r="I25" i="47"/>
  <c r="J25" i="47" s="1"/>
  <c r="W31" i="22"/>
  <c r="G24" i="46"/>
  <c r="H24" i="46" s="1"/>
  <c r="K31" i="21"/>
  <c r="AI27" i="20"/>
  <c r="AI7" i="20"/>
  <c r="AI12" i="18"/>
  <c r="K31" i="18"/>
  <c r="AI7" i="17"/>
  <c r="W31" i="14"/>
  <c r="K31" i="11"/>
  <c r="K31" i="10"/>
  <c r="M13" i="44"/>
  <c r="N13" i="44" s="1"/>
  <c r="K31" i="8"/>
  <c r="M10" i="45"/>
  <c r="N10" i="45" s="1"/>
  <c r="W31" i="7"/>
  <c r="F35" i="47"/>
  <c r="E29" i="46"/>
  <c r="E29" i="47" s="1"/>
  <c r="AI7" i="26"/>
  <c r="O31" i="47"/>
  <c r="P31" i="44"/>
  <c r="O29" i="46"/>
  <c r="AI27" i="26"/>
  <c r="O15" i="47"/>
  <c r="P15" i="44"/>
  <c r="E26" i="47"/>
  <c r="M26" i="44"/>
  <c r="N26" i="44" s="1"/>
  <c r="F26" i="44"/>
  <c r="R12" i="47"/>
  <c r="S12" i="47" s="1"/>
  <c r="R12" i="44"/>
  <c r="P19" i="44"/>
  <c r="E65526" i="44"/>
  <c r="E7" i="44"/>
  <c r="K31" i="4"/>
  <c r="R18" i="47"/>
  <c r="S18" i="47" s="1"/>
  <c r="R18" i="44"/>
  <c r="O9" i="46"/>
  <c r="AI27" i="6"/>
  <c r="J20" i="44"/>
  <c r="W31" i="25"/>
  <c r="E17" i="46"/>
  <c r="AI7" i="14"/>
  <c r="AI31" i="14" s="1"/>
  <c r="G18" i="46"/>
  <c r="H18" i="46" s="1"/>
  <c r="AI12" i="15"/>
  <c r="E8" i="47"/>
  <c r="F8" i="44"/>
  <c r="M8" i="44"/>
  <c r="N8" i="44" s="1"/>
  <c r="M21" i="44"/>
  <c r="N21" i="44" s="1"/>
  <c r="F21" i="44"/>
  <c r="F12" i="46"/>
  <c r="G7" i="46"/>
  <c r="H7" i="46" s="1"/>
  <c r="AI12" i="4"/>
  <c r="O10" i="47"/>
  <c r="W31" i="17"/>
  <c r="K31" i="7"/>
  <c r="O41" i="46"/>
  <c r="AI27" i="38"/>
  <c r="E46" i="45"/>
  <c r="W31" i="43"/>
  <c r="Q34" i="47"/>
  <c r="P34" i="47"/>
  <c r="G30" i="46"/>
  <c r="H30" i="46" s="1"/>
  <c r="AI12" i="27"/>
  <c r="K13" i="46"/>
  <c r="L13" i="46" s="1"/>
  <c r="AI22" i="10"/>
  <c r="I15" i="46"/>
  <c r="AI17" i="12"/>
  <c r="G25" i="46"/>
  <c r="H25" i="46" s="1"/>
  <c r="AI12" i="22"/>
  <c r="K12" i="46"/>
  <c r="M12" i="46" s="1"/>
  <c r="N12" i="46" s="1"/>
  <c r="AI22" i="9"/>
  <c r="I26" i="46"/>
  <c r="J26" i="46" s="1"/>
  <c r="AI17" i="23"/>
  <c r="I16" i="46"/>
  <c r="J16" i="46" s="1"/>
  <c r="AI17" i="13"/>
  <c r="K18" i="46"/>
  <c r="L18" i="46" s="1"/>
  <c r="AI22" i="15"/>
  <c r="E14" i="45"/>
  <c r="W31" i="11"/>
  <c r="M29" i="44"/>
  <c r="N29" i="44" s="1"/>
  <c r="F29" i="44"/>
  <c r="O26" i="47"/>
  <c r="M28" i="45"/>
  <c r="N28" i="45" s="1"/>
  <c r="F28" i="45"/>
  <c r="K24" i="47"/>
  <c r="L24" i="47" s="1"/>
  <c r="G18" i="47"/>
  <c r="H18" i="47" s="1"/>
  <c r="H18" i="44"/>
  <c r="O13" i="46"/>
  <c r="AI27" i="10"/>
  <c r="F20" i="46"/>
  <c r="M14" i="44"/>
  <c r="N14" i="44" s="1"/>
  <c r="F14" i="44"/>
  <c r="AI31" i="15"/>
  <c r="K17" i="47"/>
  <c r="L17" i="47" s="1"/>
  <c r="K9" i="47"/>
  <c r="L9" i="47" s="1"/>
  <c r="I8" i="47"/>
  <c r="J8" i="47" s="1"/>
  <c r="J8" i="44"/>
  <c r="I16" i="47"/>
  <c r="J16" i="47" s="1"/>
  <c r="R21" i="47"/>
  <c r="S21" i="47" s="1"/>
  <c r="F20" i="45"/>
  <c r="M20" i="45"/>
  <c r="N20" i="45" s="1"/>
  <c r="E10" i="47"/>
  <c r="F10" i="44"/>
  <c r="M10" i="44"/>
  <c r="N10" i="44" s="1"/>
  <c r="E33" i="46"/>
  <c r="AI7" i="30"/>
  <c r="F37" i="45"/>
  <c r="M37" i="45"/>
  <c r="N37" i="45" s="1"/>
  <c r="E14" i="46"/>
  <c r="AI7" i="11"/>
  <c r="E24" i="45"/>
  <c r="E24" i="47" s="1"/>
  <c r="W31" i="21"/>
  <c r="I18" i="46"/>
  <c r="J18" i="46" s="1"/>
  <c r="AI17" i="15"/>
  <c r="F19" i="45"/>
  <c r="M19" i="45"/>
  <c r="N19" i="45" s="1"/>
  <c r="E21" i="45"/>
  <c r="W31" i="18"/>
  <c r="O16" i="47"/>
  <c r="P16" i="44"/>
  <c r="L22" i="44"/>
  <c r="E18" i="44"/>
  <c r="K31" i="15"/>
  <c r="F18" i="46"/>
  <c r="I15" i="47"/>
  <c r="J15" i="47" s="1"/>
  <c r="J15" i="44"/>
  <c r="F7" i="46"/>
  <c r="W31" i="9"/>
  <c r="E42" i="45"/>
  <c r="W31" i="39"/>
  <c r="O11" i="47"/>
  <c r="P11" i="44"/>
  <c r="F10" i="46"/>
  <c r="R26" i="47"/>
  <c r="S26" i="47" s="1"/>
  <c r="G11" i="47"/>
  <c r="H11" i="47" s="1"/>
  <c r="K8" i="47"/>
  <c r="L8" i="47" s="1"/>
  <c r="F12" i="45"/>
  <c r="M12" i="45"/>
  <c r="N12" i="45" s="1"/>
  <c r="O40" i="46"/>
  <c r="P40" i="46" s="1"/>
  <c r="AI27" i="37"/>
  <c r="K21" i="46"/>
  <c r="L21" i="46" s="1"/>
  <c r="AI22" i="18"/>
  <c r="M38" i="46"/>
  <c r="N38" i="46" s="1"/>
  <c r="F38" i="46"/>
  <c r="R30" i="47"/>
  <c r="S30" i="47" s="1"/>
  <c r="R30" i="44"/>
  <c r="K33" i="46"/>
  <c r="AI22" i="30"/>
  <c r="O46" i="46"/>
  <c r="P46" i="46" s="1"/>
  <c r="AI27" i="43"/>
  <c r="I19" i="46"/>
  <c r="AI17" i="16"/>
  <c r="F26" i="46"/>
  <c r="E11" i="45"/>
  <c r="E11" i="47" s="1"/>
  <c r="W31" i="8"/>
  <c r="E45" i="44"/>
  <c r="K31" i="42"/>
  <c r="G44" i="46"/>
  <c r="H44" i="46" s="1"/>
  <c r="AI12" i="41"/>
  <c r="J41" i="44"/>
  <c r="O36" i="46"/>
  <c r="AI27" i="33"/>
  <c r="K28" i="46"/>
  <c r="L28" i="46" s="1"/>
  <c r="AI22" i="25"/>
  <c r="O24" i="47"/>
  <c r="P24" i="44"/>
  <c r="E25" i="46"/>
  <c r="AI7" i="22"/>
  <c r="AI31" i="22" s="1"/>
  <c r="F27" i="46"/>
  <c r="O20" i="46"/>
  <c r="P20" i="46" s="1"/>
  <c r="AI27" i="17"/>
  <c r="E13" i="46"/>
  <c r="AI7" i="10"/>
  <c r="G38" i="46"/>
  <c r="H38" i="46" s="1"/>
  <c r="AI12" i="35"/>
  <c r="G38" i="47"/>
  <c r="H38" i="47" s="1"/>
  <c r="F39" i="46"/>
  <c r="M39" i="46"/>
  <c r="N39" i="46" s="1"/>
  <c r="G29" i="47"/>
  <c r="H29" i="47" s="1"/>
  <c r="H29" i="44"/>
  <c r="K27" i="47"/>
  <c r="L27" i="47" s="1"/>
  <c r="L27" i="44"/>
  <c r="E23" i="45"/>
  <c r="W31" i="20"/>
  <c r="O19" i="46"/>
  <c r="P19" i="46" s="1"/>
  <c r="AI27" i="16"/>
  <c r="I11" i="46"/>
  <c r="AI17" i="8"/>
  <c r="I29" i="46"/>
  <c r="J29" i="46" s="1"/>
  <c r="AI17" i="26"/>
  <c r="P20" i="44"/>
  <c r="O7" i="47"/>
  <c r="P7" i="44"/>
  <c r="F29" i="45"/>
  <c r="M29" i="45"/>
  <c r="N29" i="45" s="1"/>
  <c r="O22" i="47"/>
  <c r="P22" i="44"/>
  <c r="O18" i="46"/>
  <c r="P18" i="46" s="1"/>
  <c r="AI27" i="15"/>
  <c r="F17" i="45"/>
  <c r="M17" i="45"/>
  <c r="N17" i="45" s="1"/>
  <c r="I9" i="47"/>
  <c r="J9" i="47" s="1"/>
  <c r="J9" i="44"/>
  <c r="E19" i="46"/>
  <c r="AI7" i="16"/>
  <c r="K31" i="24"/>
  <c r="E15" i="44"/>
  <c r="K31" i="12"/>
  <c r="K31" i="29"/>
  <c r="I10" i="46"/>
  <c r="J10" i="46" s="1"/>
  <c r="AI17" i="7"/>
  <c r="W31" i="13"/>
  <c r="W31" i="5"/>
  <c r="AI31" i="13"/>
  <c r="K31" i="14"/>
  <c r="AI31" i="5"/>
  <c r="E45" i="46"/>
  <c r="AI7" i="42"/>
  <c r="F44" i="44"/>
  <c r="M44" i="44"/>
  <c r="N44" i="44" s="1"/>
  <c r="G31" i="47"/>
  <c r="H31" i="47" s="1"/>
  <c r="H31" i="44"/>
  <c r="F44" i="46"/>
  <c r="R20" i="47"/>
  <c r="S20" i="47" s="1"/>
  <c r="R20" i="44"/>
  <c r="H40" i="44"/>
  <c r="E33" i="45"/>
  <c r="E33" i="47" s="1"/>
  <c r="W31" i="30"/>
  <c r="I37" i="47"/>
  <c r="J37" i="47" s="1"/>
  <c r="J37" i="44"/>
  <c r="F41" i="45"/>
  <c r="M41" i="45"/>
  <c r="N41" i="45" s="1"/>
  <c r="E28" i="44"/>
  <c r="K31" i="25"/>
  <c r="K20" i="46"/>
  <c r="L20" i="46" s="1"/>
  <c r="AI22" i="17"/>
  <c r="E22" i="45"/>
  <c r="W31" i="19"/>
  <c r="M30" i="44"/>
  <c r="N30" i="44" s="1"/>
  <c r="F30" i="44"/>
  <c r="AI31" i="32"/>
  <c r="G43" i="47"/>
  <c r="H43" i="47" s="1"/>
  <c r="I40" i="46"/>
  <c r="AI17" i="37"/>
  <c r="I38" i="46"/>
  <c r="AI17" i="35"/>
  <c r="E20" i="44"/>
  <c r="K31" i="17"/>
  <c r="K18" i="47"/>
  <c r="L18" i="47" s="1"/>
  <c r="L18" i="44"/>
  <c r="F35" i="46"/>
  <c r="M35" i="46"/>
  <c r="N35" i="46" s="1"/>
  <c r="E25" i="44"/>
  <c r="K31" i="22"/>
  <c r="R31" i="47"/>
  <c r="S31" i="47" s="1"/>
  <c r="R31" i="44"/>
  <c r="G32" i="47"/>
  <c r="H32" i="47" s="1"/>
  <c r="H32" i="44"/>
  <c r="F39" i="47"/>
  <c r="E31" i="45"/>
  <c r="E31" i="47" s="1"/>
  <c r="W31" i="28"/>
  <c r="E38" i="47"/>
  <c r="F38" i="44"/>
  <c r="M38" i="44"/>
  <c r="N38" i="44" s="1"/>
  <c r="H30" i="44"/>
  <c r="G23" i="46"/>
  <c r="AI12" i="20"/>
  <c r="AI31" i="20" s="1"/>
  <c r="W31" i="26"/>
  <c r="E15" i="45"/>
  <c r="W31" i="12"/>
  <c r="M41" i="46"/>
  <c r="N41" i="46" s="1"/>
  <c r="K44" i="46"/>
  <c r="M44" i="46" s="1"/>
  <c r="N44" i="46" s="1"/>
  <c r="AI22" i="41"/>
  <c r="AI31" i="41" s="1"/>
  <c r="E40" i="45"/>
  <c r="W31" i="37"/>
  <c r="K31" i="46"/>
  <c r="AI22" i="28"/>
  <c r="E42" i="47"/>
  <c r="F42" i="44"/>
  <c r="M42" i="44"/>
  <c r="N42" i="44" s="1"/>
  <c r="K38" i="47"/>
  <c r="L38" i="47" s="1"/>
  <c r="L38" i="44"/>
  <c r="R32" i="47"/>
  <c r="S32" i="47" s="1"/>
  <c r="R32" i="44"/>
  <c r="I31" i="46"/>
  <c r="AI17" i="28"/>
  <c r="AI31" i="31"/>
  <c r="E44" i="45"/>
  <c r="E44" i="47" s="1"/>
  <c r="W31" i="41"/>
  <c r="E46" i="46"/>
  <c r="AI7" i="43"/>
  <c r="R41" i="47"/>
  <c r="S41" i="47" s="1"/>
  <c r="R41" i="44"/>
  <c r="I46" i="46"/>
  <c r="J46" i="46" s="1"/>
  <c r="AI17" i="43"/>
  <c r="K36" i="46"/>
  <c r="AI22" i="33"/>
  <c r="O44" i="47"/>
  <c r="K41" i="47"/>
  <c r="L41" i="47" s="1"/>
  <c r="K31" i="37"/>
  <c r="H25" i="44"/>
  <c r="G26" i="46"/>
  <c r="AI12" i="23"/>
  <c r="AI31" i="23" s="1"/>
  <c r="E22" i="46"/>
  <c r="AI7" i="19"/>
  <c r="F39" i="45"/>
  <c r="M39" i="45"/>
  <c r="N39" i="45" s="1"/>
  <c r="F34" i="46"/>
  <c r="M34" i="46"/>
  <c r="N34" i="46" s="1"/>
  <c r="W31" i="23"/>
  <c r="H20" i="44"/>
  <c r="E32" i="45"/>
  <c r="W31" i="29"/>
  <c r="F36" i="45"/>
  <c r="M36" i="45"/>
  <c r="N36" i="45" s="1"/>
  <c r="R23" i="47"/>
  <c r="S23" i="47" s="1"/>
  <c r="K19" i="46"/>
  <c r="L19" i="46" s="1"/>
  <c r="AI22" i="16"/>
  <c r="R7" i="47"/>
  <c r="S7" i="47" s="1"/>
  <c r="R7" i="44"/>
  <c r="J28" i="44"/>
  <c r="O21" i="47"/>
  <c r="P21" i="44"/>
  <c r="I7" i="46"/>
  <c r="AI17" i="4"/>
  <c r="AI31" i="4" s="1"/>
  <c r="G20" i="46"/>
  <c r="H20" i="46" s="1"/>
  <c r="AI12" i="17"/>
  <c r="O18" i="47"/>
  <c r="P18" i="44"/>
  <c r="G12" i="47"/>
  <c r="H12" i="47" s="1"/>
  <c r="H12" i="44"/>
  <c r="E16" i="44"/>
  <c r="K31" i="13"/>
  <c r="M24" i="44"/>
  <c r="N24" i="44" s="1"/>
  <c r="F24" i="44"/>
  <c r="G21" i="47"/>
  <c r="H21" i="47" s="1"/>
  <c r="E9" i="46"/>
  <c r="AI7" i="6"/>
  <c r="AI31" i="6" s="1"/>
  <c r="O28" i="47"/>
  <c r="F24" i="46"/>
  <c r="F27" i="44"/>
  <c r="M27" i="44"/>
  <c r="N27" i="44" s="1"/>
  <c r="E32" i="47"/>
  <c r="F32" i="44"/>
  <c r="M32" i="44"/>
  <c r="N32" i="44" s="1"/>
  <c r="G16" i="47"/>
  <c r="H16" i="47" s="1"/>
  <c r="W31" i="6"/>
  <c r="I13" i="47"/>
  <c r="J13" i="47" s="1"/>
  <c r="J13" i="44"/>
  <c r="K7" i="47"/>
  <c r="L7" i="47" s="1"/>
  <c r="L7" i="44"/>
  <c r="M16" i="45"/>
  <c r="N16" i="45" s="1"/>
  <c r="F16" i="45"/>
  <c r="M8" i="45"/>
  <c r="N8" i="45" s="1"/>
  <c r="F8" i="45"/>
  <c r="F16" i="46"/>
  <c r="M11" i="44"/>
  <c r="N11" i="44" s="1"/>
  <c r="F11" i="44"/>
  <c r="E17" i="47"/>
  <c r="M17" i="44"/>
  <c r="N17" i="44" s="1"/>
  <c r="F17" i="44"/>
  <c r="R10" i="47"/>
  <c r="S10" i="47" s="1"/>
  <c r="K16" i="47"/>
  <c r="L16" i="47" s="1"/>
  <c r="O12" i="47"/>
  <c r="M8" i="46"/>
  <c r="N8" i="46" s="1"/>
  <c r="F8" i="46"/>
  <c r="AI31" i="38"/>
  <c r="O35" i="47"/>
  <c r="P35" i="44"/>
  <c r="I31" i="47"/>
  <c r="J31" i="47" s="1"/>
  <c r="J31" i="44"/>
  <c r="F35" i="45"/>
  <c r="M35" i="45"/>
  <c r="N35" i="45" s="1"/>
  <c r="I45" i="47"/>
  <c r="J45" i="47" s="1"/>
  <c r="J45" i="44"/>
  <c r="K42" i="46"/>
  <c r="AI22" i="39"/>
  <c r="I43" i="46"/>
  <c r="AI17" i="40"/>
  <c r="E32" i="46"/>
  <c r="AI7" i="29"/>
  <c r="AI31" i="29" s="1"/>
  <c r="E34" i="44"/>
  <c r="K31" i="31"/>
  <c r="J30" i="44"/>
  <c r="E46" i="44"/>
  <c r="K31" i="43"/>
  <c r="K40" i="46"/>
  <c r="AI22" i="37"/>
  <c r="E36" i="46"/>
  <c r="AI7" i="33"/>
  <c r="AI31" i="33" s="1"/>
  <c r="I27" i="46"/>
  <c r="AI17" i="24"/>
  <c r="I32" i="47"/>
  <c r="J32" i="47" s="1"/>
  <c r="J32" i="44"/>
  <c r="K22" i="46"/>
  <c r="L22" i="46" s="1"/>
  <c r="AI22" i="19"/>
  <c r="O45" i="47"/>
  <c r="P45" i="44"/>
  <c r="K37" i="47"/>
  <c r="L37" i="47" s="1"/>
  <c r="L37" i="44"/>
  <c r="E41" i="47"/>
  <c r="F41" i="44"/>
  <c r="M41" i="44"/>
  <c r="N41" i="44" s="1"/>
  <c r="M33" i="44"/>
  <c r="N33" i="44" s="1"/>
  <c r="F33" i="44"/>
  <c r="E18" i="45"/>
  <c r="W31" i="15"/>
  <c r="G19" i="46"/>
  <c r="H19" i="46" s="1"/>
  <c r="AI12" i="16"/>
  <c r="F25" i="45"/>
  <c r="M25" i="45"/>
  <c r="N25" i="45" s="1"/>
  <c r="I20" i="46"/>
  <c r="J20" i="46" s="1"/>
  <c r="AI17" i="17"/>
  <c r="G42" i="46"/>
  <c r="AI12" i="39"/>
  <c r="O37" i="46"/>
  <c r="AI27" i="34"/>
  <c r="O40" i="47"/>
  <c r="P40" i="44"/>
  <c r="I36" i="47"/>
  <c r="J36" i="47" s="1"/>
  <c r="J36" i="44"/>
  <c r="R34" i="47"/>
  <c r="S34" i="47" s="1"/>
  <c r="E27" i="45"/>
  <c r="W31" i="24"/>
  <c r="I24" i="46"/>
  <c r="J24" i="46" s="1"/>
  <c r="AI17" i="21"/>
  <c r="AI31" i="21" s="1"/>
  <c r="R27" i="47"/>
  <c r="S27" i="47" s="1"/>
  <c r="R27" i="44"/>
  <c r="E43" i="44"/>
  <c r="K31" i="40"/>
  <c r="K46" i="47"/>
  <c r="L46" i="47" s="1"/>
  <c r="O46" i="47"/>
  <c r="K45" i="46"/>
  <c r="AI22" i="42"/>
  <c r="R44" i="47"/>
  <c r="S44" i="47" s="1"/>
  <c r="I42" i="47"/>
  <c r="J42" i="47" s="1"/>
  <c r="O42" i="47"/>
  <c r="E34" i="45"/>
  <c r="W31" i="31"/>
  <c r="G39" i="47"/>
  <c r="H39" i="47" s="1"/>
  <c r="H39" i="44"/>
  <c r="AI31" i="34"/>
  <c r="G35" i="47"/>
  <c r="H35" i="47" s="1"/>
  <c r="I39" i="46"/>
  <c r="AI17" i="36"/>
  <c r="I44" i="47"/>
  <c r="J44" i="47" s="1"/>
  <c r="I33" i="47"/>
  <c r="J33" i="47" s="1"/>
  <c r="E40" i="47"/>
  <c r="M40" i="44"/>
  <c r="N40" i="44" s="1"/>
  <c r="F40" i="44"/>
  <c r="O30" i="47"/>
  <c r="P30" i="44"/>
  <c r="K32" i="47"/>
  <c r="L32" i="47" s="1"/>
  <c r="K23" i="47"/>
  <c r="L23" i="47" s="1"/>
  <c r="L23" i="44"/>
  <c r="O38" i="47"/>
  <c r="E30" i="46"/>
  <c r="AI7" i="27"/>
  <c r="E21" i="46"/>
  <c r="AI7" i="18"/>
  <c r="K31" i="34"/>
  <c r="K26" i="47"/>
  <c r="L26" i="47" s="1"/>
  <c r="L26" i="44"/>
  <c r="R19" i="47"/>
  <c r="S19" i="47" s="1"/>
  <c r="R19" i="44"/>
  <c r="K31" i="28"/>
  <c r="R33" i="47"/>
  <c r="S33" i="47" s="1"/>
  <c r="R33" i="44"/>
  <c r="I28" i="46"/>
  <c r="J28" i="46" s="1"/>
  <c r="AI17" i="25"/>
  <c r="K30" i="46"/>
  <c r="L30" i="46" s="1"/>
  <c r="AI22" i="27"/>
  <c r="G17" i="47"/>
  <c r="H17" i="47" s="1"/>
  <c r="H17" i="44"/>
  <c r="K15" i="47"/>
  <c r="L15" i="47" s="1"/>
  <c r="L15" i="44"/>
  <c r="AI31" i="12"/>
  <c r="L11" i="44"/>
  <c r="O17" i="46"/>
  <c r="AI27" i="14"/>
  <c r="R11" i="47"/>
  <c r="S11" i="47" s="1"/>
  <c r="R11" i="44"/>
  <c r="G13" i="47"/>
  <c r="H13" i="47" s="1"/>
  <c r="H13" i="44"/>
  <c r="G14" i="46"/>
  <c r="AI12" i="11"/>
  <c r="AI31" i="25"/>
  <c r="K19" i="47"/>
  <c r="L19" i="47" s="1"/>
  <c r="L19" i="44"/>
  <c r="R15" i="47"/>
  <c r="S15" i="47" s="1"/>
  <c r="R15" i="44"/>
  <c r="F9" i="45"/>
  <c r="M9" i="45"/>
  <c r="N9" i="45" s="1"/>
  <c r="K13" i="47"/>
  <c r="L13" i="47" s="1"/>
  <c r="K11" i="46"/>
  <c r="L11" i="46" s="1"/>
  <c r="AI22" i="8"/>
  <c r="AI31" i="8" s="1"/>
  <c r="H7" i="44"/>
  <c r="K31" i="19"/>
  <c r="W31" i="10"/>
  <c r="K31" i="6"/>
  <c r="G40" i="46"/>
  <c r="G40" i="47" s="1"/>
  <c r="H40" i="47" s="1"/>
  <c r="AI12" i="37"/>
  <c r="AI31" i="37" s="1"/>
  <c r="R39" i="47"/>
  <c r="S39" i="47" s="1"/>
  <c r="R39" i="44"/>
  <c r="R35" i="47"/>
  <c r="S35" i="47" s="1"/>
  <c r="R35" i="44"/>
  <c r="K39" i="46"/>
  <c r="AI22" i="36"/>
  <c r="AI31" i="36" s="1"/>
  <c r="F43" i="45"/>
  <c r="M43" i="45"/>
  <c r="N43" i="45" s="1"/>
  <c r="G34" i="46"/>
  <c r="AI12" i="31"/>
  <c r="R28" i="47"/>
  <c r="S28" i="47" s="1"/>
  <c r="R28" i="44"/>
  <c r="I21" i="47"/>
  <c r="J21" i="47" s="1"/>
  <c r="G44" i="47"/>
  <c r="H44" i="47" s="1"/>
  <c r="H44" i="44"/>
  <c r="W31" i="35"/>
  <c r="F45" i="45"/>
  <c r="M45" i="45"/>
  <c r="N45" i="45" s="1"/>
  <c r="G37" i="46"/>
  <c r="AI12" i="34"/>
  <c r="G28" i="47"/>
  <c r="H28" i="47" s="1"/>
  <c r="H28" i="44"/>
  <c r="E36" i="47"/>
  <c r="F36" i="44"/>
  <c r="M36" i="44"/>
  <c r="N36" i="44" s="1"/>
  <c r="E12" i="44"/>
  <c r="K31" i="9"/>
  <c r="G10" i="46"/>
  <c r="H10" i="46" s="1"/>
  <c r="AI12" i="7"/>
  <c r="J18" i="44"/>
  <c r="I10" i="47"/>
  <c r="J10" i="47" s="1"/>
  <c r="J10" i="44"/>
  <c r="R42" i="47"/>
  <c r="S42" i="47" s="1"/>
  <c r="R42" i="44"/>
  <c r="I35" i="46"/>
  <c r="J35" i="46" s="1"/>
  <c r="AI17" i="32"/>
  <c r="R38" i="47"/>
  <c r="S38" i="47" s="1"/>
  <c r="W31" i="36"/>
  <c r="E43" i="46"/>
  <c r="AI7" i="40"/>
  <c r="AI31" i="40" s="1"/>
  <c r="I41" i="46"/>
  <c r="J41" i="46" s="1"/>
  <c r="AI17" i="38"/>
  <c r="G42" i="47"/>
  <c r="H42" i="47" s="1"/>
  <c r="H42" i="44"/>
  <c r="G46" i="47"/>
  <c r="H46" i="47" s="1"/>
  <c r="H46" i="44"/>
  <c r="O43" i="47"/>
  <c r="P43" i="44"/>
  <c r="I34" i="46"/>
  <c r="AI17" i="31"/>
  <c r="K31" i="41"/>
  <c r="O39" i="47"/>
  <c r="P39" i="44"/>
  <c r="M37" i="46"/>
  <c r="N37" i="46" s="1"/>
  <c r="F37" i="46"/>
  <c r="K43" i="47"/>
  <c r="L43" i="47" s="1"/>
  <c r="G41" i="47"/>
  <c r="H41" i="47" s="1"/>
  <c r="M38" i="45"/>
  <c r="N38" i="45" s="1"/>
  <c r="K29" i="46"/>
  <c r="L29" i="46" s="1"/>
  <c r="AI22" i="26"/>
  <c r="O23" i="47"/>
  <c r="P23" i="44"/>
  <c r="I22" i="47"/>
  <c r="J22" i="47" s="1"/>
  <c r="J22" i="44"/>
  <c r="I30" i="46"/>
  <c r="J30" i="46" s="1"/>
  <c r="AI17" i="27"/>
  <c r="E37" i="47"/>
  <c r="M37" i="44"/>
  <c r="N37" i="44" s="1"/>
  <c r="F37" i="44"/>
  <c r="E30" i="45"/>
  <c r="W31" i="27"/>
  <c r="O25" i="46"/>
  <c r="AI27" i="22"/>
  <c r="W31" i="32"/>
  <c r="F31" i="44"/>
  <c r="M31" i="44"/>
  <c r="N31" i="44" s="1"/>
  <c r="O27" i="47"/>
  <c r="O32" i="46"/>
  <c r="AI27" i="29"/>
  <c r="AI31" i="35"/>
  <c r="G27" i="46"/>
  <c r="AI12" i="24"/>
  <c r="AI31" i="24" s="1"/>
  <c r="E23" i="44"/>
  <c r="K31" i="20"/>
  <c r="O33" i="47"/>
  <c r="K30" i="47"/>
  <c r="L30" i="47" s="1"/>
  <c r="L30" i="44"/>
  <c r="L28" i="44"/>
  <c r="G9" i="47"/>
  <c r="H9" i="47" s="1"/>
  <c r="H9" i="44"/>
  <c r="K31" i="23"/>
  <c r="I14" i="47"/>
  <c r="J14" i="47" s="1"/>
  <c r="J14" i="44"/>
  <c r="L20" i="44"/>
  <c r="G8" i="47"/>
  <c r="H8" i="47" s="1"/>
  <c r="H8" i="44"/>
  <c r="K10" i="47"/>
  <c r="L10" i="47" s="1"/>
  <c r="L10" i="44"/>
  <c r="R8" i="47"/>
  <c r="S8" i="47" s="1"/>
  <c r="R8" i="44"/>
  <c r="G22" i="47"/>
  <c r="H22" i="47" s="1"/>
  <c r="I23" i="47"/>
  <c r="J23" i="47" s="1"/>
  <c r="I17" i="47"/>
  <c r="J17" i="47" s="1"/>
  <c r="O14" i="46"/>
  <c r="P14" i="46" s="1"/>
  <c r="AI27" i="11"/>
  <c r="F28" i="46"/>
  <c r="K25" i="47"/>
  <c r="L25" i="47" s="1"/>
  <c r="E19" i="44"/>
  <c r="K31" i="16"/>
  <c r="G19" i="47"/>
  <c r="H19" i="47" s="1"/>
  <c r="H19" i="44"/>
  <c r="K14" i="47"/>
  <c r="L14" i="47" s="1"/>
  <c r="K21" i="47"/>
  <c r="L21" i="47" s="1"/>
  <c r="R14" i="47"/>
  <c r="S14" i="47" s="1"/>
  <c r="K31" i="5"/>
  <c r="AI31" i="9"/>
  <c r="H10" i="44"/>
  <c r="E65526" i="45"/>
  <c r="E7" i="45"/>
  <c r="W31" i="4"/>
  <c r="G15" i="47"/>
  <c r="H15" i="47" s="1"/>
  <c r="M22" i="44"/>
  <c r="N22" i="44" s="1"/>
  <c r="F22" i="44"/>
  <c r="F13" i="45"/>
  <c r="M13" i="45"/>
  <c r="N13" i="45" s="1"/>
  <c r="E9" i="47"/>
  <c r="F9" i="44"/>
  <c r="M9" i="44"/>
  <c r="N9" i="44" s="1"/>
  <c r="F11" i="46"/>
  <c r="O8" i="47"/>
  <c r="AI31" i="28" l="1"/>
  <c r="G30" i="47"/>
  <c r="H30" i="47" s="1"/>
  <c r="I30" i="47"/>
  <c r="J30" i="47" s="1"/>
  <c r="AI31" i="27"/>
  <c r="I29" i="47"/>
  <c r="J29" i="47" s="1"/>
  <c r="M28" i="46"/>
  <c r="N28" i="46" s="1"/>
  <c r="G25" i="47"/>
  <c r="H25" i="47" s="1"/>
  <c r="G24" i="47"/>
  <c r="H24" i="47" s="1"/>
  <c r="G20" i="47"/>
  <c r="H20" i="47" s="1"/>
  <c r="AI31" i="17"/>
  <c r="E14" i="47"/>
  <c r="I18" i="47"/>
  <c r="J18" i="47" s="1"/>
  <c r="AI31" i="7"/>
  <c r="M10" i="46"/>
  <c r="N10" i="46" s="1"/>
  <c r="G10" i="47"/>
  <c r="H10" i="47" s="1"/>
  <c r="G7" i="47"/>
  <c r="H7" i="47" s="1"/>
  <c r="M7" i="46"/>
  <c r="N7" i="46" s="1"/>
  <c r="F33" i="47"/>
  <c r="F44" i="47"/>
  <c r="F11" i="47"/>
  <c r="F7" i="45"/>
  <c r="M7" i="45"/>
  <c r="N7" i="45" s="1"/>
  <c r="M30" i="45"/>
  <c r="N30" i="45" s="1"/>
  <c r="F30" i="45"/>
  <c r="Q43" i="47"/>
  <c r="P43" i="47"/>
  <c r="F21" i="46"/>
  <c r="M21" i="46"/>
  <c r="N21" i="46" s="1"/>
  <c r="L42" i="46"/>
  <c r="K42" i="47"/>
  <c r="L42" i="47" s="1"/>
  <c r="Q23" i="47"/>
  <c r="P23" i="47"/>
  <c r="F30" i="46"/>
  <c r="M30" i="46"/>
  <c r="N30" i="46" s="1"/>
  <c r="P32" i="46"/>
  <c r="O32" i="47"/>
  <c r="H34" i="46"/>
  <c r="G34" i="47"/>
  <c r="H34" i="47" s="1"/>
  <c r="AI31" i="18"/>
  <c r="J39" i="46"/>
  <c r="I39" i="47"/>
  <c r="J27" i="46"/>
  <c r="I27" i="47"/>
  <c r="J27" i="47" s="1"/>
  <c r="M24" i="46"/>
  <c r="N24" i="46" s="1"/>
  <c r="F24" i="47"/>
  <c r="M22" i="46"/>
  <c r="N22" i="46" s="1"/>
  <c r="F22" i="46"/>
  <c r="P44" i="47"/>
  <c r="Q44" i="47"/>
  <c r="F46" i="46"/>
  <c r="M46" i="46"/>
  <c r="N46" i="46" s="1"/>
  <c r="F40" i="45"/>
  <c r="M40" i="45"/>
  <c r="N40" i="45" s="1"/>
  <c r="H23" i="46"/>
  <c r="M23" i="46"/>
  <c r="N23" i="46" s="1"/>
  <c r="G23" i="47"/>
  <c r="H23" i="47" s="1"/>
  <c r="M22" i="45"/>
  <c r="N22" i="45" s="1"/>
  <c r="F22" i="45"/>
  <c r="M45" i="46"/>
  <c r="N45" i="46" s="1"/>
  <c r="F45" i="46"/>
  <c r="F13" i="46"/>
  <c r="M13" i="46"/>
  <c r="N13" i="46" s="1"/>
  <c r="E13" i="47"/>
  <c r="P24" i="47"/>
  <c r="Q24" i="47"/>
  <c r="J19" i="46"/>
  <c r="I19" i="47"/>
  <c r="J19" i="47" s="1"/>
  <c r="E18" i="47"/>
  <c r="F18" i="44"/>
  <c r="M18" i="44"/>
  <c r="N18" i="44" s="1"/>
  <c r="P13" i="46"/>
  <c r="O13" i="47"/>
  <c r="J15" i="46"/>
  <c r="M15" i="46"/>
  <c r="N15" i="46" s="1"/>
  <c r="M46" i="45"/>
  <c r="N46" i="45" s="1"/>
  <c r="F46" i="45"/>
  <c r="O19" i="47"/>
  <c r="J40" i="46"/>
  <c r="I40" i="47"/>
  <c r="J40" i="47" s="1"/>
  <c r="J11" i="46"/>
  <c r="I11" i="47"/>
  <c r="J11" i="47" s="1"/>
  <c r="P9" i="46"/>
  <c r="O9" i="47"/>
  <c r="P29" i="46"/>
  <c r="O29" i="47"/>
  <c r="P40" i="47"/>
  <c r="Q40" i="47"/>
  <c r="F33" i="45"/>
  <c r="M33" i="45"/>
  <c r="N33" i="45" s="1"/>
  <c r="E45" i="47"/>
  <c r="M45" i="44"/>
  <c r="N45" i="44" s="1"/>
  <c r="F45" i="44"/>
  <c r="F29" i="47"/>
  <c r="P41" i="46"/>
  <c r="O41" i="47"/>
  <c r="E15" i="47"/>
  <c r="M15" i="44"/>
  <c r="N15" i="44" s="1"/>
  <c r="F15" i="44"/>
  <c r="P7" i="47"/>
  <c r="Q7" i="47"/>
  <c r="K22" i="47"/>
  <c r="L22" i="47" s="1"/>
  <c r="AI31" i="30"/>
  <c r="Q31" i="47"/>
  <c r="P31" i="47"/>
  <c r="L33" i="46"/>
  <c r="K33" i="47"/>
  <c r="L33" i="47" s="1"/>
  <c r="M33" i="46"/>
  <c r="N33" i="46" s="1"/>
  <c r="F33" i="46"/>
  <c r="F14" i="47"/>
  <c r="M14" i="45"/>
  <c r="N14" i="45" s="1"/>
  <c r="F14" i="45"/>
  <c r="L12" i="46"/>
  <c r="K12" i="47"/>
  <c r="L12" i="47" s="1"/>
  <c r="E21" i="47"/>
  <c r="F17" i="46"/>
  <c r="M17" i="46"/>
  <c r="N17" i="46" s="1"/>
  <c r="AI31" i="26"/>
  <c r="Q33" i="47"/>
  <c r="P33" i="47"/>
  <c r="F17" i="47"/>
  <c r="M17" i="47"/>
  <c r="P28" i="47"/>
  <c r="Q28" i="47"/>
  <c r="J7" i="46"/>
  <c r="I7" i="47"/>
  <c r="J7" i="47" s="1"/>
  <c r="L36" i="46"/>
  <c r="K36" i="47"/>
  <c r="L36" i="47" s="1"/>
  <c r="H26" i="46"/>
  <c r="G26" i="47"/>
  <c r="H26" i="47" s="1"/>
  <c r="F37" i="47"/>
  <c r="M37" i="47"/>
  <c r="L39" i="46"/>
  <c r="K39" i="47"/>
  <c r="L39" i="47" s="1"/>
  <c r="H14" i="46"/>
  <c r="G14" i="47"/>
  <c r="H14" i="47" s="1"/>
  <c r="Q38" i="47"/>
  <c r="P38" i="47"/>
  <c r="Q46" i="47"/>
  <c r="P46" i="47"/>
  <c r="P37" i="46"/>
  <c r="O37" i="47"/>
  <c r="M32" i="47"/>
  <c r="F32" i="47"/>
  <c r="Q21" i="47"/>
  <c r="P21" i="47"/>
  <c r="F42" i="47"/>
  <c r="M42" i="47"/>
  <c r="P36" i="46"/>
  <c r="O36" i="47"/>
  <c r="M11" i="46"/>
  <c r="N11" i="46" s="1"/>
  <c r="I24" i="47"/>
  <c r="J24" i="47" s="1"/>
  <c r="H27" i="46"/>
  <c r="G27" i="47"/>
  <c r="H27" i="47" s="1"/>
  <c r="M27" i="45"/>
  <c r="N27" i="45" s="1"/>
  <c r="F27" i="45"/>
  <c r="I46" i="47"/>
  <c r="J46" i="47" s="1"/>
  <c r="F32" i="46"/>
  <c r="M32" i="46"/>
  <c r="N32" i="46" s="1"/>
  <c r="P12" i="47"/>
  <c r="Q12" i="47"/>
  <c r="J31" i="46"/>
  <c r="M31" i="46"/>
  <c r="N31" i="46" s="1"/>
  <c r="M15" i="45"/>
  <c r="N15" i="45" s="1"/>
  <c r="F15" i="45"/>
  <c r="F38" i="47"/>
  <c r="E20" i="47"/>
  <c r="F20" i="44"/>
  <c r="M20" i="44"/>
  <c r="N20" i="44" s="1"/>
  <c r="AI31" i="16"/>
  <c r="O20" i="47"/>
  <c r="M23" i="45"/>
  <c r="N23" i="45" s="1"/>
  <c r="F23" i="45"/>
  <c r="Q11" i="47"/>
  <c r="P11" i="47"/>
  <c r="M18" i="46"/>
  <c r="N18" i="46" s="1"/>
  <c r="P16" i="47"/>
  <c r="Q16" i="47"/>
  <c r="F24" i="45"/>
  <c r="M24" i="45"/>
  <c r="N24" i="45" s="1"/>
  <c r="Q10" i="47"/>
  <c r="P10" i="47"/>
  <c r="E7" i="47"/>
  <c r="M7" i="44"/>
  <c r="N7" i="44" s="1"/>
  <c r="F7" i="44"/>
  <c r="F26" i="47"/>
  <c r="F29" i="46"/>
  <c r="M29" i="46"/>
  <c r="N29" i="46" s="1"/>
  <c r="M43" i="46"/>
  <c r="N43" i="46" s="1"/>
  <c r="F43" i="46"/>
  <c r="M36" i="46"/>
  <c r="N36" i="46" s="1"/>
  <c r="F36" i="46"/>
  <c r="E16" i="47"/>
  <c r="M16" i="44"/>
  <c r="N16" i="44" s="1"/>
  <c r="F16" i="44"/>
  <c r="E34" i="47"/>
  <c r="F34" i="44"/>
  <c r="M34" i="44"/>
  <c r="N34" i="44" s="1"/>
  <c r="Q8" i="47"/>
  <c r="P8" i="47"/>
  <c r="F31" i="47"/>
  <c r="Q39" i="47"/>
  <c r="P39" i="47"/>
  <c r="K11" i="47"/>
  <c r="L11" i="47" s="1"/>
  <c r="L40" i="46"/>
  <c r="K40" i="47"/>
  <c r="L40" i="47" s="1"/>
  <c r="M9" i="46"/>
  <c r="N9" i="46" s="1"/>
  <c r="F9" i="46"/>
  <c r="M27" i="46"/>
  <c r="N27" i="46" s="1"/>
  <c r="F11" i="45"/>
  <c r="M11" i="45"/>
  <c r="N11" i="45" s="1"/>
  <c r="K28" i="47"/>
  <c r="L28" i="47" s="1"/>
  <c r="H37" i="46"/>
  <c r="G37" i="47"/>
  <c r="H37" i="47" s="1"/>
  <c r="M34" i="45"/>
  <c r="N34" i="45" s="1"/>
  <c r="F34" i="45"/>
  <c r="AI31" i="39"/>
  <c r="F41" i="47"/>
  <c r="E46" i="47"/>
  <c r="M46" i="44"/>
  <c r="N46" i="44" s="1"/>
  <c r="F46" i="44"/>
  <c r="Q18" i="47"/>
  <c r="P18" i="47"/>
  <c r="I28" i="47"/>
  <c r="J28" i="47" s="1"/>
  <c r="L31" i="46"/>
  <c r="K31" i="47"/>
  <c r="L31" i="47" s="1"/>
  <c r="E30" i="47"/>
  <c r="O14" i="47"/>
  <c r="F19" i="46"/>
  <c r="M19" i="46"/>
  <c r="N19" i="46" s="1"/>
  <c r="M25" i="46"/>
  <c r="N25" i="46" s="1"/>
  <c r="F25" i="46"/>
  <c r="I41" i="47"/>
  <c r="J41" i="47" s="1"/>
  <c r="M26" i="46"/>
  <c r="N26" i="46" s="1"/>
  <c r="AI31" i="11"/>
  <c r="M20" i="46"/>
  <c r="N20" i="46" s="1"/>
  <c r="Q26" i="47"/>
  <c r="P26" i="47"/>
  <c r="F9" i="47"/>
  <c r="M9" i="47"/>
  <c r="Q27" i="47"/>
  <c r="P27" i="47"/>
  <c r="Q30" i="47"/>
  <c r="P30" i="47"/>
  <c r="Q35" i="47"/>
  <c r="P35" i="47"/>
  <c r="F36" i="47"/>
  <c r="M36" i="47"/>
  <c r="H40" i="46"/>
  <c r="M40" i="46"/>
  <c r="N40" i="46" s="1"/>
  <c r="P17" i="46"/>
  <c r="O17" i="47"/>
  <c r="Q45" i="47"/>
  <c r="P45" i="47"/>
  <c r="M44" i="45"/>
  <c r="N44" i="45" s="1"/>
  <c r="F44" i="45"/>
  <c r="L44" i="46"/>
  <c r="K44" i="47"/>
  <c r="L44" i="47" s="1"/>
  <c r="E23" i="47"/>
  <c r="M23" i="44"/>
  <c r="N23" i="44" s="1"/>
  <c r="F23" i="44"/>
  <c r="L45" i="46"/>
  <c r="K45" i="47"/>
  <c r="L45" i="47" s="1"/>
  <c r="M40" i="47"/>
  <c r="F40" i="47"/>
  <c r="E28" i="47"/>
  <c r="F28" i="44"/>
  <c r="M28" i="44"/>
  <c r="N28" i="44" s="1"/>
  <c r="E22" i="47"/>
  <c r="E19" i="47"/>
  <c r="F19" i="44"/>
  <c r="M19" i="44"/>
  <c r="N19" i="44" s="1"/>
  <c r="K20" i="47"/>
  <c r="L20" i="47" s="1"/>
  <c r="P25" i="46"/>
  <c r="O25" i="47"/>
  <c r="J34" i="46"/>
  <c r="I34" i="47"/>
  <c r="J34" i="47" s="1"/>
  <c r="E12" i="47"/>
  <c r="M12" i="44"/>
  <c r="N12" i="44" s="1"/>
  <c r="F12" i="44"/>
  <c r="I26" i="47"/>
  <c r="J26" i="47" s="1"/>
  <c r="Q42" i="47"/>
  <c r="P42" i="47"/>
  <c r="E43" i="47"/>
  <c r="F43" i="44"/>
  <c r="M43" i="44"/>
  <c r="N43" i="44" s="1"/>
  <c r="H42" i="46"/>
  <c r="M42" i="46"/>
  <c r="N42" i="46" s="1"/>
  <c r="F18" i="45"/>
  <c r="M18" i="45"/>
  <c r="N18" i="45" s="1"/>
  <c r="J43" i="46"/>
  <c r="I43" i="47"/>
  <c r="J43" i="47" s="1"/>
  <c r="M16" i="46"/>
  <c r="N16" i="46" s="1"/>
  <c r="E27" i="47"/>
  <c r="F32" i="45"/>
  <c r="M32" i="45"/>
  <c r="N32" i="45" s="1"/>
  <c r="AI31" i="19"/>
  <c r="AI31" i="43"/>
  <c r="F31" i="45"/>
  <c r="M31" i="45"/>
  <c r="N31" i="45" s="1"/>
  <c r="E25" i="47"/>
  <c r="F25" i="44"/>
  <c r="M25" i="44"/>
  <c r="N25" i="44" s="1"/>
  <c r="J38" i="46"/>
  <c r="I38" i="47"/>
  <c r="J38" i="47" s="1"/>
  <c r="I35" i="47"/>
  <c r="J35" i="47" s="1"/>
  <c r="AI31" i="42"/>
  <c r="Q22" i="47"/>
  <c r="P22" i="47"/>
  <c r="AI31" i="10"/>
  <c r="F42" i="45"/>
  <c r="M42" i="45"/>
  <c r="N42" i="45" s="1"/>
  <c r="F21" i="45"/>
  <c r="M21" i="45"/>
  <c r="N21" i="45" s="1"/>
  <c r="F14" i="46"/>
  <c r="M14" i="46"/>
  <c r="N14" i="46" s="1"/>
  <c r="F10" i="47"/>
  <c r="M10" i="47"/>
  <c r="K29" i="47"/>
  <c r="L29" i="47" s="1"/>
  <c r="F8" i="47"/>
  <c r="M8" i="47"/>
  <c r="I20" i="47"/>
  <c r="J20" i="47" s="1"/>
  <c r="Q15" i="47"/>
  <c r="P15" i="47"/>
  <c r="M35" i="47"/>
  <c r="M31" i="47" l="1"/>
  <c r="N31" i="47" s="1"/>
  <c r="M26" i="47"/>
  <c r="U26" i="47" s="1"/>
  <c r="M24" i="47"/>
  <c r="N24" i="47" s="1"/>
  <c r="N40" i="47"/>
  <c r="U40" i="47"/>
  <c r="N36" i="47"/>
  <c r="U36" i="47"/>
  <c r="U9" i="47"/>
  <c r="N9" i="47"/>
  <c r="P20" i="47"/>
  <c r="Q20" i="47"/>
  <c r="N42" i="47"/>
  <c r="U42" i="47"/>
  <c r="U37" i="47"/>
  <c r="N37" i="47"/>
  <c r="Q29" i="47"/>
  <c r="P29" i="47"/>
  <c r="Q19" i="47"/>
  <c r="P19" i="47"/>
  <c r="F21" i="47"/>
  <c r="M21" i="47"/>
  <c r="F18" i="47"/>
  <c r="M18" i="47"/>
  <c r="Q9" i="47"/>
  <c r="P9" i="47"/>
  <c r="P32" i="47"/>
  <c r="Q32" i="47"/>
  <c r="F45" i="47"/>
  <c r="M45" i="47"/>
  <c r="M11" i="47"/>
  <c r="F20" i="47"/>
  <c r="M20" i="47"/>
  <c r="M44" i="47"/>
  <c r="F12" i="47"/>
  <c r="M12" i="47"/>
  <c r="F25" i="47"/>
  <c r="M25" i="47"/>
  <c r="F7" i="47"/>
  <c r="M7" i="47"/>
  <c r="Q25" i="47"/>
  <c r="P25" i="47"/>
  <c r="M23" i="47"/>
  <c r="F23" i="47"/>
  <c r="F30" i="47"/>
  <c r="M30" i="47"/>
  <c r="F46" i="47"/>
  <c r="M46" i="47"/>
  <c r="M38" i="47"/>
  <c r="N32" i="47"/>
  <c r="U32" i="47"/>
  <c r="Q41" i="47"/>
  <c r="P41" i="47"/>
  <c r="Q13" i="47"/>
  <c r="P13" i="47"/>
  <c r="J39" i="47"/>
  <c r="M39" i="47"/>
  <c r="M16" i="47"/>
  <c r="F16" i="47"/>
  <c r="N10" i="47"/>
  <c r="U10" i="47"/>
  <c r="M27" i="47"/>
  <c r="F27" i="47"/>
  <c r="U35" i="47"/>
  <c r="N35" i="47"/>
  <c r="F22" i="47"/>
  <c r="M22" i="47"/>
  <c r="Q17" i="47"/>
  <c r="P17" i="47"/>
  <c r="F28" i="47"/>
  <c r="M28" i="47"/>
  <c r="M41" i="47"/>
  <c r="F34" i="47"/>
  <c r="M34" i="47"/>
  <c r="P36" i="47"/>
  <c r="Q36" i="47"/>
  <c r="Q37" i="47"/>
  <c r="P37" i="47"/>
  <c r="M14" i="47"/>
  <c r="F13" i="47"/>
  <c r="M13" i="47"/>
  <c r="M33" i="47"/>
  <c r="M19" i="47"/>
  <c r="F19" i="47"/>
  <c r="N17" i="47"/>
  <c r="U17" i="47"/>
  <c r="M43" i="47"/>
  <c r="F43" i="47"/>
  <c r="Q14" i="47"/>
  <c r="P14" i="47"/>
  <c r="M15" i="47"/>
  <c r="F15" i="47"/>
  <c r="U8" i="47"/>
  <c r="N8" i="47"/>
  <c r="M29" i="47"/>
  <c r="U31" i="47" l="1"/>
  <c r="T31" i="47" s="1"/>
  <c r="N26" i="47"/>
  <c r="U24" i="47"/>
  <c r="T24" i="47" s="1"/>
  <c r="V17" i="47"/>
  <c r="T17" i="47"/>
  <c r="N41" i="47"/>
  <c r="U41" i="47"/>
  <c r="N46" i="47"/>
  <c r="U46" i="47"/>
  <c r="T8" i="47"/>
  <c r="V8" i="47"/>
  <c r="N28" i="47"/>
  <c r="U28" i="47"/>
  <c r="N30" i="47"/>
  <c r="U30" i="47"/>
  <c r="N18" i="47"/>
  <c r="U18" i="47"/>
  <c r="T35" i="47"/>
  <c r="V35" i="47"/>
  <c r="N7" i="47"/>
  <c r="U7" i="47"/>
  <c r="U27" i="47"/>
  <c r="N27" i="47"/>
  <c r="N25" i="47"/>
  <c r="U25" i="47"/>
  <c r="V37" i="47"/>
  <c r="T37" i="47"/>
  <c r="V42" i="47"/>
  <c r="T42" i="47"/>
  <c r="T32" i="47"/>
  <c r="V32" i="47"/>
  <c r="N33" i="47"/>
  <c r="U33" i="47"/>
  <c r="N34" i="47"/>
  <c r="U34" i="47"/>
  <c r="N16" i="47"/>
  <c r="U16" i="47"/>
  <c r="N44" i="47"/>
  <c r="U44" i="47"/>
  <c r="T40" i="47"/>
  <c r="V40" i="47"/>
  <c r="V26" i="47"/>
  <c r="T26" i="47"/>
  <c r="N14" i="47"/>
  <c r="U14" i="47"/>
  <c r="U11" i="47"/>
  <c r="N11" i="47"/>
  <c r="N45" i="47"/>
  <c r="U45" i="47"/>
  <c r="U15" i="47"/>
  <c r="N15" i="47"/>
  <c r="U19" i="47"/>
  <c r="N19" i="47"/>
  <c r="V10" i="47"/>
  <c r="T10" i="47"/>
  <c r="V9" i="47"/>
  <c r="T9" i="47"/>
  <c r="N12" i="47"/>
  <c r="U12" i="47"/>
  <c r="U21" i="47"/>
  <c r="N21" i="47"/>
  <c r="V36" i="47"/>
  <c r="T36" i="47"/>
  <c r="N22" i="47"/>
  <c r="U22" i="47"/>
  <c r="U23" i="47"/>
  <c r="N23" i="47"/>
  <c r="U29" i="47"/>
  <c r="N29" i="47"/>
  <c r="U43" i="47"/>
  <c r="N43" i="47"/>
  <c r="U13" i="47"/>
  <c r="N13" i="47"/>
  <c r="U39" i="47"/>
  <c r="N39" i="47"/>
  <c r="N38" i="47"/>
  <c r="U38" i="47"/>
  <c r="N20" i="47"/>
  <c r="U20" i="47"/>
  <c r="V31" i="47" l="1"/>
  <c r="V24" i="47"/>
  <c r="V45" i="47"/>
  <c r="T45" i="47"/>
  <c r="V20" i="47"/>
  <c r="T20" i="47"/>
  <c r="V33" i="47"/>
  <c r="T33" i="47"/>
  <c r="V25" i="47"/>
  <c r="T25" i="47"/>
  <c r="T43" i="47"/>
  <c r="V43" i="47"/>
  <c r="V46" i="47"/>
  <c r="T46" i="47"/>
  <c r="V29" i="47"/>
  <c r="T29" i="47"/>
  <c r="V14" i="47"/>
  <c r="T14" i="47"/>
  <c r="V7" i="47"/>
  <c r="T7" i="47"/>
  <c r="T23" i="47"/>
  <c r="V23" i="47"/>
  <c r="V18" i="47"/>
  <c r="T18" i="47"/>
  <c r="V38" i="47"/>
  <c r="T38" i="47"/>
  <c r="T16" i="47"/>
  <c r="V16" i="47"/>
  <c r="V28" i="47"/>
  <c r="T28" i="47"/>
  <c r="T39" i="47"/>
  <c r="V39" i="47"/>
  <c r="T19" i="47"/>
  <c r="V19" i="47"/>
  <c r="V22" i="47"/>
  <c r="T22" i="47"/>
  <c r="V12" i="47"/>
  <c r="T12" i="47"/>
  <c r="V34" i="47"/>
  <c r="T34" i="47"/>
  <c r="V44" i="47"/>
  <c r="T44" i="47"/>
  <c r="V30" i="47"/>
  <c r="T30" i="47"/>
  <c r="T11" i="47"/>
  <c r="V11" i="47"/>
  <c r="T27" i="47"/>
  <c r="V27" i="47"/>
  <c r="V41" i="47"/>
  <c r="T41" i="47"/>
  <c r="V21" i="47"/>
  <c r="T21" i="47"/>
  <c r="V13" i="47"/>
  <c r="T13" i="47"/>
  <c r="V15" i="47"/>
  <c r="T15" i="47"/>
  <c r="T47" i="47" l="1"/>
  <c r="L48" i="47" s="1"/>
  <c r="L49" i="47" s="1"/>
  <c r="S48" i="47" l="1"/>
  <c r="S49" i="47" s="1"/>
  <c r="P48" i="47"/>
  <c r="P49" i="47" s="1"/>
</calcChain>
</file>

<file path=xl/sharedStrings.xml><?xml version="1.0" encoding="utf-8"?>
<sst xmlns="http://schemas.openxmlformats.org/spreadsheetml/2006/main" count="6087" uniqueCount="209">
  <si>
    <t>วิธีใช้แบบประเมินพฤติกรรมนักเรียน SDQ</t>
  </si>
  <si>
    <t>1.   ต้องมีแบบประเมินพฤติกรรม SDQ1 ฉบับนักเรียนประเมินตนเอง</t>
  </si>
  <si>
    <t>SDQ1 ฉบับนักเรียนประเมินตนเอง</t>
  </si>
  <si>
    <t>SDQ2 ฉบับครูประเมินนักเรียน</t>
  </si>
  <si>
    <t>SDQ3 ฉบับผู้ปกครองประเมินนักเรียน ที่ทำการประเมินเรียบร้อยแล้ว (ครบทั้ง 3 ชุด)</t>
  </si>
  <si>
    <r>
      <t xml:space="preserve">2.    ที่ Sheet  </t>
    </r>
    <r>
      <rPr>
        <b/>
        <u/>
        <sz val="18"/>
        <color rgb="FF000000"/>
        <rFont val="THSarabunNew"/>
      </rPr>
      <t>รายชื่อนักเรียน</t>
    </r>
    <r>
      <rPr>
        <sz val="18"/>
        <color rgb="FF000000"/>
        <rFont val="THSarabunNew"/>
      </rPr>
      <t xml:space="preserve">  ให้พิมพ์รายชื่อนักเรียนและเลขประจำตัว </t>
    </r>
    <r>
      <rPr>
        <b/>
        <sz val="18"/>
        <color rgb="FF993300"/>
        <rFont val="THSarabunNew"/>
      </rPr>
      <t>ลงที่หน้านี้เท่านั้น</t>
    </r>
  </si>
  <si>
    <r>
      <t xml:space="preserve">ถ้ารายชื่อไม่ถึง 40 คน ให้ลบคอลั่มน์ที่ไม่ได้ใช้ทิ้ง </t>
    </r>
    <r>
      <rPr>
        <b/>
        <sz val="18"/>
        <color rgb="FF993300"/>
        <rFont val="THSarabunNew"/>
      </rPr>
      <t>(ให้ลบทุก Sheet)</t>
    </r>
  </si>
  <si>
    <r>
      <t xml:space="preserve">3.   ที่ Sheet  </t>
    </r>
    <r>
      <rPr>
        <b/>
        <u/>
        <sz val="18"/>
        <color rgb="FF000000"/>
        <rFont val="THSarabunNew"/>
      </rPr>
      <t>ข้อมูล</t>
    </r>
    <r>
      <rPr>
        <sz val="18"/>
        <color rgb="FF000000"/>
        <rFont val="THSarabunNew"/>
      </rPr>
      <t xml:space="preserve"> ให้แก้ไขเฉพาะ</t>
    </r>
    <r>
      <rPr>
        <b/>
        <sz val="18"/>
        <color rgb="FF0066CC"/>
        <rFont val="THSarabunNew"/>
      </rPr>
      <t xml:space="preserve">กรอบสีฟ้า </t>
    </r>
    <r>
      <rPr>
        <b/>
        <sz val="18"/>
        <color rgb="FF993300"/>
        <rFont val="THSarabunNew"/>
      </rPr>
      <t>เท่านั้น</t>
    </r>
    <r>
      <rPr>
        <sz val="18"/>
        <color rgb="FF000000"/>
        <rFont val="THSarabunNew"/>
      </rPr>
      <t xml:space="preserve"> </t>
    </r>
  </si>
  <si>
    <r>
      <t xml:space="preserve">4.   ที่ Sheet </t>
    </r>
    <r>
      <rPr>
        <b/>
        <u/>
        <sz val="18"/>
        <color rgb="FF000000"/>
        <rFont val="THSarabunNew"/>
      </rPr>
      <t>ประเมินตนเอง, ครูประเมิน, และผู้ปกครองประเมิน</t>
    </r>
    <r>
      <rPr>
        <sz val="18"/>
        <color rgb="FF000000"/>
        <rFont val="THSarabunNew"/>
      </rPr>
      <t xml:space="preserve">   </t>
    </r>
    <r>
      <rPr>
        <b/>
        <sz val="18"/>
        <color rgb="FF993300"/>
        <rFont val="THSarabunNew"/>
      </rPr>
      <t>ให้พิมพ์เลข 1</t>
    </r>
    <r>
      <rPr>
        <sz val="18"/>
        <color rgb="FF0000FF"/>
        <rFont val="THSarabunNew"/>
      </rPr>
      <t xml:space="preserve"> </t>
    </r>
    <r>
      <rPr>
        <sz val="18"/>
        <color rgb="FF000000"/>
        <rFont val="THSarabunNew"/>
      </rPr>
      <t>(แทนเครื่องหมายถูก) ลงในช่องรายการประเมินตามข้อมูลที่ประเมินมาเท่านั้น เช่น</t>
    </r>
  </si>
  <si>
    <t>รายการประเมิน</t>
  </si>
  <si>
    <t>ข้อที่</t>
  </si>
  <si>
    <t>ไม่จริง</t>
  </si>
  <si>
    <t>ค่อนข้างจริง</t>
  </si>
  <si>
    <t>จริง</t>
  </si>
  <si>
    <r>
      <t xml:space="preserve">5. ใน 1 ข้อ ให้พิมพ์เลข 1 เพียง </t>
    </r>
    <r>
      <rPr>
        <b/>
        <sz val="18"/>
        <color rgb="FFFF0000"/>
        <rFont val="THSarabunNew"/>
      </rPr>
      <t>1 ครั้งเท่านั้น</t>
    </r>
  </si>
  <si>
    <t>6. ขณะที่ป้อนข้อมูลโปรแกรมจะทำการรวมผลไปตลอดเวลา ดังนั้นจะเห็นการเปลี่ยนแปลงของตัวเลขในช่องคะแนนรวมเรื่อย ๆ อีกทั้งจะทำการแปลผลไปในตัวเลย</t>
  </si>
  <si>
    <r>
      <t xml:space="preserve">7.   ใน Sheet </t>
    </r>
    <r>
      <rPr>
        <b/>
        <sz val="18"/>
        <color rgb="FFFF0000"/>
        <rFont val="THSarabunNew"/>
      </rPr>
      <t>แปลผล และ</t>
    </r>
    <r>
      <rPr>
        <sz val="18"/>
        <color rgb="FFFF0000"/>
        <rFont val="THSarabunNew"/>
      </rPr>
      <t xml:space="preserve"> </t>
    </r>
    <r>
      <rPr>
        <b/>
        <sz val="18"/>
        <color rgb="FFFF0000"/>
        <rFont val="THSarabunNew"/>
      </rPr>
      <t>สรุปรวม</t>
    </r>
    <r>
      <rPr>
        <sz val="18"/>
        <color rgb="FF000000"/>
        <rFont val="THSarabunNew"/>
      </rPr>
      <t xml:space="preserve"> -- </t>
    </r>
    <r>
      <rPr>
        <b/>
        <sz val="18"/>
        <color rgb="FF993300"/>
        <rFont val="THSarabunNew"/>
      </rPr>
      <t xml:space="preserve">ไม่ต้องกรอกข้อมูลใด ๆ ทั้งสิ้น </t>
    </r>
  </si>
  <si>
    <t>8. ส่งไฟล์มาที่ SDQTHAITSCHOOL@gmail.com</t>
  </si>
  <si>
    <t>หมายเหตุ</t>
  </si>
  <si>
    <t>ก. โปรแกรมนี้จัดทำสำหรับนักเรียนมากที่สุด 40 คน ต่อ 1 ห้องเรียน</t>
  </si>
  <si>
    <r>
      <t xml:space="preserve">ข. ถ้ารายชื่อไม่ถึง 40 คน ให้์ลบถวท่ี่ไม่ได้ใช้ทิ้งได้  </t>
    </r>
    <r>
      <rPr>
        <b/>
        <sz val="20"/>
        <color rgb="FFFF0000"/>
        <rFont val="THSarabunNew"/>
      </rPr>
      <t>(ให้ลบทุก Sheet)</t>
    </r>
  </si>
  <si>
    <t>ค. ใช้ font TH Sarabun New ขนาด 14 P.</t>
  </si>
  <si>
    <t>กลุ่มงานระบบดูแลช่วยเหลือนักเรียน</t>
  </si>
  <si>
    <t>1</t>
  </si>
  <si>
    <t>เด็กชาย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</si>
  <si>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</si>
  <si>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</si>
  <si>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</si>
  <si>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</si>
  <si>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</si>
  <si>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</si>
  <si>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</si>
  <si>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</si>
  <si>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</si>
  <si>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</si>
  <si>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</si>
  <si>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นัธทวัฒน์</t>
  </si>
  <si>
    <t>13</t>
  </si>
  <si>
    <t>14</t>
  </si>
  <si>
    <t>15</t>
  </si>
  <si>
    <t>16</t>
  </si>
  <si>
    <t>17</t>
  </si>
  <si>
    <t>18</t>
  </si>
  <si>
    <t>19</t>
  </si>
  <si>
    <t>เด็กหญิง</t>
  </si>
  <si>
    <t>20</t>
  </si>
  <si>
    <t>นันท์นภัส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</si>
  <si>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</si>
  <si>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</si>
  <si>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</si>
  <si>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</si>
  <si>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</si>
  <si>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</si>
  <si>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</si>
  <si>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</si>
  <si>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</si>
  <si>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</si>
  <si>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</si>
  <si>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</si>
  <si>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</si>
  <si>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</si>
  <si>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</si>
  <si>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</si>
  <si>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</si>
  <si>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</si>
  <si>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</si>
  <si>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</si>
  <si>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แก้เฉพาะในกรอบสีฟ้า</t>
  </si>
  <si>
    <t>ระดับ</t>
  </si>
  <si>
    <t>ชั้นประถมศึกษาปีที่</t>
  </si>
  <si>
    <t>ชั้น</t>
  </si>
  <si>
    <t>จำนวนนักเรียนทั้งหมด</t>
  </si>
  <si>
    <t>คน</t>
  </si>
  <si>
    <t>ปีการศึกษา</t>
  </si>
  <si>
    <t>ครูที่ปรึกษา 1</t>
  </si>
  <si>
    <t xml:space="preserve">ถ้ามีคนเดียว ให้ใส่ชื่อที่ครูที่ปรึกษา 1 แล้้้วใส่เครื่องหมายลบ (-) ที่ช่องครูที่ปรึกษา 2  </t>
  </si>
  <si>
    <t>ครูที่ปรึกษา 2</t>
  </si>
  <si>
    <t>โรงเรียน</t>
  </si>
  <si>
    <t>โรงเรียนเทศบาลท่าอิฐ อำเภอเมือง จังหวัดอุตรดิตถ์</t>
  </si>
  <si>
    <t>ระดับประถม</t>
  </si>
  <si>
    <t>ระดับมัธยม</t>
  </si>
  <si>
    <t>ชั้นมัธยมศึกษาปีที่</t>
  </si>
  <si>
    <t xml:space="preserve">                                                  ผลการประเมินพฤติกรรมตนเอง (SDQ)                                                </t>
  </si>
  <si>
    <t>ผลการประเมินพฤติกรรม ครูประเมินนักเรียน (SDQ)</t>
  </si>
  <si>
    <t>ผลการประเมินพฤติกรรม ผู้ปกครองประเมินนักเรียน (SDQ)</t>
  </si>
  <si>
    <t>ชื่อ-สกุล</t>
  </si>
  <si>
    <t>SDQ1</t>
  </si>
  <si>
    <t>SDQ2</t>
  </si>
  <si>
    <t>SDQ3</t>
  </si>
  <si>
    <t>รายการประเมินโดยนักเรียน</t>
  </si>
  <si>
    <t>คะแนน</t>
  </si>
  <si>
    <t>รวมคะแนนด้านอารมณ์ 10 คะแนน</t>
  </si>
  <si>
    <t>รายการประเมินโดยครู</t>
  </si>
  <si>
    <t>รายการประเมินโดยผู้ปกครอง</t>
  </si>
  <si>
    <t>รวม</t>
  </si>
  <si>
    <t>เกณฑ์  0 - 5 ปกติ , 6 - 10  เสี่ยง/มีปัญหา</t>
  </si>
  <si>
    <t>รวมคะแนนด้านความประพฤติ/เกเร 10 คะแนน</t>
  </si>
  <si>
    <t xml:space="preserve">เกณฑ์  0 - 4 ปกติ , 5 - 10 เสี่ยง/มีปัญหา </t>
  </si>
  <si>
    <t>รวมคะแนนพฤติกรรมอยู่ไม่นิ่ง/สมาธิสั้น 10 คะแนน</t>
  </si>
  <si>
    <t xml:space="preserve">เกณฑ์  0 - 5 ปกติ , 6 - 10 เสี่ยง/มีปัญหา </t>
  </si>
  <si>
    <t>รวมคะแนนด้านความสัมพันธ์กับเพื่อน 10 คะแนน</t>
  </si>
  <si>
    <t xml:space="preserve">เกณฑ์  0 - 3  ปกติ , 4 - 10 เสี่ยง/มีปัญหา </t>
  </si>
  <si>
    <t>รวมคะแนนสัมพันธภาพทางสังคม 30 คะแนน</t>
  </si>
  <si>
    <t>เกณฑ์  4 - 10 มีจุดแข็ง , 0 - 3 ไม่มีจุดแข็ง</t>
  </si>
  <si>
    <t>คะแนนรวมพฤติกรรมที่เป็นปัญหา 4 ด้าน</t>
  </si>
  <si>
    <t>เกณฑ์  0 - 16 ปกติ , 17 - 40 เสี่ยง/มีปัญหา/มีปัญหา</t>
  </si>
  <si>
    <t>ด้านหลัง</t>
  </si>
  <si>
    <t>ปัญหาด้านอารมณ์ สมาธิ หรือความสามารถเข้ากับผู้อื่น</t>
  </si>
  <si>
    <t>ข้อ</t>
  </si>
  <si>
    <t>ไม่</t>
  </si>
  <si>
    <t>เล็กน้อย</t>
  </si>
  <si>
    <t>ค่อนข้างมาก</t>
  </si>
  <si>
    <t>มาก</t>
  </si>
  <si>
    <t>ปัญหาเล็กน้อย</t>
  </si>
  <si>
    <t>ปัญหาชัดเจน</t>
  </si>
  <si>
    <t>ปัญหาอย่างมาก</t>
  </si>
  <si>
    <t>สรุปการแปลผลด้านหลัง</t>
  </si>
  <si>
    <t>อารมณ์</t>
  </si>
  <si>
    <t xml:space="preserve">เกณฑ์ 0 ปกติ </t>
  </si>
  <si>
    <t>เวลา</t>
  </si>
  <si>
    <t>คะแนนรวม 1 คะแนนขึ้นไป เสี่ยง/มีปัญหา</t>
  </si>
  <si>
    <t>รู้สึก</t>
  </si>
  <si>
    <t>ความเป็นอยู่</t>
  </si>
  <si>
    <t>การคบเพื่อน</t>
  </si>
  <si>
    <t>การเรียนในห้องเรียน</t>
  </si>
  <si>
    <t>กิจกรรมยามว่าง</t>
  </si>
  <si>
    <t>ครอบครัว</t>
  </si>
  <si>
    <r>
      <t xml:space="preserve">สรุปแปลผลการประเมิน SDQ 1 </t>
    </r>
    <r>
      <rPr>
        <b/>
        <sz val="16"/>
        <color rgb="FFFF0000"/>
        <rFont val="THSarabunNew"/>
      </rPr>
      <t>นักเรียนประเมินตนเอง</t>
    </r>
  </si>
  <si>
    <t>ครูประจำชั้น</t>
  </si>
  <si>
    <t>ประจำปีการศึกษา</t>
  </si>
  <si>
    <t>เลขที่</t>
  </si>
  <si>
    <t>ชื่อ</t>
  </si>
  <si>
    <t>ความประพฤติ</t>
  </si>
  <si>
    <t>ไม่อยู่นิ่ง</t>
  </si>
  <si>
    <t>เพื่อน</t>
  </si>
  <si>
    <t>คะแนนรวม 4 ด้าน</t>
  </si>
  <si>
    <t>สัมพันภาพสังคม</t>
  </si>
  <si>
    <t>คะแนนรวมด้านหลัง</t>
  </si>
  <si>
    <t>ได้คะแนน</t>
  </si>
  <si>
    <t>แปลผล</t>
  </si>
  <si>
    <r>
      <t xml:space="preserve">สรุปแปลผลการประเมิน SDQ 2 </t>
    </r>
    <r>
      <rPr>
        <b/>
        <sz val="16"/>
        <color rgb="FFFF0000"/>
        <rFont val="THSarabunNew"/>
      </rPr>
      <t>ครูประเมินนักเรียน</t>
    </r>
  </si>
  <si>
    <r>
      <t>สรุปแปลผลการประเมิน SDQ 3</t>
    </r>
    <r>
      <rPr>
        <b/>
        <sz val="16"/>
        <color rgb="FFFF0000"/>
        <rFont val="THSarabunNew"/>
      </rPr>
      <t xml:space="preserve"> ผู้ปกครองประเมินนักเรียน</t>
    </r>
  </si>
  <si>
    <t>สรุปแปลผลการประเมินSDQ</t>
  </si>
  <si>
    <t>สรุปรวมทั้ง 3 ด้าน</t>
  </si>
  <si>
    <t>ครูที่ปรึกษา</t>
  </si>
  <si>
    <t>สรุป</t>
  </si>
  <si>
    <t xml:space="preserve">คน </t>
  </si>
  <si>
    <t>แยกเป็น</t>
  </si>
  <si>
    <t>กลุ่มปกติ</t>
  </si>
  <si>
    <t>กลุ่มเสี่ยง</t>
  </si>
  <si>
    <t>คิดเป็นร้อยละ</t>
  </si>
  <si>
    <t>ลงชื่อ…………………………………………………….</t>
  </si>
  <si>
    <t>ลงชื่อ…………………………………………….</t>
  </si>
  <si>
    <t>(</t>
  </si>
  <si>
    <t>)</t>
  </si>
  <si>
    <t>ณฐวัฒน์</t>
  </si>
  <si>
    <t>ขวัญมุข</t>
  </si>
  <si>
    <t>นพธรรศ</t>
  </si>
  <si>
    <t>ปั่นจีด</t>
  </si>
  <si>
    <t>นภัทร</t>
  </si>
  <si>
    <t>เอมเทศ</t>
  </si>
  <si>
    <t>ภูมิพัฒน์</t>
  </si>
  <si>
    <t>เต็งวิลัย</t>
  </si>
  <si>
    <t>ฑิติพัฒน์</t>
  </si>
  <si>
    <t>เชตุทอง</t>
  </si>
  <si>
    <t>กฤษณพล</t>
  </si>
  <si>
    <t>สมศรี</t>
  </si>
  <si>
    <t>จักรภัทร</t>
  </si>
  <si>
    <t>วิเศษสุวรรณภูมิ</t>
  </si>
  <si>
    <t>จิรายุ</t>
  </si>
  <si>
    <t>บุญเนตร</t>
  </si>
  <si>
    <t>สรศักดิ์</t>
  </si>
  <si>
    <t>เกิดสา</t>
  </si>
  <si>
    <t>ธีรภัทร</t>
  </si>
  <si>
    <t>ทวีชัยการ</t>
  </si>
  <si>
    <t>เหล่าจันอัน</t>
  </si>
  <si>
    <t>พงศพัศ</t>
  </si>
  <si>
    <t>เกื้อเกตุ</t>
  </si>
  <si>
    <t>ณัฐภัทร</t>
  </si>
  <si>
    <t>องอาจ</t>
  </si>
  <si>
    <t>วิศรุตย์</t>
  </si>
  <si>
    <t>เถื่อนทับ</t>
  </si>
  <si>
    <t>ชนันธร</t>
  </si>
  <si>
    <t>อุดเลิศ</t>
  </si>
  <si>
    <t>พัฒน์เชาวฤทธิ์</t>
  </si>
  <si>
    <t>ชัยมากา</t>
  </si>
  <si>
    <t>อีเคชูกวู</t>
  </si>
  <si>
    <t>ภาสินี</t>
  </si>
  <si>
    <t>ภู่ดัด</t>
  </si>
  <si>
    <t>ณัฐณิชา</t>
  </si>
  <si>
    <t>เจริญเรือง</t>
  </si>
  <si>
    <t>ธนัญภรณ์</t>
  </si>
  <si>
    <t>คำปลิว</t>
  </si>
  <si>
    <t>กัญญารัตน์</t>
  </si>
  <si>
    <t>ผาเจริญ</t>
  </si>
  <si>
    <t>ณหทัย</t>
  </si>
  <si>
    <t>แดงกองโค</t>
  </si>
  <si>
    <t>อภิษฐา</t>
  </si>
  <si>
    <t>ชูชื่น</t>
  </si>
  <si>
    <t>อภิษฎา</t>
  </si>
  <si>
    <t>โม่งเมือง</t>
  </si>
  <si>
    <t>ณิชาพร</t>
  </si>
  <si>
    <t>โตเย็น</t>
  </si>
  <si>
    <t>วาทการณ์</t>
  </si>
  <si>
    <t>อินดวง</t>
  </si>
  <si>
    <t>ยิ่งลักษณ์</t>
  </si>
  <si>
    <t>ลักษณพิสุทธิ์</t>
  </si>
  <si>
    <t>6/3</t>
  </si>
  <si>
    <t>นางสาวพอใจ  สุขหา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</si>
</sst>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1"/>
      <color rgb="FF000000"/>
      <name val="Calibri"/>
    </font>
    <font>
      <sz val="16"/>
      <color rgb="FF000000"/>
      <name val="THSarabunNew"/>
    </font>
    <font>
      <sz val="18"/>
      <color rgb="FF000000"/>
      <name val="THSarabunNew"/>
    </font>
    <font>
      <sz val="11"/>
      <color rgb="FF000000"/>
      <name val="THSarabunNew"/>
    </font>
    <font>
      <sz val="14"/>
      <color rgb="FF0000FF"/>
      <name val="THSarabunNew"/>
    </font>
    <font>
      <sz val="14"/>
      <color rgb="FFFF6600"/>
      <name val="THSarabunNew"/>
    </font>
    <font>
      <sz val="14"/>
      <color rgb="FFFF0000"/>
      <name val="THSarabunNew"/>
    </font>
    <font>
      <sz val="18"/>
      <color rgb="FFFF0000"/>
      <name val="THSarabunNew"/>
    </font>
    <font>
      <b/>
      <sz val="18"/>
      <color rgb="FF000000"/>
      <name val="THSarabunNew"/>
    </font>
    <font>
      <sz val="14"/>
      <color rgb="FFFF00FF"/>
      <name val="THSarabunNew"/>
    </font>
    <font>
      <sz val="18"/>
      <color rgb="FF0000FF"/>
      <name val="THSarabunNew"/>
    </font>
    <font>
      <sz val="14"/>
      <color rgb="FF000000"/>
      <name val="THSarabunNew"/>
    </font>
    <font>
      <b/>
      <sz val="14"/>
      <color rgb="FF000000"/>
      <name val="THSarabunNew"/>
    </font>
    <font>
      <b/>
      <sz val="14"/>
      <color rgb="FFFF0000"/>
      <name val="THSarabunNew"/>
    </font>
    <font>
      <b/>
      <sz val="16"/>
      <color rgb="FF000000"/>
      <name val="THSarabunNew"/>
    </font>
    <font>
      <b/>
      <sz val="16"/>
      <color rgb="FFFF0000"/>
      <name val="THSarabunNew"/>
    </font>
    <font>
      <b/>
      <sz val="12"/>
      <color rgb="FFFF0000"/>
      <name val="THSarabunNew"/>
    </font>
    <font>
      <sz val="14"/>
      <color rgb="FF1E1E1E"/>
      <name val="THSarabunNew"/>
    </font>
    <font>
      <b/>
      <sz val="14"/>
      <color rgb="FF333399"/>
      <name val="THSarabunNew"/>
    </font>
    <font>
      <b/>
      <sz val="14"/>
      <color rgb="FF0000FF"/>
      <name val="THSarabunNew"/>
    </font>
    <font>
      <sz val="14"/>
      <color rgb="FF333399"/>
      <name val="THSarabunNew"/>
    </font>
    <font>
      <sz val="20"/>
      <color rgb="FF000000"/>
      <name val="THSarabunNew"/>
    </font>
    <font>
      <sz val="15"/>
      <color rgb="FF000000"/>
      <name val="Angsana New"/>
      <family val="1"/>
    </font>
    <font>
      <sz val="15"/>
      <color rgb="FF000000"/>
      <name val="THSarabunNew"/>
    </font>
    <font>
      <b/>
      <sz val="20"/>
      <color rgb="FF000000"/>
      <name val="THSarabunNew"/>
    </font>
    <font>
      <b/>
      <sz val="20"/>
      <color rgb="FF800000"/>
      <name val="THSarabunNew"/>
    </font>
    <font>
      <sz val="20"/>
      <color rgb="FFFF0000"/>
      <name val="THSarabunNew"/>
    </font>
    <font>
      <b/>
      <sz val="20"/>
      <color rgb="FFFF0000"/>
      <name val="THSarabunNew"/>
    </font>
    <font>
      <sz val="16"/>
      <color rgb="FF000000"/>
      <name val="TH SarabunPSK"/>
      <family val="2"/>
    </font>
    <font>
      <b/>
      <sz val="16"/>
      <color rgb="FFFF0000"/>
      <name val="TH SarabunPSK"/>
      <family val="2"/>
    </font>
    <font>
      <b/>
      <sz val="15"/>
      <color rgb="FF000000"/>
      <name val="Angsana New"/>
      <family val="1"/>
    </font>
    <font>
      <sz val="12"/>
      <color rgb="FFFF0000"/>
      <name val="Calibri"/>
      <family val="2"/>
    </font>
    <font>
      <sz val="16"/>
      <color rgb="FF0000FF"/>
      <name val="THSarabunNew"/>
    </font>
    <font>
      <b/>
      <sz val="18"/>
      <color rgb="FFFF0000"/>
      <name val="THSarabunNew"/>
    </font>
    <font>
      <b/>
      <sz val="18"/>
      <color rgb="FF800000"/>
      <name val="THSarabunNew"/>
    </font>
    <font>
      <b/>
      <sz val="30"/>
      <color rgb="FF00B0F0"/>
      <name val="THSarabunNew"/>
    </font>
    <font>
      <b/>
      <u/>
      <sz val="20"/>
      <color rgb="FFFF6600"/>
      <name val="THSarabunNew"/>
    </font>
    <font>
      <b/>
      <sz val="50"/>
      <color rgb="FFFF0000"/>
      <name val="THSarabunNew"/>
    </font>
    <font>
      <b/>
      <sz val="14"/>
      <color rgb="FF800080"/>
      <name val="THSarabunNew"/>
    </font>
    <font>
      <sz val="12"/>
      <color rgb="FFC00000"/>
      <name val="THSarabunNew"/>
    </font>
    <font>
      <sz val="14"/>
      <color rgb="FFC00000"/>
      <name val="THSarabunNew"/>
    </font>
    <font>
      <b/>
      <u/>
      <sz val="18"/>
      <color rgb="FF000000"/>
      <name val="THSarabunNew"/>
    </font>
    <font>
      <b/>
      <sz val="18"/>
      <color rgb="FF993300"/>
      <name val="THSarabunNew"/>
    </font>
    <font>
      <b/>
      <sz val="18"/>
      <color rgb="FF0066CC"/>
      <name val="THSarabunNew"/>
    </font>
    <font>
      <sz val="10"/>
      <color rgb="FF000000"/>
      <name val="Calibri"/>
      <scheme val="minor"/>
    </font>
    <font>
      <sz val="16"/>
      <name val="TH Sarabun New"/>
      <family val="2"/>
    </font>
  </fonts>
  <fills count="10">
    <fill>
      <patternFill patternType="none"/>
    </fill>
    <fill>
      <patternFill patternType="gray125"/>
    </fill>
    <fill>
      <patternFill patternType="solid">
        <fgColor rgb="FFCCFFFF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theme="4" tint="0.79998168889431442"/>
        <bgColor rgb="FF00000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44" fillId="0" borderId="0"/>
  </cellStyleXfs>
  <cellXfs count="20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7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0" fontId="4" fillId="0" borderId="0" xfId="0" applyFont="1"/>
    <xf numFmtId="0" fontId="10" fillId="0" borderId="0" xfId="0" applyFont="1" applyAlignment="1">
      <alignment horizontal="left"/>
    </xf>
    <xf numFmtId="15" fontId="4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1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10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2" fillId="0" borderId="0" xfId="0" applyFont="1"/>
    <xf numFmtId="0" fontId="14" fillId="0" borderId="0" xfId="0" applyFont="1"/>
    <xf numFmtId="0" fontId="14" fillId="0" borderId="0" xfId="0" applyFont="1" applyAlignment="1" applyProtection="1">
      <alignment horizontal="center"/>
      <protection locked="0"/>
    </xf>
    <xf numFmtId="49" fontId="14" fillId="0" borderId="0" xfId="0" applyNumberFormat="1" applyFont="1" applyAlignment="1">
      <alignment horizontal="center"/>
    </xf>
    <xf numFmtId="49" fontId="14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1" fontId="14" fillId="0" borderId="0" xfId="0" applyNumberFormat="1" applyFont="1" applyAlignment="1">
      <alignment horizontal="center"/>
    </xf>
    <xf numFmtId="49" fontId="14" fillId="0" borderId="0" xfId="0" applyNumberFormat="1" applyFont="1"/>
    <xf numFmtId="0" fontId="15" fillId="0" borderId="1" xfId="0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/>
    </xf>
    <xf numFmtId="0" fontId="15" fillId="0" borderId="4" xfId="0" applyFont="1" applyBorder="1" applyAlignment="1">
      <alignment horizontal="center" vertical="center" textRotation="90"/>
    </xf>
    <xf numFmtId="0" fontId="1" fillId="0" borderId="5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 textRotation="90"/>
    </xf>
    <xf numFmtId="0" fontId="15" fillId="0" borderId="1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1" fillId="0" borderId="0" xfId="0" applyFont="1"/>
    <xf numFmtId="0" fontId="15" fillId="0" borderId="0" xfId="0" applyFont="1" applyAlignment="1">
      <alignment horizontal="left"/>
    </xf>
    <xf numFmtId="0" fontId="15" fillId="0" borderId="0" xfId="0" applyFont="1"/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textRotation="90"/>
    </xf>
    <xf numFmtId="0" fontId="11" fillId="0" borderId="3" xfId="0" applyFont="1" applyBorder="1" applyAlignment="1">
      <alignment horizontal="center" vertical="center" textRotation="90"/>
    </xf>
    <xf numFmtId="0" fontId="13" fillId="0" borderId="4" xfId="0" applyFont="1" applyBorder="1" applyAlignment="1">
      <alignment horizontal="center" vertical="center" textRotation="90"/>
    </xf>
    <xf numFmtId="0" fontId="11" fillId="0" borderId="5" xfId="0" applyFont="1" applyBorder="1" applyAlignment="1">
      <alignment horizontal="center" vertical="center" textRotation="90"/>
    </xf>
    <xf numFmtId="0" fontId="11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1" fontId="11" fillId="0" borderId="0" xfId="0" applyNumberFormat="1" applyFont="1" applyAlignment="1">
      <alignment vertical="center"/>
    </xf>
    <xf numFmtId="49" fontId="13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0" fontId="11" fillId="0" borderId="4" xfId="0" applyFont="1" applyBorder="1" applyAlignment="1">
      <alignment horizontal="center" vertical="center" textRotation="90"/>
    </xf>
    <xf numFmtId="0" fontId="16" fillId="0" borderId="1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1" fontId="11" fillId="0" borderId="11" xfId="0" applyNumberFormat="1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2" fontId="13" fillId="0" borderId="0" xfId="0" applyNumberFormat="1" applyFont="1" applyAlignment="1">
      <alignment horizontal="center" vertical="center"/>
    </xf>
    <xf numFmtId="0" fontId="19" fillId="0" borderId="0" xfId="0" applyFont="1" applyAlignment="1">
      <alignment vertical="center"/>
    </xf>
    <xf numFmtId="1" fontId="4" fillId="0" borderId="11" xfId="0" applyNumberFormat="1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20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2" fontId="12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2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2" fillId="0" borderId="0" xfId="0" applyFont="1" applyAlignment="1">
      <alignment vertical="center"/>
    </xf>
    <xf numFmtId="49" fontId="13" fillId="0" borderId="1" xfId="0" applyNumberFormat="1" applyFont="1" applyBorder="1" applyAlignment="1">
      <alignment horizont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1" xfId="0" applyFont="1" applyFill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23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24" fillId="6" borderId="1" xfId="0" applyFont="1" applyFill="1" applyBorder="1" applyAlignment="1">
      <alignment horizontal="left" vertical="center"/>
    </xf>
    <xf numFmtId="0" fontId="21" fillId="2" borderId="1" xfId="0" applyFont="1" applyFill="1" applyBorder="1" applyAlignment="1">
      <alignment horizontal="center" vertical="center"/>
    </xf>
    <xf numFmtId="49" fontId="21" fillId="2" borderId="1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/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 shrinkToFit="1"/>
    </xf>
    <xf numFmtId="0" fontId="26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left" vertical="center"/>
    </xf>
    <xf numFmtId="49" fontId="21" fillId="0" borderId="0" xfId="0" applyNumberFormat="1" applyFont="1" applyAlignment="1">
      <alignment horizontal="left" vertical="center"/>
    </xf>
    <xf numFmtId="49" fontId="21" fillId="0" borderId="0" xfId="0" applyNumberFormat="1" applyFont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49" fontId="27" fillId="6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1" xfId="0" applyFont="1" applyBorder="1" applyAlignment="1">
      <alignment horizontal="center" vertical="center"/>
    </xf>
    <xf numFmtId="0" fontId="30" fillId="0" borderId="0" xfId="0" applyFont="1" applyAlignment="1">
      <alignment vertical="center"/>
    </xf>
    <xf numFmtId="49" fontId="15" fillId="0" borderId="1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2" fillId="9" borderId="1" xfId="0" applyFont="1" applyFill="1" applyBorder="1"/>
    <xf numFmtId="0" fontId="8" fillId="7" borderId="0" xfId="0" applyFont="1" applyFill="1" applyAlignment="1">
      <alignment horizontal="center"/>
    </xf>
    <xf numFmtId="0" fontId="2" fillId="7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0" fontId="21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2" fillId="5" borderId="0" xfId="0" applyFont="1" applyFill="1" applyAlignment="1">
      <alignment horizontal="left"/>
    </xf>
    <xf numFmtId="0" fontId="36" fillId="5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  <xf numFmtId="0" fontId="35" fillId="0" borderId="0" xfId="0" applyFont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2" fillId="7" borderId="0" xfId="0" applyFont="1" applyFill="1" applyAlignment="1">
      <alignment horizontal="left" vertical="center"/>
    </xf>
    <xf numFmtId="0" fontId="34" fillId="0" borderId="0" xfId="0" applyFont="1" applyAlignment="1">
      <alignment horizontal="center"/>
    </xf>
    <xf numFmtId="0" fontId="27" fillId="6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37" fillId="6" borderId="13" xfId="0" applyFont="1" applyFill="1" applyBorder="1" applyAlignment="1">
      <alignment horizontal="center" vertical="center"/>
    </xf>
    <xf numFmtId="0" fontId="21" fillId="4" borderId="14" xfId="0" applyFont="1" applyFill="1" applyBorder="1" applyAlignment="1">
      <alignment horizontal="center" vertical="center"/>
    </xf>
    <xf numFmtId="0" fontId="21" fillId="4" borderId="15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38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0" borderId="2" xfId="0" applyFont="1" applyBorder="1" applyAlignment="1" applyProtection="1">
      <alignment horizontal="center" vertical="center"/>
      <protection locked="0"/>
    </xf>
    <xf numFmtId="0" fontId="12" fillId="0" borderId="12" xfId="0" applyFont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left"/>
      <protection locked="0"/>
    </xf>
    <xf numFmtId="0" fontId="14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2" xfId="0" applyFont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14" fillId="0" borderId="0" xfId="0" applyFont="1" applyAlignment="1" applyProtection="1">
      <alignment horizontal="center"/>
      <protection locked="0"/>
    </xf>
    <xf numFmtId="0" fontId="1" fillId="0" borderId="1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39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11" fillId="0" borderId="18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0" xfId="0" applyFont="1" applyAlignment="1" applyProtection="1">
      <alignment horizontal="left" vertical="center"/>
      <protection locked="0"/>
    </xf>
    <xf numFmtId="0" fontId="11" fillId="0" borderId="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40" fillId="0" borderId="1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5" fillId="0" borderId="2" xfId="1" applyFont="1" applyBorder="1" applyAlignment="1">
      <alignment vertical="center"/>
    </xf>
    <xf numFmtId="0" fontId="45" fillId="0" borderId="12" xfId="1" applyFont="1" applyBorder="1" applyAlignment="1">
      <alignment vertical="center"/>
    </xf>
    <xf numFmtId="0" fontId="45" fillId="0" borderId="7" xfId="1" applyFont="1" applyBorder="1" applyAlignment="1">
      <alignment vertical="center"/>
    </xf>
  </cellXfs>
  <cellStyles count="2">
    <cellStyle name="ปกติ" xfId="0" builtinId="0"/>
    <cellStyle name="ปกติ 2" xfId="1" xr:uid="{A08F59A3-C286-489A-8408-F9E21AE77FE8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2:R44"/>
  <sheetViews>
    <sheetView topLeftCell="A13" workbookViewId="0">
      <selection activeCell="B26" sqref="B26:O26"/>
    </sheetView>
  </sheetViews>
  <sheetFormatPr defaultColWidth="9" defaultRowHeight="17.100000000000001" customHeight="1"/>
  <sheetData>
    <row r="2" spans="2:18" ht="48" customHeight="1">
      <c r="B2" s="149" t="s">
        <v>0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</row>
    <row r="3" spans="2:18" ht="27" customHeight="1">
      <c r="B3" s="155" t="str">
        <f>ข้อมูล!C7</f>
        <v>โรงเรียนเทศบาลท่าอิฐ อำเภอเมือง จังหวัดอุตรดิตถ์</v>
      </c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</row>
    <row r="4" spans="2:18" ht="27" customHeight="1">
      <c r="B4" s="142" t="s">
        <v>1</v>
      </c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</row>
    <row r="5" spans="2:18" ht="27" customHeight="1">
      <c r="B5" s="4"/>
      <c r="C5" s="154" t="s">
        <v>2</v>
      </c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</row>
    <row r="6" spans="2:18" ht="27" customHeight="1">
      <c r="B6" s="4"/>
      <c r="C6" s="141" t="s">
        <v>3</v>
      </c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</row>
    <row r="7" spans="2:18" ht="27" customHeight="1">
      <c r="B7" s="4"/>
      <c r="C7" s="141" t="s">
        <v>4</v>
      </c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</row>
    <row r="8" spans="2:18" ht="27" customHeight="1">
      <c r="B8" s="146" t="s">
        <v>5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</row>
    <row r="9" spans="2:18" ht="27" customHeight="1">
      <c r="B9" s="4"/>
      <c r="C9" s="142" t="s">
        <v>6</v>
      </c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</row>
    <row r="10" spans="2:18" ht="27" customHeight="1">
      <c r="B10" s="146" t="s">
        <v>7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5"/>
    </row>
    <row r="11" spans="2:18" ht="27" customHeight="1">
      <c r="B11" s="141" t="s">
        <v>8</v>
      </c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</row>
    <row r="12" spans="2:18" ht="27" customHeight="1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2:18" ht="27" customHeight="1">
      <c r="B13" s="6"/>
      <c r="C13" s="36"/>
      <c r="D13" s="36"/>
      <c r="E13" s="37"/>
      <c r="F13" s="36"/>
      <c r="G13" s="36"/>
      <c r="H13" s="36"/>
      <c r="I13" s="6"/>
      <c r="J13" s="5"/>
      <c r="K13" s="6"/>
      <c r="L13" s="7"/>
      <c r="M13" s="7"/>
      <c r="N13" s="7"/>
    </row>
    <row r="14" spans="2:18" ht="27" customHeight="1">
      <c r="B14" s="6"/>
      <c r="C14" s="36"/>
      <c r="D14" s="151" t="s">
        <v>9</v>
      </c>
      <c r="E14" s="152"/>
      <c r="F14" s="152"/>
      <c r="G14" s="153"/>
      <c r="H14" s="36"/>
      <c r="I14" s="6"/>
      <c r="J14" s="5"/>
      <c r="K14" s="6"/>
      <c r="L14" s="8"/>
      <c r="M14" s="9"/>
      <c r="N14" s="10"/>
    </row>
    <row r="15" spans="2:18" ht="27" customHeight="1">
      <c r="B15" s="6"/>
      <c r="C15" s="36"/>
      <c r="D15" s="40" t="s">
        <v>10</v>
      </c>
      <c r="E15" s="40" t="s">
        <v>11</v>
      </c>
      <c r="F15" s="41" t="s">
        <v>12</v>
      </c>
      <c r="G15" s="40" t="s">
        <v>13</v>
      </c>
      <c r="H15" s="36"/>
      <c r="I15" s="6"/>
      <c r="J15" s="5"/>
      <c r="K15" s="5"/>
      <c r="L15" s="7"/>
      <c r="M15" s="7"/>
      <c r="N15" s="7"/>
    </row>
    <row r="16" spans="2:18" ht="27" customHeight="1">
      <c r="B16" s="6"/>
      <c r="C16" s="36"/>
      <c r="D16" s="39">
        <v>1</v>
      </c>
      <c r="E16" s="38">
        <v>1</v>
      </c>
      <c r="F16" s="38"/>
      <c r="G16" s="38"/>
      <c r="H16" s="36"/>
      <c r="I16" s="6"/>
      <c r="J16" s="5"/>
      <c r="K16" s="6"/>
      <c r="L16" s="11"/>
      <c r="M16" s="11"/>
      <c r="N16" s="11"/>
    </row>
    <row r="17" spans="1:18" ht="27" customHeight="1">
      <c r="B17" s="6"/>
      <c r="C17" s="36"/>
      <c r="D17" s="39">
        <v>2</v>
      </c>
      <c r="E17" s="38"/>
      <c r="F17" s="38"/>
      <c r="G17" s="38">
        <v>1</v>
      </c>
      <c r="H17" s="36"/>
      <c r="I17" s="6"/>
      <c r="J17" s="5"/>
      <c r="K17" s="5"/>
      <c r="L17" s="7"/>
      <c r="M17" s="7"/>
      <c r="N17" s="7"/>
    </row>
    <row r="18" spans="1:18" ht="27" customHeight="1">
      <c r="B18" s="6"/>
      <c r="C18" s="36"/>
      <c r="D18" s="39">
        <v>3</v>
      </c>
      <c r="E18" s="38"/>
      <c r="F18" s="38">
        <v>1</v>
      </c>
      <c r="G18" s="38"/>
      <c r="H18" s="36"/>
      <c r="I18" s="6"/>
      <c r="J18" s="5"/>
      <c r="K18" s="6"/>
      <c r="L18" s="7"/>
      <c r="M18" s="7"/>
      <c r="N18" s="7"/>
    </row>
    <row r="19" spans="1:18" ht="27" customHeight="1">
      <c r="B19" s="6"/>
      <c r="C19" s="36"/>
      <c r="D19" s="39">
        <v>4</v>
      </c>
      <c r="E19" s="38">
        <v>1</v>
      </c>
      <c r="F19" s="38"/>
      <c r="G19" s="38"/>
      <c r="H19" s="36"/>
      <c r="I19" s="6"/>
      <c r="J19" s="5"/>
      <c r="K19" s="6"/>
      <c r="L19" s="8"/>
      <c r="M19" s="9"/>
      <c r="N19" s="10"/>
    </row>
    <row r="20" spans="1:18" ht="27" customHeight="1">
      <c r="B20" s="6"/>
      <c r="C20" s="36"/>
      <c r="D20" s="39">
        <v>5</v>
      </c>
      <c r="E20" s="38"/>
      <c r="F20" s="38">
        <v>1</v>
      </c>
      <c r="G20" s="38"/>
      <c r="H20" s="36"/>
      <c r="I20" s="6"/>
      <c r="J20" s="5"/>
      <c r="K20" s="5"/>
      <c r="L20" s="7"/>
      <c r="M20" s="7"/>
      <c r="N20" s="7"/>
    </row>
    <row r="21" spans="1:18" ht="27" customHeight="1">
      <c r="B21" s="6"/>
      <c r="C21" s="36"/>
      <c r="D21" s="36"/>
      <c r="E21" s="37"/>
      <c r="F21" s="36"/>
      <c r="G21" s="36"/>
      <c r="H21" s="36"/>
      <c r="I21" s="6"/>
      <c r="J21" s="5"/>
      <c r="K21" s="6"/>
      <c r="L21" s="11"/>
      <c r="M21" s="11"/>
      <c r="N21" s="11"/>
    </row>
    <row r="22" spans="1:18" ht="27" customHeight="1">
      <c r="B22" s="6"/>
      <c r="C22" s="6"/>
      <c r="D22" s="6"/>
      <c r="E22" s="5"/>
      <c r="F22" s="6"/>
      <c r="G22" s="6"/>
      <c r="H22" s="6"/>
      <c r="I22" s="6"/>
      <c r="J22" s="5"/>
      <c r="K22" s="6"/>
      <c r="L22" s="11"/>
      <c r="M22" s="11"/>
      <c r="N22" s="11"/>
    </row>
    <row r="23" spans="1:18" ht="27" customHeight="1">
      <c r="B23" s="150" t="s">
        <v>14</v>
      </c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</row>
    <row r="24" spans="1:18" ht="27" customHeight="1">
      <c r="B24" s="142" t="s">
        <v>15</v>
      </c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</row>
    <row r="25" spans="1:18" ht="27" customHeight="1">
      <c r="B25" s="148" t="s">
        <v>16</v>
      </c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</row>
    <row r="26" spans="1:18" ht="36.950000000000003" customHeight="1">
      <c r="B26" s="145" t="s">
        <v>17</v>
      </c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</row>
    <row r="27" spans="1:18" ht="27" customHeight="1">
      <c r="C27" s="12"/>
      <c r="D27" s="13"/>
      <c r="E27" s="5"/>
      <c r="F27" s="6"/>
      <c r="G27" s="6"/>
      <c r="H27" s="6"/>
      <c r="I27" s="6"/>
      <c r="J27" s="5"/>
      <c r="K27" s="6"/>
      <c r="L27" s="8"/>
      <c r="M27" s="9"/>
      <c r="N27" s="10"/>
    </row>
    <row r="28" spans="1:18" ht="30" customHeight="1">
      <c r="A28" s="147" t="s">
        <v>18</v>
      </c>
      <c r="B28" s="147"/>
      <c r="D28" s="6"/>
      <c r="E28" s="5"/>
      <c r="F28" s="6"/>
      <c r="G28" s="6"/>
      <c r="H28" s="6"/>
      <c r="I28" s="6"/>
      <c r="J28" s="5"/>
      <c r="K28" s="5"/>
      <c r="L28" s="7"/>
      <c r="M28" s="7"/>
      <c r="N28" s="7"/>
    </row>
    <row r="29" spans="1:18" s="34" customFormat="1" ht="36.950000000000003" customHeight="1">
      <c r="C29" s="144" t="s">
        <v>19</v>
      </c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</row>
    <row r="30" spans="1:18" s="34" customFormat="1" ht="36.950000000000003" customHeight="1">
      <c r="B30" s="35"/>
      <c r="C30" s="144" t="s">
        <v>20</v>
      </c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</row>
    <row r="31" spans="1:18" s="34" customFormat="1" ht="36" customHeight="1">
      <c r="B31" s="35"/>
      <c r="C31" s="144" t="s">
        <v>21</v>
      </c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</row>
    <row r="32" spans="1:18" ht="27" customHeight="1">
      <c r="B32" s="5"/>
      <c r="C32" s="6"/>
      <c r="D32" s="6"/>
      <c r="E32" s="5"/>
      <c r="F32" s="6"/>
      <c r="G32" s="6"/>
      <c r="H32" s="6"/>
      <c r="I32" s="6"/>
      <c r="J32" s="5"/>
      <c r="K32" s="14"/>
      <c r="L32" s="8"/>
      <c r="M32" s="9"/>
      <c r="N32" s="10"/>
      <c r="Q32" s="15"/>
      <c r="R32" s="15"/>
    </row>
    <row r="33" spans="2:17" ht="27" customHeight="1">
      <c r="B33" s="4"/>
      <c r="C33" s="6"/>
      <c r="D33" s="6"/>
      <c r="E33" s="5"/>
      <c r="F33" s="6"/>
      <c r="G33" s="6"/>
      <c r="H33" s="6"/>
      <c r="I33" s="6"/>
      <c r="J33" s="5"/>
      <c r="K33" s="5"/>
      <c r="L33" s="140" t="s">
        <v>22</v>
      </c>
      <c r="M33" s="140"/>
      <c r="N33" s="140"/>
      <c r="O33" s="140"/>
      <c r="P33" s="140"/>
      <c r="Q33" s="140"/>
    </row>
    <row r="34" spans="2:17" ht="27" customHeight="1">
      <c r="B34" s="4"/>
      <c r="C34" s="6"/>
      <c r="D34" s="6"/>
      <c r="E34" s="5"/>
      <c r="F34" s="6"/>
      <c r="G34" s="6"/>
      <c r="H34" s="6"/>
      <c r="I34" s="6"/>
      <c r="J34" s="5"/>
      <c r="K34" s="5"/>
      <c r="L34" s="140" t="str">
        <f>ข้อมูล!C7</f>
        <v>โรงเรียนเทศบาลท่าอิฐ อำเภอเมือง จังหวัดอุตรดิตถ์</v>
      </c>
      <c r="M34" s="140"/>
      <c r="N34" s="140"/>
      <c r="O34" s="140"/>
      <c r="P34" s="140"/>
      <c r="Q34" s="140"/>
    </row>
    <row r="35" spans="2:17" ht="27" customHeight="1">
      <c r="B35" s="4"/>
      <c r="C35" s="12"/>
      <c r="D35" s="13"/>
      <c r="E35" s="16"/>
      <c r="F35" s="13"/>
      <c r="G35" s="13"/>
      <c r="H35" s="13"/>
      <c r="I35" s="13"/>
      <c r="J35" s="16"/>
      <c r="K35" s="13"/>
      <c r="L35" s="11"/>
      <c r="M35" s="11"/>
      <c r="N35" s="11"/>
    </row>
    <row r="36" spans="2:17" ht="27" customHeight="1">
      <c r="B36" s="12"/>
      <c r="D36" s="13"/>
      <c r="E36" s="16"/>
      <c r="F36" s="13"/>
      <c r="G36" s="13"/>
      <c r="H36" s="13"/>
      <c r="I36" s="13"/>
      <c r="J36" s="16"/>
      <c r="K36" s="16"/>
      <c r="L36" s="7"/>
      <c r="M36" s="7"/>
      <c r="N36" s="7"/>
    </row>
    <row r="37" spans="2:17" ht="27" customHeight="1">
      <c r="B37" s="12"/>
      <c r="D37" s="13"/>
      <c r="E37" s="16"/>
      <c r="F37" s="13"/>
      <c r="G37" s="13"/>
      <c r="H37" s="13"/>
      <c r="I37" s="13"/>
      <c r="J37" s="16"/>
      <c r="K37" s="16"/>
      <c r="L37" s="7"/>
      <c r="M37" s="7"/>
      <c r="N37" s="7"/>
    </row>
    <row r="38" spans="2:17" ht="27" customHeight="1">
      <c r="B38" s="5"/>
      <c r="C38" s="5"/>
      <c r="D38" s="5"/>
      <c r="E38" s="5"/>
      <c r="F38" s="5"/>
      <c r="H38" s="5"/>
      <c r="I38" s="5"/>
      <c r="J38" s="5"/>
      <c r="K38" s="6"/>
      <c r="L38" s="7"/>
      <c r="M38" s="7"/>
      <c r="N38" s="7"/>
    </row>
    <row r="39" spans="2:17" ht="27" customHeight="1">
      <c r="B39" s="6"/>
      <c r="C39" s="6"/>
      <c r="D39" s="6"/>
      <c r="E39" s="6"/>
      <c r="F39" s="17"/>
      <c r="G39" s="18"/>
      <c r="H39" s="17"/>
      <c r="I39" s="17"/>
      <c r="J39" s="18"/>
      <c r="K39" s="6"/>
      <c r="L39" s="8"/>
      <c r="M39" s="10"/>
      <c r="N39" s="11"/>
    </row>
    <row r="40" spans="2:17" ht="27" customHeight="1">
      <c r="B40" s="11"/>
      <c r="C40" s="11"/>
      <c r="D40" s="11"/>
      <c r="E40" s="11"/>
      <c r="F40" s="19"/>
      <c r="G40" s="20"/>
      <c r="H40" s="8"/>
      <c r="I40" s="8"/>
      <c r="J40" s="19"/>
      <c r="K40" s="7"/>
      <c r="L40" s="7"/>
      <c r="M40" s="7"/>
      <c r="N40" s="7"/>
    </row>
    <row r="41" spans="2:17" ht="27" customHeight="1">
      <c r="B41" s="11"/>
      <c r="C41" s="11"/>
      <c r="D41" s="11"/>
      <c r="E41" s="11"/>
      <c r="F41" s="20"/>
      <c r="G41" s="8"/>
      <c r="H41" s="8"/>
      <c r="I41" s="8"/>
      <c r="J41" s="19"/>
      <c r="K41" s="7"/>
      <c r="L41" s="7"/>
      <c r="M41" s="7"/>
      <c r="N41" s="7"/>
    </row>
    <row r="42" spans="2:17" ht="21" customHeight="1">
      <c r="B42" s="11"/>
      <c r="C42" s="11"/>
      <c r="D42" s="11"/>
      <c r="E42" s="11"/>
      <c r="F42" s="8"/>
      <c r="G42" s="8"/>
      <c r="H42" s="21"/>
      <c r="I42" s="8"/>
      <c r="J42" s="19"/>
      <c r="K42" s="7"/>
      <c r="L42" s="7"/>
      <c r="M42" s="7"/>
      <c r="N42" s="7"/>
    </row>
    <row r="43" spans="2:17" ht="24" customHeight="1">
      <c r="B43" s="11"/>
      <c r="C43" s="11"/>
      <c r="D43" s="11"/>
      <c r="E43" s="11"/>
      <c r="F43" s="143"/>
      <c r="G43" s="143"/>
      <c r="H43" s="143"/>
      <c r="I43" s="143"/>
      <c r="J43" s="143"/>
      <c r="K43" s="143"/>
      <c r="L43" s="8"/>
      <c r="M43" s="9"/>
      <c r="N43" s="10"/>
    </row>
    <row r="44" spans="2:17" ht="17.100000000000001" customHeight="1">
      <c r="B44" s="11"/>
      <c r="C44" s="11"/>
      <c r="D44" s="11"/>
      <c r="E44" s="7"/>
      <c r="F44" s="11"/>
      <c r="G44" s="11"/>
      <c r="H44" s="11"/>
      <c r="I44" s="11"/>
      <c r="J44" s="7"/>
      <c r="K44" s="7"/>
      <c r="L44" s="7"/>
      <c r="M44" s="7"/>
      <c r="N44" s="7"/>
    </row>
  </sheetData>
  <mergeCells count="22">
    <mergeCell ref="B2:Q2"/>
    <mergeCell ref="B23:P23"/>
    <mergeCell ref="C7:Q7"/>
    <mergeCell ref="B8:Q8"/>
    <mergeCell ref="D14:G14"/>
    <mergeCell ref="C9:Q9"/>
    <mergeCell ref="C5:Q5"/>
    <mergeCell ref="B3:Q3"/>
    <mergeCell ref="L33:Q33"/>
    <mergeCell ref="L34:Q34"/>
    <mergeCell ref="C6:Q6"/>
    <mergeCell ref="B4:Q4"/>
    <mergeCell ref="F43:K43"/>
    <mergeCell ref="C31:Q31"/>
    <mergeCell ref="B26:O26"/>
    <mergeCell ref="B10:Q10"/>
    <mergeCell ref="B11:Q11"/>
    <mergeCell ref="C30:Q30"/>
    <mergeCell ref="C29:Q29"/>
    <mergeCell ref="A28:B28"/>
    <mergeCell ref="B24:P24"/>
    <mergeCell ref="B25:P25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D124"/>
  <sheetViews>
    <sheetView zoomScale="110" zoomScaleNormal="110" workbookViewId="0">
      <selection activeCell="D40" sqref="D40"/>
    </sheetView>
  </sheetViews>
  <sheetFormatPr defaultColWidth="9" defaultRowHeight="24" customHeight="1"/>
  <cols>
    <col min="1" max="1" width="6.140625" style="2" customWidth="1"/>
    <col min="2" max="2" width="13.85546875" style="1" customWidth="1"/>
    <col min="3" max="3" width="15.7109375" style="1" customWidth="1"/>
    <col min="4" max="4" width="15.85546875" style="1" customWidth="1"/>
  </cols>
  <sheetData>
    <row r="1" spans="1:4" ht="27" customHeight="1">
      <c r="A1" s="43" t="s">
        <v>23</v>
      </c>
      <c r="B1" s="206" t="s">
        <v>24</v>
      </c>
      <c r="C1" s="207" t="s">
        <v>155</v>
      </c>
      <c r="D1" s="208" t="s">
        <v>156</v>
      </c>
    </row>
    <row r="2" spans="1:4" ht="27" customHeight="1">
      <c r="A2" s="43" t="s">
        <v>25</v>
      </c>
      <c r="B2" s="206" t="s">
        <v>24</v>
      </c>
      <c r="C2" s="207" t="s">
        <v>157</v>
      </c>
      <c r="D2" s="208" t="s">
        <v>158</v>
      </c>
    </row>
    <row r="3" spans="1:4" ht="27" customHeight="1">
      <c r="A3" s="43" t="s">
        <v>26</v>
      </c>
      <c r="B3" s="206" t="s">
        <v>24</v>
      </c>
      <c r="C3" s="207" t="s">
        <v>159</v>
      </c>
      <c r="D3" s="208" t="s">
        <v>160</v>
      </c>
    </row>
    <row r="4" spans="1:4" ht="27" customHeight="1">
      <c r="A4" s="43" t="s">
        <v>27</v>
      </c>
      <c r="B4" s="206" t="s">
        <v>24</v>
      </c>
      <c r="C4" s="207" t="s">
        <v>161</v>
      </c>
      <c r="D4" s="208" t="s">
        <v>162</v>
      </c>
    </row>
    <row r="5" spans="1:4" ht="27" customHeight="1">
      <c r="A5" s="43" t="s">
        <v>28</v>
      </c>
      <c r="B5" s="206" t="s">
        <v>24</v>
      </c>
      <c r="C5" s="207" t="s">
        <v>163</v>
      </c>
      <c r="D5" s="208" t="s">
        <v>164</v>
      </c>
    </row>
    <row r="6" spans="1:4" ht="27" customHeight="1">
      <c r="A6" s="43" t="s">
        <v>29</v>
      </c>
      <c r="B6" s="206" t="s">
        <v>24</v>
      </c>
      <c r="C6" s="207" t="s">
        <v>165</v>
      </c>
      <c r="D6" s="208" t="s">
        <v>166</v>
      </c>
    </row>
    <row r="7" spans="1:4" ht="27" customHeight="1">
      <c r="A7" s="43" t="s">
        <v>30</v>
      </c>
      <c r="B7" s="206" t="s">
        <v>24</v>
      </c>
      <c r="C7" s="207" t="s">
        <v>167</v>
      </c>
      <c r="D7" s="208" t="s">
        <v>168</v>
      </c>
    </row>
    <row r="8" spans="1:4" ht="27" customHeight="1">
      <c r="A8" s="43" t="s">
        <v>31</v>
      </c>
      <c r="B8" s="206" t="s">
        <v>24</v>
      </c>
      <c r="C8" s="207" t="s">
        <v>169</v>
      </c>
      <c r="D8" s="208" t="s">
        <v>170</v>
      </c>
    </row>
    <row r="9" spans="1:4" ht="27" customHeight="1">
      <c r="A9" s="43" t="s">
        <v>32</v>
      </c>
      <c r="B9" s="206" t="s">
        <v>24</v>
      </c>
      <c r="C9" s="207" t="s">
        <v>171</v>
      </c>
      <c r="D9" s="208" t="s">
        <v>172</v>
      </c>
    </row>
    <row r="10" spans="1:4" ht="27" customHeight="1">
      <c r="A10" s="43" t="s">
        <v>33</v>
      </c>
      <c r="B10" s="206" t="s">
        <v>24</v>
      </c>
      <c r="C10" s="207" t="s">
        <v>173</v>
      </c>
      <c r="D10" s="208" t="s">
        <v>174</v>
      </c>
    </row>
    <row r="11" spans="1:4" ht="27" customHeight="1">
      <c r="A11" s="43" t="s">
        <v>34</v>
      </c>
      <c r="B11" s="206" t="s">
        <v>24</v>
      </c>
      <c r="C11" s="207" t="s">
        <v>36</v>
      </c>
      <c r="D11" s="208" t="s">
        <v>175</v>
      </c>
    </row>
    <row r="12" spans="1:4" ht="27" customHeight="1">
      <c r="A12" s="43" t="s">
        <v>35</v>
      </c>
      <c r="B12" s="206" t="s">
        <v>24</v>
      </c>
      <c r="C12" s="207" t="s">
        <v>176</v>
      </c>
      <c r="D12" s="208" t="s">
        <v>177</v>
      </c>
    </row>
    <row r="13" spans="1:4" ht="27" customHeight="1">
      <c r="A13" s="43" t="s">
        <v>37</v>
      </c>
      <c r="B13" s="206" t="s">
        <v>24</v>
      </c>
      <c r="C13" s="207" t="s">
        <v>178</v>
      </c>
      <c r="D13" s="208" t="s">
        <v>179</v>
      </c>
    </row>
    <row r="14" spans="1:4" ht="27" customHeight="1">
      <c r="A14" s="43" t="s">
        <v>38</v>
      </c>
      <c r="B14" s="206" t="s">
        <v>24</v>
      </c>
      <c r="C14" s="207" t="s">
        <v>180</v>
      </c>
      <c r="D14" s="208" t="s">
        <v>181</v>
      </c>
    </row>
    <row r="15" spans="1:4" ht="27" customHeight="1">
      <c r="A15" s="43" t="s">
        <v>39</v>
      </c>
      <c r="B15" s="206" t="s">
        <v>24</v>
      </c>
      <c r="C15" s="207" t="s">
        <v>182</v>
      </c>
      <c r="D15" s="208" t="s">
        <v>183</v>
      </c>
    </row>
    <row r="16" spans="1:4" ht="27" customHeight="1">
      <c r="A16" s="43" t="s">
        <v>40</v>
      </c>
      <c r="B16" s="206" t="s">
        <v>44</v>
      </c>
      <c r="C16" s="207" t="s">
        <v>46</v>
      </c>
      <c r="D16" s="208" t="s">
        <v>184</v>
      </c>
    </row>
    <row r="17" spans="1:4" ht="27" customHeight="1">
      <c r="A17" s="43" t="s">
        <v>41</v>
      </c>
      <c r="B17" s="206" t="s">
        <v>44</v>
      </c>
      <c r="C17" s="207" t="s">
        <v>185</v>
      </c>
      <c r="D17" s="208" t="s">
        <v>186</v>
      </c>
    </row>
    <row r="18" spans="1:4" ht="27" customHeight="1">
      <c r="A18" s="43" t="s">
        <v>42</v>
      </c>
      <c r="B18" s="206" t="s">
        <v>44</v>
      </c>
      <c r="C18" s="207" t="s">
        <v>187</v>
      </c>
      <c r="D18" s="208" t="s">
        <v>188</v>
      </c>
    </row>
    <row r="19" spans="1:4" ht="27" customHeight="1">
      <c r="A19" s="43" t="s">
        <v>43</v>
      </c>
      <c r="B19" s="206" t="s">
        <v>44</v>
      </c>
      <c r="C19" s="207" t="s">
        <v>189</v>
      </c>
      <c r="D19" s="208" t="s">
        <v>190</v>
      </c>
    </row>
    <row r="20" spans="1:4" ht="27" customHeight="1">
      <c r="A20" s="43" t="s">
        <v>45</v>
      </c>
      <c r="B20" s="206" t="s">
        <v>44</v>
      </c>
      <c r="C20" s="207" t="s">
        <v>191</v>
      </c>
      <c r="D20" s="208" t="s">
        <v>192</v>
      </c>
    </row>
    <row r="21" spans="1:4" ht="27" customHeight="1">
      <c r="A21" s="43" t="s">
        <v>47</v>
      </c>
      <c r="B21" s="206" t="s">
        <v>44</v>
      </c>
      <c r="C21" s="207" t="s">
        <v>193</v>
      </c>
      <c r="D21" s="208" t="s">
        <v>194</v>
      </c>
    </row>
    <row r="22" spans="1:4" ht="27" customHeight="1">
      <c r="A22" s="43" t="s">
        <v>48</v>
      </c>
      <c r="B22" s="206" t="s">
        <v>44</v>
      </c>
      <c r="C22" s="207" t="s">
        <v>195</v>
      </c>
      <c r="D22" s="208" t="s">
        <v>196</v>
      </c>
    </row>
    <row r="23" spans="1:4" ht="27" customHeight="1">
      <c r="A23" s="43" t="s">
        <v>49</v>
      </c>
      <c r="B23" s="206" t="s">
        <v>44</v>
      </c>
      <c r="C23" s="207" t="s">
        <v>197</v>
      </c>
      <c r="D23" s="208" t="s">
        <v>198</v>
      </c>
    </row>
    <row r="24" spans="1:4" ht="27" customHeight="1">
      <c r="A24" s="43" t="s">
        <v>50</v>
      </c>
      <c r="B24" s="206" t="s">
        <v>44</v>
      </c>
      <c r="C24" s="207" t="s">
        <v>199</v>
      </c>
      <c r="D24" s="208" t="s">
        <v>200</v>
      </c>
    </row>
    <row r="25" spans="1:4" ht="27" customHeight="1">
      <c r="A25" s="43" t="s">
        <v>51</v>
      </c>
      <c r="B25" s="206" t="s">
        <v>44</v>
      </c>
      <c r="C25" s="207" t="s">
        <v>201</v>
      </c>
      <c r="D25" s="208" t="s">
        <v>202</v>
      </c>
    </row>
    <row r="26" spans="1:4" ht="27" customHeight="1">
      <c r="A26" s="43" t="s">
        <v>52</v>
      </c>
      <c r="B26" s="206" t="s">
        <v>44</v>
      </c>
      <c r="C26" s="207" t="s">
        <v>203</v>
      </c>
      <c r="D26" s="208" t="s">
        <v>204</v>
      </c>
    </row>
    <row r="27" spans="1:4" ht="27" customHeight="1">
      <c r="A27" s="43" t="s">
        <v>53</v>
      </c>
      <c r="B27" s="206" t="s">
        <v>44</v>
      </c>
      <c r="C27" s="207" t="s">
        <v>205</v>
      </c>
      <c r="D27" s="208" t="s">
        <v>206</v>
      </c>
    </row>
    <row r="28" spans="1:4" ht="27" customHeight="1">
      <c r="A28" s="43" t="s">
        <v>54</v>
      </c>
      <c r="B28" s="139"/>
      <c r="C28" s="139"/>
      <c r="D28" s="139"/>
    </row>
    <row r="29" spans="1:4" ht="27" customHeight="1">
      <c r="A29" s="43" t="s">
        <v>55</v>
      </c>
      <c r="B29" s="139"/>
      <c r="C29" s="139"/>
      <c r="D29" s="139"/>
    </row>
    <row r="30" spans="1:4" ht="27" customHeight="1">
      <c r="A30" s="43" t="s">
        <v>56</v>
      </c>
      <c r="B30" s="139"/>
      <c r="C30" s="139"/>
      <c r="D30" s="139"/>
    </row>
    <row r="31" spans="1:4" ht="27" customHeight="1">
      <c r="A31" s="43" t="s">
        <v>57</v>
      </c>
      <c r="B31" s="139"/>
      <c r="C31" s="139"/>
      <c r="D31" s="139"/>
    </row>
    <row r="32" spans="1:4" ht="27" customHeight="1">
      <c r="A32" s="43" t="s">
        <v>58</v>
      </c>
      <c r="B32" s="139"/>
      <c r="C32" s="139"/>
      <c r="D32" s="139"/>
    </row>
    <row r="33" spans="1:4" ht="27" customHeight="1">
      <c r="A33" s="43" t="s">
        <v>59</v>
      </c>
      <c r="B33" s="139"/>
      <c r="C33" s="139"/>
      <c r="D33" s="139"/>
    </row>
    <row r="34" spans="1:4" ht="27" customHeight="1">
      <c r="A34" s="43" t="s">
        <v>60</v>
      </c>
      <c r="B34" s="139"/>
      <c r="C34" s="139"/>
      <c r="D34" s="139"/>
    </row>
    <row r="35" spans="1:4" ht="27" customHeight="1">
      <c r="A35" s="43" t="s">
        <v>61</v>
      </c>
      <c r="B35" s="139"/>
      <c r="C35" s="139"/>
      <c r="D35" s="139"/>
    </row>
    <row r="36" spans="1:4" ht="27" customHeight="1">
      <c r="A36" s="43" t="s">
        <v>62</v>
      </c>
      <c r="B36" s="139"/>
      <c r="C36" s="139"/>
      <c r="D36" s="139"/>
    </row>
    <row r="37" spans="1:4" ht="27" customHeight="1">
      <c r="A37" s="43" t="s">
        <v>63</v>
      </c>
      <c r="B37" s="139"/>
      <c r="C37" s="139"/>
      <c r="D37" s="139"/>
    </row>
    <row r="38" spans="1:4" ht="27" customHeight="1">
      <c r="A38" s="43" t="s">
        <v>64</v>
      </c>
      <c r="B38" s="139"/>
      <c r="C38" s="139"/>
      <c r="D38" s="139"/>
    </row>
    <row r="39" spans="1:4" ht="27" customHeight="1">
      <c r="A39" s="43" t="s">
        <v>65</v>
      </c>
      <c r="B39" s="139"/>
      <c r="C39" s="139"/>
      <c r="D39" s="139"/>
    </row>
    <row r="40" spans="1:4" ht="27" customHeight="1">
      <c r="A40" s="43" t="s">
        <v>66</v>
      </c>
      <c r="B40" s="139"/>
      <c r="C40" s="139"/>
      <c r="D40" s="139"/>
    </row>
    <row r="41" spans="1:4" ht="24" customHeight="1">
      <c r="A41" s="3"/>
    </row>
    <row r="42" spans="1:4" ht="24" customHeight="1">
      <c r="A42" s="3"/>
    </row>
    <row r="43" spans="1:4" ht="24" customHeight="1">
      <c r="A43" s="3"/>
    </row>
    <row r="44" spans="1:4" ht="24" customHeight="1">
      <c r="A44" s="3"/>
    </row>
    <row r="45" spans="1:4" ht="24" customHeight="1">
      <c r="A45" s="3"/>
    </row>
    <row r="46" spans="1:4" ht="24" customHeight="1">
      <c r="A46" s="3"/>
    </row>
    <row r="47" spans="1:4" ht="24" customHeight="1">
      <c r="A47" s="3"/>
    </row>
    <row r="48" spans="1:4" ht="24" customHeight="1">
      <c r="A48" s="3"/>
    </row>
    <row r="49" spans="1:1" ht="24" customHeight="1">
      <c r="A49" s="3"/>
    </row>
    <row r="50" spans="1:1" ht="24" customHeight="1">
      <c r="A50" s="3"/>
    </row>
    <row r="51" spans="1:1" ht="24" customHeight="1">
      <c r="A51" s="3"/>
    </row>
    <row r="52" spans="1:1" ht="24" customHeight="1">
      <c r="A52" s="3"/>
    </row>
    <row r="53" spans="1:1" ht="24" customHeight="1">
      <c r="A53" s="3"/>
    </row>
    <row r="54" spans="1:1" ht="24" customHeight="1">
      <c r="A54" s="3"/>
    </row>
    <row r="55" spans="1:1" ht="24" customHeight="1">
      <c r="A55" s="3"/>
    </row>
    <row r="56" spans="1:1" ht="24" customHeight="1">
      <c r="A56" s="3"/>
    </row>
    <row r="57" spans="1:1" ht="24" customHeight="1">
      <c r="A57" s="3"/>
    </row>
    <row r="58" spans="1:1" ht="24" customHeight="1">
      <c r="A58" s="3"/>
    </row>
    <row r="59" spans="1:1" ht="24" customHeight="1">
      <c r="A59" s="3"/>
    </row>
    <row r="60" spans="1:1" ht="24" customHeight="1">
      <c r="A60" s="3"/>
    </row>
    <row r="61" spans="1:1" ht="24" customHeight="1">
      <c r="A61" s="3"/>
    </row>
    <row r="62" spans="1:1" ht="24" customHeight="1">
      <c r="A62" s="3"/>
    </row>
    <row r="63" spans="1:1" ht="24" customHeight="1">
      <c r="A63" s="3"/>
    </row>
    <row r="64" spans="1:1" ht="24" customHeight="1">
      <c r="A64" s="3"/>
    </row>
    <row r="65" spans="1:1" ht="24" customHeight="1">
      <c r="A65" s="3"/>
    </row>
    <row r="66" spans="1:1" ht="24" customHeight="1">
      <c r="A66" s="3"/>
    </row>
    <row r="67" spans="1:1" ht="24" customHeight="1">
      <c r="A67" s="3"/>
    </row>
    <row r="68" spans="1:1" ht="24" customHeight="1">
      <c r="A68" s="3"/>
    </row>
    <row r="69" spans="1:1" ht="24" customHeight="1">
      <c r="A69" s="3"/>
    </row>
    <row r="70" spans="1:1" ht="24" customHeight="1">
      <c r="A70" s="3"/>
    </row>
    <row r="71" spans="1:1" ht="24" customHeight="1">
      <c r="A71" s="3"/>
    </row>
    <row r="72" spans="1:1" ht="24" customHeight="1">
      <c r="A72" s="3"/>
    </row>
    <row r="73" spans="1:1" ht="24" customHeight="1">
      <c r="A73" s="3"/>
    </row>
    <row r="74" spans="1:1" ht="24" customHeight="1">
      <c r="A74" s="3"/>
    </row>
    <row r="75" spans="1:1" ht="24" customHeight="1">
      <c r="A75" s="3"/>
    </row>
    <row r="76" spans="1:1" ht="24" customHeight="1">
      <c r="A76" s="3"/>
    </row>
    <row r="77" spans="1:1" ht="24" customHeight="1">
      <c r="A77" s="3"/>
    </row>
    <row r="78" spans="1:1" ht="24" customHeight="1">
      <c r="A78" s="3"/>
    </row>
    <row r="79" spans="1:1" ht="24" customHeight="1">
      <c r="A79" s="3"/>
    </row>
    <row r="80" spans="1:1" ht="24" customHeight="1">
      <c r="A80" s="3"/>
    </row>
    <row r="81" spans="1:1" ht="24" customHeight="1">
      <c r="A81" s="3"/>
    </row>
    <row r="82" spans="1:1" ht="24" customHeight="1">
      <c r="A82" s="3"/>
    </row>
    <row r="83" spans="1:1" ht="24" customHeight="1">
      <c r="A83" s="3"/>
    </row>
    <row r="84" spans="1:1" ht="24" customHeight="1">
      <c r="A84" s="3"/>
    </row>
    <row r="85" spans="1:1" ht="24" customHeight="1">
      <c r="A85" s="3"/>
    </row>
    <row r="86" spans="1:1" ht="24" customHeight="1">
      <c r="A86" s="3"/>
    </row>
    <row r="87" spans="1:1" ht="24" customHeight="1">
      <c r="A87" s="3"/>
    </row>
    <row r="88" spans="1:1" ht="24" customHeight="1">
      <c r="A88" s="3"/>
    </row>
    <row r="89" spans="1:1" ht="24" customHeight="1">
      <c r="A89" s="3"/>
    </row>
    <row r="90" spans="1:1" ht="24" customHeight="1">
      <c r="A90" s="3"/>
    </row>
    <row r="91" spans="1:1" ht="24" customHeight="1">
      <c r="A91" s="3"/>
    </row>
    <row r="92" spans="1:1" ht="24" customHeight="1">
      <c r="A92" s="3"/>
    </row>
    <row r="93" spans="1:1" ht="24" customHeight="1">
      <c r="A93" s="3"/>
    </row>
    <row r="94" spans="1:1" ht="24" customHeight="1">
      <c r="A94" s="3"/>
    </row>
    <row r="95" spans="1:1" ht="24" customHeight="1">
      <c r="A95" s="3"/>
    </row>
    <row r="96" spans="1:1" ht="24" customHeight="1">
      <c r="A96" s="3"/>
    </row>
    <row r="97" spans="1:1" ht="24" customHeight="1">
      <c r="A97" s="3"/>
    </row>
    <row r="98" spans="1:1" ht="24" customHeight="1">
      <c r="A98" s="3"/>
    </row>
    <row r="99" spans="1:1" ht="24" customHeight="1">
      <c r="A99" s="3"/>
    </row>
    <row r="100" spans="1:1" ht="24" customHeight="1">
      <c r="A100" s="3"/>
    </row>
    <row r="101" spans="1:1" ht="24" customHeight="1">
      <c r="A101" s="3"/>
    </row>
    <row r="102" spans="1:1" ht="24" customHeight="1">
      <c r="A102" s="3"/>
    </row>
    <row r="103" spans="1:1" ht="24" customHeight="1">
      <c r="A103" s="3"/>
    </row>
    <row r="104" spans="1:1" ht="24" customHeight="1">
      <c r="A104" s="3"/>
    </row>
    <row r="105" spans="1:1" ht="24" customHeight="1">
      <c r="A105" s="3"/>
    </row>
    <row r="106" spans="1:1" ht="24" customHeight="1">
      <c r="A106" s="3"/>
    </row>
    <row r="107" spans="1:1" ht="24" customHeight="1">
      <c r="A107" s="3"/>
    </row>
    <row r="108" spans="1:1" ht="24" customHeight="1">
      <c r="A108" s="3"/>
    </row>
    <row r="109" spans="1:1" ht="24" customHeight="1">
      <c r="A109" s="3"/>
    </row>
    <row r="110" spans="1:1" ht="24" customHeight="1">
      <c r="A110" s="3"/>
    </row>
    <row r="111" spans="1:1" ht="24" customHeight="1">
      <c r="A111" s="3"/>
    </row>
    <row r="112" spans="1:1" ht="24" customHeight="1">
      <c r="A112" s="3"/>
    </row>
    <row r="113" spans="1:1" ht="24" customHeight="1">
      <c r="A113" s="3"/>
    </row>
    <row r="114" spans="1:1" ht="24" customHeight="1">
      <c r="A114" s="3"/>
    </row>
    <row r="115" spans="1:1" ht="24" customHeight="1">
      <c r="A115" s="3"/>
    </row>
    <row r="116" spans="1:1" ht="24" customHeight="1">
      <c r="A116" s="3"/>
    </row>
    <row r="117" spans="1:1" ht="24" customHeight="1">
      <c r="A117" s="3"/>
    </row>
    <row r="118" spans="1:1" ht="24" customHeight="1">
      <c r="A118" s="3"/>
    </row>
    <row r="119" spans="1:1" ht="24" customHeight="1">
      <c r="A119" s="3"/>
    </row>
    <row r="120" spans="1:1" ht="24" customHeight="1">
      <c r="A120" s="3"/>
    </row>
    <row r="121" spans="1:1" ht="24" customHeight="1">
      <c r="A121" s="3"/>
    </row>
    <row r="122" spans="1:1" ht="24" customHeight="1">
      <c r="A122" s="3"/>
    </row>
    <row r="123" spans="1:1" ht="24" customHeight="1">
      <c r="A123" s="3"/>
    </row>
    <row r="124" spans="1:1" ht="24" customHeight="1">
      <c r="A124" s="3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G132"/>
  <sheetViews>
    <sheetView zoomScale="110" zoomScaleNormal="110" workbookViewId="0">
      <selection activeCell="C7" sqref="C7"/>
    </sheetView>
  </sheetViews>
  <sheetFormatPr defaultColWidth="24.85546875" defaultRowHeight="30" customHeight="1"/>
  <cols>
    <col min="1" max="1" width="24.85546875" style="127"/>
    <col min="2" max="2" width="24.85546875" style="121"/>
    <col min="3" max="3" width="50.28515625" style="121" customWidth="1"/>
    <col min="4" max="4" width="82.85546875" style="121" customWidth="1"/>
  </cols>
  <sheetData>
    <row r="1" spans="1:7" ht="30" customHeight="1">
      <c r="A1" s="156" t="s">
        <v>67</v>
      </c>
      <c r="B1" s="114" t="s">
        <v>68</v>
      </c>
      <c r="C1" s="115" t="s">
        <v>69</v>
      </c>
      <c r="D1" s="131"/>
    </row>
    <row r="2" spans="1:7" ht="30" customHeight="1">
      <c r="A2" s="157"/>
      <c r="B2" s="114" t="s">
        <v>70</v>
      </c>
      <c r="C2" s="116" t="s">
        <v>207</v>
      </c>
      <c r="D2" s="131"/>
    </row>
    <row r="3" spans="1:7" ht="30" customHeight="1">
      <c r="A3" s="157"/>
      <c r="B3" s="114" t="s">
        <v>71</v>
      </c>
      <c r="C3" s="115">
        <v>27</v>
      </c>
      <c r="D3" s="130" t="s">
        <v>72</v>
      </c>
    </row>
    <row r="4" spans="1:7" ht="30" customHeight="1">
      <c r="A4" s="157"/>
      <c r="B4" s="114" t="s">
        <v>73</v>
      </c>
      <c r="C4" s="115">
        <v>2568</v>
      </c>
      <c r="D4" s="130"/>
    </row>
    <row r="5" spans="1:7" ht="30" customHeight="1">
      <c r="A5" s="157"/>
      <c r="B5" s="114" t="s">
        <v>74</v>
      </c>
      <c r="C5" s="115" t="s">
        <v>208</v>
      </c>
      <c r="D5" s="158" t="s">
        <v>75</v>
      </c>
    </row>
    <row r="6" spans="1:7" ht="30" customHeight="1">
      <c r="A6" s="157"/>
      <c r="B6" s="114" t="s">
        <v>76</v>
      </c>
      <c r="C6" s="115" t="s">
        <v>208</v>
      </c>
      <c r="D6" s="158"/>
    </row>
    <row r="7" spans="1:7" ht="30" customHeight="1">
      <c r="A7" s="157"/>
      <c r="B7" s="114" t="s">
        <v>77</v>
      </c>
      <c r="C7" s="117" t="s">
        <v>78</v>
      </c>
      <c r="D7" s="118"/>
      <c r="E7" s="119"/>
      <c r="F7" s="119"/>
      <c r="G7" s="119"/>
    </row>
    <row r="8" spans="1:7" ht="57" customHeight="1">
      <c r="A8" s="159" t="s">
        <v>67</v>
      </c>
      <c r="B8" s="159"/>
      <c r="C8" s="159"/>
      <c r="D8" s="159"/>
    </row>
    <row r="9" spans="1:7" ht="30" customHeight="1">
      <c r="A9" s="120"/>
    </row>
    <row r="10" spans="1:7" ht="42.95" customHeight="1">
      <c r="A10" s="161"/>
      <c r="B10" s="99" t="s">
        <v>79</v>
      </c>
      <c r="C10" s="99" t="s">
        <v>69</v>
      </c>
      <c r="D10" s="160"/>
    </row>
    <row r="11" spans="1:7" ht="42.95" customHeight="1">
      <c r="A11" s="161"/>
      <c r="B11" s="99" t="s">
        <v>80</v>
      </c>
      <c r="C11" s="99" t="s">
        <v>81</v>
      </c>
      <c r="D11" s="160"/>
    </row>
    <row r="12" spans="1:7" ht="30" customHeight="1">
      <c r="A12" s="120"/>
    </row>
    <row r="13" spans="1:7" ht="30" customHeight="1">
      <c r="A13" s="120"/>
    </row>
    <row r="14" spans="1:7" ht="30" customHeight="1">
      <c r="A14" s="120"/>
    </row>
    <row r="15" spans="1:7" ht="30" customHeight="1">
      <c r="A15" s="120"/>
    </row>
    <row r="16" spans="1:7" ht="30" customHeight="1">
      <c r="A16" s="120"/>
    </row>
    <row r="17" spans="1:4" s="122" customFormat="1" ht="30" customHeight="1">
      <c r="A17" s="120"/>
      <c r="B17" s="121"/>
      <c r="C17" s="121"/>
      <c r="D17" s="121"/>
    </row>
    <row r="18" spans="1:4" s="122" customFormat="1" ht="30" customHeight="1">
      <c r="A18" s="120"/>
      <c r="B18" s="121"/>
      <c r="C18" s="121"/>
      <c r="D18" s="121"/>
    </row>
    <row r="19" spans="1:4" s="122" customFormat="1" ht="30" customHeight="1">
      <c r="A19" s="120"/>
      <c r="B19" s="121"/>
      <c r="C19" s="121"/>
      <c r="D19" s="121"/>
    </row>
    <row r="20" spans="1:4" s="122" customFormat="1" ht="30" customHeight="1">
      <c r="A20" s="120"/>
      <c r="B20" s="121"/>
      <c r="C20" s="121"/>
      <c r="D20" s="121"/>
    </row>
    <row r="21" spans="1:4" s="122" customFormat="1" ht="30" customHeight="1">
      <c r="A21" s="120"/>
      <c r="B21" s="121"/>
      <c r="C21" s="121"/>
      <c r="D21" s="121"/>
    </row>
    <row r="22" spans="1:4" s="122" customFormat="1" ht="30" customHeight="1">
      <c r="A22" s="120"/>
      <c r="B22" s="121"/>
      <c r="C22" s="121"/>
      <c r="D22" s="121"/>
    </row>
    <row r="23" spans="1:4" s="122" customFormat="1" ht="30" customHeight="1">
      <c r="A23" s="120"/>
      <c r="B23" s="121"/>
      <c r="C23" s="121"/>
      <c r="D23" s="121"/>
    </row>
    <row r="24" spans="1:4" s="122" customFormat="1" ht="30" customHeight="1">
      <c r="A24" s="120"/>
      <c r="B24" s="121"/>
      <c r="C24" s="121"/>
      <c r="D24" s="121"/>
    </row>
    <row r="25" spans="1:4" s="122" customFormat="1" ht="30" customHeight="1">
      <c r="A25" s="120"/>
      <c r="B25" s="121"/>
      <c r="C25" s="121"/>
      <c r="D25" s="121"/>
    </row>
    <row r="26" spans="1:4" s="122" customFormat="1" ht="30" customHeight="1">
      <c r="A26" s="120"/>
      <c r="B26" s="121"/>
      <c r="C26" s="121"/>
      <c r="D26" s="121"/>
    </row>
    <row r="27" spans="1:4" s="122" customFormat="1" ht="30" customHeight="1">
      <c r="A27" s="120"/>
      <c r="B27" s="121"/>
      <c r="C27" s="121"/>
      <c r="D27" s="121"/>
    </row>
    <row r="28" spans="1:4" s="122" customFormat="1" ht="30" customHeight="1">
      <c r="A28" s="120"/>
      <c r="B28" s="121"/>
      <c r="C28" s="121"/>
      <c r="D28" s="121"/>
    </row>
    <row r="29" spans="1:4" s="122" customFormat="1" ht="30" customHeight="1">
      <c r="A29" s="120"/>
      <c r="B29" s="121"/>
      <c r="C29" s="121"/>
      <c r="D29" s="121"/>
    </row>
    <row r="30" spans="1:4" s="122" customFormat="1" ht="30" customHeight="1">
      <c r="A30" s="120"/>
      <c r="B30" s="121"/>
      <c r="C30" s="121"/>
      <c r="D30" s="121"/>
    </row>
    <row r="31" spans="1:4" s="122" customFormat="1" ht="30" customHeight="1">
      <c r="A31" s="120"/>
      <c r="B31" s="121"/>
      <c r="C31" s="121"/>
      <c r="D31" s="121"/>
    </row>
    <row r="32" spans="1:4" s="122" customFormat="1" ht="30" customHeight="1">
      <c r="A32" s="120"/>
      <c r="B32" s="121"/>
      <c r="C32" s="121"/>
      <c r="D32" s="121"/>
    </row>
    <row r="33" spans="1:4" s="122" customFormat="1" ht="30" customHeight="1">
      <c r="A33" s="120"/>
      <c r="B33" s="121"/>
      <c r="C33" s="121"/>
      <c r="D33" s="121"/>
    </row>
    <row r="34" spans="1:4" s="122" customFormat="1" ht="30" customHeight="1">
      <c r="A34" s="120"/>
      <c r="B34" s="121"/>
      <c r="C34" s="121"/>
      <c r="D34" s="121"/>
    </row>
    <row r="35" spans="1:4" s="122" customFormat="1" ht="30" customHeight="1">
      <c r="A35" s="120"/>
      <c r="B35" s="121"/>
      <c r="C35" s="121"/>
      <c r="D35" s="121"/>
    </row>
    <row r="36" spans="1:4" s="122" customFormat="1" ht="30" customHeight="1">
      <c r="A36" s="123"/>
      <c r="B36" s="124"/>
      <c r="C36" s="124"/>
      <c r="D36" s="121"/>
    </row>
    <row r="37" spans="1:4" s="122" customFormat="1" ht="30" customHeight="1">
      <c r="A37" s="123"/>
      <c r="B37" s="124"/>
      <c r="C37" s="124"/>
      <c r="D37" s="121"/>
    </row>
    <row r="38" spans="1:4" s="122" customFormat="1" ht="30" customHeight="1">
      <c r="A38" s="123"/>
      <c r="B38" s="124"/>
      <c r="C38" s="124"/>
      <c r="D38" s="121"/>
    </row>
    <row r="39" spans="1:4" s="122" customFormat="1" ht="30" customHeight="1">
      <c r="A39" s="123"/>
      <c r="B39" s="124"/>
      <c r="C39" s="124"/>
      <c r="D39" s="121"/>
    </row>
    <row r="40" spans="1:4" s="122" customFormat="1" ht="30" customHeight="1">
      <c r="A40" s="123"/>
      <c r="B40" s="124"/>
      <c r="C40" s="124"/>
      <c r="D40" s="121"/>
    </row>
    <row r="41" spans="1:4" s="122" customFormat="1" ht="30" customHeight="1">
      <c r="A41" s="123"/>
      <c r="B41" s="124"/>
      <c r="C41" s="124"/>
      <c r="D41" s="121"/>
    </row>
    <row r="42" spans="1:4" s="122" customFormat="1" ht="30" customHeight="1">
      <c r="A42" s="123"/>
      <c r="B42" s="124"/>
      <c r="C42" s="124"/>
      <c r="D42" s="121"/>
    </row>
    <row r="43" spans="1:4" s="122" customFormat="1" ht="30" customHeight="1">
      <c r="A43" s="123"/>
      <c r="B43" s="124"/>
      <c r="C43" s="124"/>
      <c r="D43" s="121"/>
    </row>
    <row r="44" spans="1:4" s="122" customFormat="1" ht="30" customHeight="1">
      <c r="A44" s="123"/>
      <c r="B44" s="124"/>
      <c r="C44" s="124"/>
      <c r="D44" s="121"/>
    </row>
    <row r="45" spans="1:4" s="122" customFormat="1" ht="30" customHeight="1">
      <c r="A45" s="123"/>
      <c r="B45" s="124"/>
      <c r="C45" s="124"/>
      <c r="D45" s="121"/>
    </row>
    <row r="46" spans="1:4" s="122" customFormat="1" ht="30" customHeight="1">
      <c r="A46" s="123"/>
      <c r="B46" s="124"/>
      <c r="C46" s="124"/>
      <c r="D46" s="121"/>
    </row>
    <row r="47" spans="1:4" s="122" customFormat="1" ht="30" customHeight="1">
      <c r="A47" s="123"/>
      <c r="B47" s="124"/>
      <c r="C47" s="124"/>
      <c r="D47" s="121"/>
    </row>
    <row r="48" spans="1:4" s="122" customFormat="1" ht="30" customHeight="1">
      <c r="A48" s="123"/>
      <c r="B48" s="124"/>
      <c r="C48" s="124"/>
      <c r="D48" s="121"/>
    </row>
    <row r="49" spans="1:4" s="122" customFormat="1" ht="30" customHeight="1">
      <c r="A49" s="125"/>
      <c r="B49" s="126"/>
      <c r="C49" s="126"/>
      <c r="D49" s="121"/>
    </row>
    <row r="50" spans="1:4" s="122" customFormat="1" ht="30" customHeight="1">
      <c r="A50" s="123"/>
      <c r="B50" s="124"/>
      <c r="C50" s="124"/>
      <c r="D50" s="121"/>
    </row>
    <row r="51" spans="1:4" s="122" customFormat="1" ht="30" customHeight="1">
      <c r="A51" s="123"/>
      <c r="B51" s="124"/>
      <c r="C51" s="124"/>
      <c r="D51" s="121"/>
    </row>
    <row r="52" spans="1:4" s="122" customFormat="1" ht="30" customHeight="1">
      <c r="A52" s="127"/>
      <c r="B52" s="121"/>
      <c r="C52" s="121"/>
      <c r="D52" s="121"/>
    </row>
    <row r="53" spans="1:4" s="122" customFormat="1" ht="30" customHeight="1">
      <c r="A53" s="127"/>
      <c r="B53" s="121"/>
      <c r="C53" s="121"/>
      <c r="D53" s="121"/>
    </row>
    <row r="54" spans="1:4" s="122" customFormat="1" ht="30" customHeight="1">
      <c r="A54" s="127"/>
      <c r="B54" s="121"/>
      <c r="C54" s="121"/>
      <c r="D54" s="121"/>
    </row>
    <row r="55" spans="1:4" s="122" customFormat="1" ht="30" customHeight="1">
      <c r="A55" s="127"/>
      <c r="B55" s="121"/>
      <c r="C55" s="121"/>
      <c r="D55" s="121"/>
    </row>
    <row r="56" spans="1:4" s="122" customFormat="1" ht="30" customHeight="1">
      <c r="A56" s="127"/>
      <c r="B56" s="121"/>
      <c r="C56" s="121"/>
      <c r="D56" s="121"/>
    </row>
    <row r="57" spans="1:4" s="122" customFormat="1" ht="30" customHeight="1">
      <c r="A57" s="127"/>
      <c r="B57" s="121"/>
      <c r="C57" s="121"/>
      <c r="D57" s="121"/>
    </row>
    <row r="58" spans="1:4" s="122" customFormat="1" ht="30" customHeight="1">
      <c r="A58" s="127"/>
      <c r="B58" s="121"/>
      <c r="C58" s="121"/>
      <c r="D58" s="121"/>
    </row>
    <row r="59" spans="1:4" s="122" customFormat="1" ht="30" customHeight="1">
      <c r="A59" s="127"/>
      <c r="B59" s="121"/>
      <c r="C59" s="121"/>
      <c r="D59" s="121"/>
    </row>
    <row r="60" spans="1:4" s="122" customFormat="1" ht="30" customHeight="1">
      <c r="A60" s="127"/>
      <c r="B60" s="121"/>
      <c r="C60" s="121"/>
      <c r="D60" s="121"/>
    </row>
    <row r="61" spans="1:4" s="122" customFormat="1" ht="30" customHeight="1">
      <c r="A61" s="127"/>
      <c r="B61" s="121"/>
      <c r="C61" s="121"/>
      <c r="D61" s="121"/>
    </row>
    <row r="62" spans="1:4" s="122" customFormat="1" ht="30" customHeight="1">
      <c r="A62" s="127"/>
      <c r="B62" s="121"/>
      <c r="C62" s="121"/>
      <c r="D62" s="121"/>
    </row>
    <row r="63" spans="1:4" s="122" customFormat="1" ht="30" customHeight="1">
      <c r="A63" s="127"/>
      <c r="B63" s="121"/>
      <c r="C63" s="121"/>
      <c r="D63" s="121"/>
    </row>
    <row r="64" spans="1:4" s="122" customFormat="1" ht="30" customHeight="1">
      <c r="A64" s="127"/>
      <c r="B64" s="121"/>
      <c r="C64" s="121"/>
      <c r="D64" s="121"/>
    </row>
    <row r="65" spans="1:4" s="122" customFormat="1" ht="30" customHeight="1">
      <c r="A65" s="127"/>
      <c r="B65" s="121"/>
      <c r="C65" s="121"/>
      <c r="D65" s="121"/>
    </row>
    <row r="66" spans="1:4" s="122" customFormat="1" ht="30" customHeight="1">
      <c r="A66" s="127"/>
      <c r="B66" s="121"/>
      <c r="C66" s="121"/>
      <c r="D66" s="121"/>
    </row>
    <row r="67" spans="1:4" s="122" customFormat="1" ht="30" customHeight="1">
      <c r="A67" s="127"/>
      <c r="B67" s="121"/>
      <c r="C67" s="121"/>
      <c r="D67" s="121"/>
    </row>
    <row r="68" spans="1:4" s="122" customFormat="1" ht="30" customHeight="1">
      <c r="A68" s="127"/>
      <c r="B68" s="121"/>
      <c r="C68" s="121"/>
      <c r="D68" s="121"/>
    </row>
    <row r="69" spans="1:4" s="122" customFormat="1" ht="30" customHeight="1">
      <c r="A69" s="127"/>
      <c r="B69" s="121"/>
      <c r="C69" s="121"/>
      <c r="D69" s="121"/>
    </row>
    <row r="70" spans="1:4" s="122" customFormat="1" ht="30" customHeight="1">
      <c r="A70" s="127"/>
      <c r="B70" s="121"/>
      <c r="C70" s="121"/>
      <c r="D70" s="121"/>
    </row>
    <row r="71" spans="1:4" s="122" customFormat="1" ht="30" customHeight="1">
      <c r="A71" s="127"/>
      <c r="B71" s="121"/>
      <c r="C71" s="121"/>
      <c r="D71" s="121"/>
    </row>
    <row r="72" spans="1:4" s="122" customFormat="1" ht="30" customHeight="1">
      <c r="A72" s="127"/>
      <c r="B72" s="121"/>
      <c r="C72" s="121"/>
      <c r="D72" s="121"/>
    </row>
    <row r="73" spans="1:4" s="122" customFormat="1" ht="30" customHeight="1">
      <c r="A73" s="127"/>
      <c r="B73" s="121"/>
      <c r="C73" s="121"/>
      <c r="D73" s="121"/>
    </row>
    <row r="74" spans="1:4" s="122" customFormat="1" ht="30" customHeight="1">
      <c r="A74" s="127"/>
      <c r="B74" s="121"/>
      <c r="C74" s="121"/>
      <c r="D74" s="121"/>
    </row>
    <row r="75" spans="1:4" s="122" customFormat="1" ht="30" customHeight="1">
      <c r="A75" s="127"/>
      <c r="B75" s="121"/>
      <c r="C75" s="121"/>
      <c r="D75" s="121"/>
    </row>
    <row r="76" spans="1:4" s="122" customFormat="1" ht="30" customHeight="1">
      <c r="A76" s="127"/>
      <c r="B76" s="121"/>
      <c r="C76" s="121"/>
      <c r="D76" s="121"/>
    </row>
    <row r="77" spans="1:4" s="122" customFormat="1" ht="30" customHeight="1">
      <c r="A77" s="127"/>
      <c r="B77" s="121"/>
      <c r="C77" s="121"/>
      <c r="D77" s="121"/>
    </row>
    <row r="78" spans="1:4" s="122" customFormat="1" ht="30" customHeight="1">
      <c r="A78" s="128"/>
      <c r="B78" s="129"/>
      <c r="C78" s="129"/>
      <c r="D78" s="121"/>
    </row>
    <row r="79" spans="1:4" s="122" customFormat="1" ht="30" customHeight="1">
      <c r="A79" s="127"/>
      <c r="B79" s="121"/>
      <c r="C79" s="121"/>
      <c r="D79" s="121"/>
    </row>
    <row r="80" spans="1:4" s="122" customFormat="1" ht="30" customHeight="1">
      <c r="A80" s="127"/>
      <c r="B80" s="121"/>
      <c r="C80" s="121"/>
      <c r="D80" s="121"/>
    </row>
    <row r="81" spans="1:4" s="122" customFormat="1" ht="30" customHeight="1">
      <c r="A81" s="127"/>
      <c r="B81" s="121"/>
      <c r="C81" s="121"/>
      <c r="D81" s="121"/>
    </row>
    <row r="82" spans="1:4" s="122" customFormat="1" ht="30" customHeight="1">
      <c r="A82" s="127"/>
      <c r="B82" s="121"/>
      <c r="C82" s="121"/>
      <c r="D82" s="121"/>
    </row>
    <row r="83" spans="1:4" s="122" customFormat="1" ht="30" customHeight="1">
      <c r="A83" s="127"/>
      <c r="B83" s="121"/>
      <c r="C83" s="121"/>
      <c r="D83" s="121"/>
    </row>
    <row r="84" spans="1:4" s="122" customFormat="1" ht="30" customHeight="1">
      <c r="A84" s="127"/>
      <c r="B84" s="121"/>
      <c r="C84" s="121"/>
      <c r="D84" s="121"/>
    </row>
    <row r="85" spans="1:4" s="122" customFormat="1" ht="30" customHeight="1">
      <c r="A85" s="127"/>
      <c r="B85" s="121"/>
      <c r="C85" s="121"/>
      <c r="D85" s="121"/>
    </row>
    <row r="86" spans="1:4" s="122" customFormat="1" ht="30" customHeight="1">
      <c r="A86" s="127"/>
      <c r="B86" s="121"/>
      <c r="C86" s="121"/>
      <c r="D86" s="121"/>
    </row>
    <row r="87" spans="1:4" s="122" customFormat="1" ht="30" customHeight="1">
      <c r="A87" s="127"/>
      <c r="B87" s="121"/>
      <c r="C87" s="121"/>
      <c r="D87" s="121"/>
    </row>
    <row r="88" spans="1:4" s="122" customFormat="1" ht="30" customHeight="1">
      <c r="A88" s="127"/>
      <c r="B88" s="121"/>
      <c r="C88" s="121"/>
      <c r="D88" s="121"/>
    </row>
    <row r="89" spans="1:4" s="122" customFormat="1" ht="30" customHeight="1">
      <c r="A89" s="128"/>
      <c r="B89" s="129"/>
      <c r="C89" s="129"/>
      <c r="D89" s="121"/>
    </row>
    <row r="90" spans="1:4" s="122" customFormat="1" ht="30" customHeight="1">
      <c r="A90" s="127"/>
      <c r="B90" s="121"/>
      <c r="C90" s="121"/>
      <c r="D90" s="121"/>
    </row>
    <row r="91" spans="1:4" s="122" customFormat="1" ht="30" customHeight="1">
      <c r="A91" s="127"/>
      <c r="B91" s="121"/>
      <c r="C91" s="121"/>
      <c r="D91" s="121"/>
    </row>
    <row r="92" spans="1:4" s="122" customFormat="1" ht="30" customHeight="1">
      <c r="A92" s="127"/>
      <c r="B92" s="121"/>
      <c r="C92" s="121"/>
      <c r="D92" s="121"/>
    </row>
    <row r="93" spans="1:4" s="122" customFormat="1" ht="30" customHeight="1">
      <c r="A93" s="127"/>
      <c r="B93" s="121"/>
      <c r="C93" s="121"/>
      <c r="D93" s="121"/>
    </row>
    <row r="94" spans="1:4" s="122" customFormat="1" ht="30" customHeight="1">
      <c r="A94" s="127"/>
      <c r="B94" s="121"/>
      <c r="C94" s="121"/>
      <c r="D94" s="121"/>
    </row>
    <row r="95" spans="1:4" s="122" customFormat="1" ht="30" customHeight="1">
      <c r="A95" s="127"/>
      <c r="B95" s="121"/>
      <c r="C95" s="121"/>
      <c r="D95" s="121"/>
    </row>
    <row r="96" spans="1:4" s="122" customFormat="1" ht="30" customHeight="1">
      <c r="A96" s="127"/>
      <c r="B96" s="121"/>
      <c r="C96" s="121"/>
      <c r="D96" s="121"/>
    </row>
    <row r="97" spans="1:4" s="122" customFormat="1" ht="30" customHeight="1">
      <c r="A97" s="127"/>
      <c r="B97" s="121"/>
      <c r="C97" s="121"/>
      <c r="D97" s="121"/>
    </row>
    <row r="98" spans="1:4" s="122" customFormat="1" ht="30" customHeight="1">
      <c r="A98" s="127"/>
      <c r="B98" s="121"/>
      <c r="C98" s="121"/>
      <c r="D98" s="121"/>
    </row>
    <row r="99" spans="1:4" s="122" customFormat="1" ht="30" customHeight="1">
      <c r="A99" s="127"/>
      <c r="B99" s="121"/>
      <c r="C99" s="121"/>
      <c r="D99" s="121"/>
    </row>
    <row r="100" spans="1:4" s="122" customFormat="1" ht="30" customHeight="1">
      <c r="A100" s="127"/>
      <c r="B100" s="121"/>
      <c r="C100" s="121"/>
      <c r="D100" s="121"/>
    </row>
    <row r="101" spans="1:4" s="122" customFormat="1" ht="30" customHeight="1">
      <c r="A101" s="128"/>
      <c r="B101" s="129"/>
      <c r="C101" s="129"/>
      <c r="D101" s="121"/>
    </row>
    <row r="102" spans="1:4" s="122" customFormat="1" ht="30" customHeight="1">
      <c r="A102" s="127"/>
      <c r="B102" s="121"/>
      <c r="C102" s="121"/>
      <c r="D102" s="121"/>
    </row>
    <row r="103" spans="1:4" s="122" customFormat="1" ht="30" customHeight="1">
      <c r="A103" s="127"/>
      <c r="B103" s="121"/>
      <c r="C103" s="121"/>
      <c r="D103" s="121"/>
    </row>
    <row r="104" spans="1:4" s="122" customFormat="1" ht="30" customHeight="1">
      <c r="A104" s="127"/>
      <c r="B104" s="121"/>
      <c r="C104" s="121"/>
      <c r="D104" s="121"/>
    </row>
    <row r="105" spans="1:4" s="122" customFormat="1" ht="30" customHeight="1">
      <c r="A105" s="127"/>
      <c r="B105" s="121"/>
      <c r="C105" s="121"/>
      <c r="D105" s="121"/>
    </row>
    <row r="106" spans="1:4" s="122" customFormat="1" ht="30" customHeight="1">
      <c r="A106" s="127"/>
      <c r="B106" s="121"/>
      <c r="C106" s="121"/>
      <c r="D106" s="121"/>
    </row>
    <row r="107" spans="1:4" s="122" customFormat="1" ht="30" customHeight="1">
      <c r="A107" s="127"/>
      <c r="B107" s="121"/>
      <c r="C107" s="121"/>
      <c r="D107" s="121"/>
    </row>
    <row r="108" spans="1:4" s="122" customFormat="1" ht="30" customHeight="1">
      <c r="A108" s="127"/>
      <c r="B108" s="121"/>
      <c r="C108" s="121"/>
      <c r="D108" s="121"/>
    </row>
    <row r="109" spans="1:4" s="122" customFormat="1" ht="30" customHeight="1">
      <c r="A109" s="127"/>
      <c r="B109" s="121"/>
      <c r="C109" s="121"/>
      <c r="D109" s="121"/>
    </row>
    <row r="110" spans="1:4" s="122" customFormat="1" ht="30" customHeight="1">
      <c r="A110" s="127"/>
      <c r="B110" s="121"/>
      <c r="C110" s="121"/>
      <c r="D110" s="121"/>
    </row>
    <row r="111" spans="1:4" s="122" customFormat="1" ht="30" customHeight="1">
      <c r="A111" s="127"/>
      <c r="B111" s="121"/>
      <c r="C111" s="121"/>
      <c r="D111" s="121"/>
    </row>
    <row r="112" spans="1:4" s="122" customFormat="1" ht="30" customHeight="1">
      <c r="A112" s="127"/>
      <c r="B112" s="121"/>
      <c r="C112" s="121"/>
      <c r="D112" s="121"/>
    </row>
    <row r="113" spans="1:4" s="122" customFormat="1" ht="30" customHeight="1">
      <c r="A113" s="128"/>
      <c r="B113" s="129"/>
      <c r="C113" s="129"/>
      <c r="D113" s="121"/>
    </row>
    <row r="114" spans="1:4" s="122" customFormat="1" ht="30" customHeight="1">
      <c r="A114" s="127"/>
      <c r="B114" s="121"/>
      <c r="C114" s="121"/>
      <c r="D114" s="121"/>
    </row>
    <row r="115" spans="1:4" s="122" customFormat="1" ht="30" customHeight="1">
      <c r="A115" s="127"/>
      <c r="B115" s="121"/>
      <c r="C115" s="121"/>
      <c r="D115" s="121"/>
    </row>
    <row r="116" spans="1:4" s="122" customFormat="1" ht="30" customHeight="1">
      <c r="A116" s="127"/>
      <c r="B116" s="121"/>
      <c r="C116" s="121"/>
      <c r="D116" s="121"/>
    </row>
    <row r="117" spans="1:4" s="122" customFormat="1" ht="30" customHeight="1">
      <c r="A117" s="127"/>
      <c r="B117" s="121"/>
      <c r="C117" s="121"/>
      <c r="D117" s="121"/>
    </row>
    <row r="118" spans="1:4" s="122" customFormat="1" ht="30" customHeight="1">
      <c r="A118" s="127"/>
      <c r="B118" s="121"/>
      <c r="C118" s="121"/>
      <c r="D118" s="121"/>
    </row>
    <row r="119" spans="1:4" s="122" customFormat="1" ht="30" customHeight="1">
      <c r="A119" s="127"/>
      <c r="B119" s="121"/>
      <c r="C119" s="121"/>
      <c r="D119" s="121"/>
    </row>
    <row r="120" spans="1:4" s="122" customFormat="1" ht="30" customHeight="1">
      <c r="A120" s="127"/>
      <c r="B120" s="121"/>
      <c r="C120" s="121"/>
      <c r="D120" s="121"/>
    </row>
    <row r="121" spans="1:4" s="122" customFormat="1" ht="30" customHeight="1">
      <c r="A121" s="128"/>
      <c r="B121" s="129"/>
      <c r="C121" s="129"/>
      <c r="D121" s="121"/>
    </row>
    <row r="122" spans="1:4" s="122" customFormat="1" ht="30" customHeight="1">
      <c r="A122" s="127"/>
      <c r="B122" s="121"/>
      <c r="C122" s="121"/>
      <c r="D122" s="121"/>
    </row>
    <row r="123" spans="1:4" s="122" customFormat="1" ht="30" customHeight="1">
      <c r="A123" s="127"/>
      <c r="B123" s="121"/>
      <c r="C123" s="121"/>
      <c r="D123" s="121"/>
    </row>
    <row r="124" spans="1:4" s="122" customFormat="1" ht="30" customHeight="1">
      <c r="A124" s="127"/>
      <c r="B124" s="121"/>
      <c r="C124" s="121"/>
      <c r="D124" s="121"/>
    </row>
    <row r="125" spans="1:4" s="122" customFormat="1" ht="30" customHeight="1">
      <c r="A125" s="127"/>
      <c r="B125" s="121"/>
      <c r="C125" s="121"/>
      <c r="D125" s="121"/>
    </row>
    <row r="126" spans="1:4" s="122" customFormat="1" ht="30" customHeight="1">
      <c r="A126" s="127"/>
      <c r="B126" s="121"/>
      <c r="C126" s="121"/>
      <c r="D126" s="121"/>
    </row>
    <row r="127" spans="1:4" s="122" customFormat="1" ht="30" customHeight="1">
      <c r="A127" s="127"/>
      <c r="B127" s="121"/>
      <c r="C127" s="121"/>
      <c r="D127" s="121"/>
    </row>
    <row r="128" spans="1:4" s="122" customFormat="1" ht="30" customHeight="1">
      <c r="A128" s="127"/>
      <c r="B128" s="121"/>
      <c r="C128" s="121"/>
      <c r="D128" s="121"/>
    </row>
    <row r="129" spans="1:4" s="122" customFormat="1" ht="30" customHeight="1">
      <c r="A129" s="127"/>
      <c r="B129" s="121"/>
      <c r="C129" s="121"/>
      <c r="D129" s="121"/>
    </row>
    <row r="130" spans="1:4" s="122" customFormat="1" ht="30" customHeight="1">
      <c r="A130" s="127"/>
      <c r="B130" s="121"/>
      <c r="C130" s="121"/>
      <c r="D130" s="121"/>
    </row>
    <row r="131" spans="1:4" s="122" customFormat="1" ht="30" customHeight="1">
      <c r="A131" s="127"/>
      <c r="B131" s="121"/>
      <c r="C131" s="121"/>
      <c r="D131" s="121"/>
    </row>
    <row r="132" spans="1:4" s="122" customFormat="1" ht="30" customHeight="1">
      <c r="A132" s="127"/>
      <c r="B132" s="121"/>
      <c r="C132" s="121"/>
      <c r="D132" s="121"/>
    </row>
  </sheetData>
  <mergeCells count="5">
    <mergeCell ref="A1:A7"/>
    <mergeCell ref="D5:D6"/>
    <mergeCell ref="A8:D8"/>
    <mergeCell ref="D10:D11"/>
    <mergeCell ref="A10:A11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/>
  </sheetPr>
  <dimension ref="A1:AI41"/>
  <sheetViews>
    <sheetView topLeftCell="X31" zoomScale="150" workbookViewId="0">
      <selection activeCell="AC31" sqref="AC31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 t="str">
        <f>รายชื่อ!B1</f>
        <v>เด็กชาย</v>
      </c>
      <c r="C3" s="111" t="str">
        <f>รายชื่อ!C1</f>
        <v>ณฐวัฒน์</v>
      </c>
      <c r="D3" s="111" t="str">
        <f>รายชื่อ!D1</f>
        <v>ขวัญมุข</v>
      </c>
      <c r="E3" s="60"/>
      <c r="F3" s="103"/>
      <c r="G3" s="165"/>
      <c r="H3" s="165"/>
      <c r="I3" s="165"/>
      <c r="J3" s="25"/>
      <c r="K3" s="136" t="str">
        <f>รายชื่อ!A1</f>
        <v>1</v>
      </c>
      <c r="M3" s="25" t="s">
        <v>85</v>
      </c>
      <c r="N3" s="110" t="str">
        <f>รายชื่อ!B1</f>
        <v>เด็กชาย</v>
      </c>
      <c r="O3" s="110" t="str">
        <f>รายชื่อ!C1</f>
        <v>ณฐวัฒน์</v>
      </c>
      <c r="P3" s="110" t="str">
        <f>รายชื่อ!D1</f>
        <v>ขวัญมุข</v>
      </c>
      <c r="Q3" s="60"/>
      <c r="R3" s="103"/>
      <c r="S3" s="165"/>
      <c r="T3" s="165"/>
      <c r="U3" s="165"/>
      <c r="V3" s="25"/>
      <c r="W3" s="106" t="s">
        <v>23</v>
      </c>
      <c r="Y3" s="25" t="s">
        <v>85</v>
      </c>
      <c r="Z3" s="110" t="str">
        <f>รายชื่อ!B1</f>
        <v>เด็กชาย</v>
      </c>
      <c r="AA3" s="110" t="str">
        <f>รายชื่อ!C1</f>
        <v>ณฐวัฒน์</v>
      </c>
      <c r="AB3" s="110" t="str">
        <f>รายชื่อ!D1</f>
        <v>ขวัญมุข</v>
      </c>
      <c r="AC3" s="60"/>
      <c r="AD3" s="103"/>
      <c r="AE3" s="165"/>
      <c r="AF3" s="165"/>
      <c r="AG3" s="165"/>
      <c r="AH3" s="25"/>
      <c r="AI3" s="106" t="s">
        <v>23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/>
      <c r="C7" s="32">
        <v>1</v>
      </c>
      <c r="D7" s="32"/>
      <c r="E7" s="24"/>
      <c r="F7" s="25">
        <f t="shared" ref="F7:F12" si="0">B7*0</f>
        <v>0</v>
      </c>
      <c r="G7" s="25">
        <f t="shared" ref="G7:G31" si="1">C7*1</f>
        <v>1</v>
      </c>
      <c r="H7" s="25">
        <f t="shared" ref="H7:H12" si="2">D7*2</f>
        <v>0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/>
      <c r="O7" s="32"/>
      <c r="P7" s="32">
        <v>1</v>
      </c>
      <c r="Q7" s="24"/>
      <c r="R7" s="25">
        <f t="shared" ref="R7:R12" si="4">N7*0</f>
        <v>0</v>
      </c>
      <c r="S7" s="25">
        <f t="shared" ref="S7:S31" si="5">O7*1</f>
        <v>0</v>
      </c>
      <c r="T7" s="25">
        <f t="shared" ref="T7:T12" si="6">P7*2</f>
        <v>2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/>
      <c r="AB7" s="32">
        <v>1</v>
      </c>
      <c r="AC7" s="24"/>
      <c r="AD7" s="25">
        <f t="shared" ref="AD7:AD12" si="8">Z7*0</f>
        <v>0</v>
      </c>
      <c r="AE7" s="25">
        <f t="shared" ref="AE7:AE31" si="9">AA7*1</f>
        <v>0</v>
      </c>
      <c r="AF7" s="25">
        <f t="shared" ref="AF7:AF12" si="10">AB7*2</f>
        <v>2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/>
      <c r="C8" s="32">
        <v>1</v>
      </c>
      <c r="D8" s="32"/>
      <c r="E8" s="24"/>
      <c r="F8" s="25">
        <f t="shared" si="0"/>
        <v>0</v>
      </c>
      <c r="G8" s="25">
        <f t="shared" si="1"/>
        <v>1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>
        <v>1</v>
      </c>
      <c r="O8" s="32"/>
      <c r="P8" s="32"/>
      <c r="Q8" s="24"/>
      <c r="R8" s="25">
        <f t="shared" si="4"/>
        <v>0</v>
      </c>
      <c r="S8" s="25">
        <f t="shared" si="5"/>
        <v>0</v>
      </c>
      <c r="T8" s="25">
        <f t="shared" si="6"/>
        <v>0</v>
      </c>
      <c r="U8" s="25">
        <f t="shared" si="7"/>
        <v>0</v>
      </c>
      <c r="V8" s="24"/>
      <c r="W8" s="25"/>
      <c r="Y8" s="25">
        <v>2</v>
      </c>
      <c r="Z8" s="32"/>
      <c r="AA8" s="32">
        <v>1</v>
      </c>
      <c r="AB8" s="32"/>
      <c r="AC8" s="24"/>
      <c r="AD8" s="25">
        <f t="shared" si="8"/>
        <v>0</v>
      </c>
      <c r="AE8" s="25">
        <f t="shared" si="9"/>
        <v>1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>
        <v>1</v>
      </c>
      <c r="C9" s="32"/>
      <c r="D9" s="32"/>
      <c r="E9" s="24"/>
      <c r="F9" s="25">
        <f t="shared" si="0"/>
        <v>0</v>
      </c>
      <c r="G9" s="25">
        <f t="shared" si="1"/>
        <v>0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/>
      <c r="O9" s="32"/>
      <c r="P9" s="32">
        <v>1</v>
      </c>
      <c r="Q9" s="24"/>
      <c r="R9" s="25">
        <f t="shared" si="4"/>
        <v>0</v>
      </c>
      <c r="S9" s="25">
        <f t="shared" si="5"/>
        <v>0</v>
      </c>
      <c r="T9" s="25">
        <f t="shared" si="6"/>
        <v>2</v>
      </c>
      <c r="U9" s="25">
        <f t="shared" si="7"/>
        <v>0</v>
      </c>
      <c r="V9" s="24"/>
      <c r="W9" s="25"/>
      <c r="Y9" s="25">
        <v>3</v>
      </c>
      <c r="Z9" s="32">
        <v>1</v>
      </c>
      <c r="AA9" s="32"/>
      <c r="AB9" s="32"/>
      <c r="AC9" s="24"/>
      <c r="AD9" s="25">
        <f t="shared" si="8"/>
        <v>0</v>
      </c>
      <c r="AE9" s="25">
        <f t="shared" si="9"/>
        <v>0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>
        <v>2</v>
      </c>
      <c r="D10" s="32"/>
      <c r="E10" s="24"/>
      <c r="F10" s="25">
        <f t="shared" si="0"/>
        <v>0</v>
      </c>
      <c r="G10" s="25">
        <f t="shared" si="1"/>
        <v>2</v>
      </c>
      <c r="H10" s="25">
        <f t="shared" si="2"/>
        <v>0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>
        <v>1</v>
      </c>
      <c r="P10" s="32"/>
      <c r="Q10" s="24"/>
      <c r="R10" s="25">
        <f t="shared" si="4"/>
        <v>0</v>
      </c>
      <c r="S10" s="25">
        <f t="shared" si="5"/>
        <v>1</v>
      </c>
      <c r="T10" s="25">
        <f t="shared" si="6"/>
        <v>0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/>
      <c r="AB10" s="32">
        <v>1</v>
      </c>
      <c r="AC10" s="24"/>
      <c r="AD10" s="25">
        <f t="shared" si="8"/>
        <v>0</v>
      </c>
      <c r="AE10" s="25">
        <f t="shared" si="9"/>
        <v>0</v>
      </c>
      <c r="AF10" s="25">
        <f t="shared" si="10"/>
        <v>2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>
        <v>1</v>
      </c>
      <c r="C11" s="32"/>
      <c r="D11" s="32"/>
      <c r="E11" s="24"/>
      <c r="F11" s="25">
        <f t="shared" si="0"/>
        <v>0</v>
      </c>
      <c r="G11" s="25">
        <f t="shared" si="1"/>
        <v>0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>
        <v>1</v>
      </c>
      <c r="O11" s="32"/>
      <c r="P11" s="32"/>
      <c r="Q11" s="24"/>
      <c r="R11" s="25">
        <f t="shared" si="4"/>
        <v>0</v>
      </c>
      <c r="S11" s="25">
        <f t="shared" si="5"/>
        <v>0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>
        <v>1</v>
      </c>
      <c r="AA11" s="32"/>
      <c r="AB11" s="32"/>
      <c r="AC11" s="24"/>
      <c r="AD11" s="25">
        <f t="shared" si="8"/>
        <v>0</v>
      </c>
      <c r="AE11" s="25">
        <f t="shared" si="9"/>
        <v>0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/>
      <c r="C12" s="32">
        <v>1</v>
      </c>
      <c r="D12" s="32"/>
      <c r="E12" s="24"/>
      <c r="F12" s="25">
        <f t="shared" si="0"/>
        <v>0</v>
      </c>
      <c r="G12" s="25">
        <f t="shared" si="1"/>
        <v>1</v>
      </c>
      <c r="H12" s="25">
        <f t="shared" si="2"/>
        <v>0</v>
      </c>
      <c r="I12" s="25">
        <f t="shared" si="3"/>
        <v>0</v>
      </c>
      <c r="J12" s="105">
        <f>I11+I13+I18+I24+I28</f>
        <v>4</v>
      </c>
      <c r="K12" s="108">
        <f>J12</f>
        <v>4</v>
      </c>
      <c r="M12" s="25">
        <v>6</v>
      </c>
      <c r="N12" s="32"/>
      <c r="O12" s="32">
        <v>1</v>
      </c>
      <c r="P12" s="32"/>
      <c r="Q12" s="24"/>
      <c r="R12" s="25">
        <f t="shared" si="4"/>
        <v>0</v>
      </c>
      <c r="S12" s="25">
        <f t="shared" si="5"/>
        <v>1</v>
      </c>
      <c r="T12" s="25">
        <f t="shared" si="6"/>
        <v>0</v>
      </c>
      <c r="U12" s="25">
        <f t="shared" si="7"/>
        <v>0</v>
      </c>
      <c r="V12" s="105">
        <f>U11+U13+U18+U24+U28</f>
        <v>2</v>
      </c>
      <c r="W12" s="108">
        <f>V12</f>
        <v>2</v>
      </c>
      <c r="Y12" s="25">
        <v>6</v>
      </c>
      <c r="Z12" s="32"/>
      <c r="AA12" s="32">
        <v>1</v>
      </c>
      <c r="AB12" s="32"/>
      <c r="AC12" s="24"/>
      <c r="AD12" s="25">
        <f t="shared" si="8"/>
        <v>0</v>
      </c>
      <c r="AE12" s="25">
        <f t="shared" si="9"/>
        <v>1</v>
      </c>
      <c r="AF12" s="25">
        <f t="shared" si="10"/>
        <v>0</v>
      </c>
      <c r="AG12" s="25">
        <f t="shared" si="11"/>
        <v>0</v>
      </c>
      <c r="AH12" s="105">
        <f>AG11+AG13+AG18+AG24+AG28</f>
        <v>4</v>
      </c>
      <c r="AI12" s="108">
        <f>AH12</f>
        <v>4</v>
      </c>
    </row>
    <row r="13" spans="1:35" ht="21" customHeight="1">
      <c r="A13" s="25">
        <v>7</v>
      </c>
      <c r="B13" s="32">
        <v>1</v>
      </c>
      <c r="C13" s="32"/>
      <c r="D13" s="32"/>
      <c r="E13" s="24"/>
      <c r="F13" s="25">
        <f>B13*2</f>
        <v>2</v>
      </c>
      <c r="G13" s="25">
        <f t="shared" si="1"/>
        <v>0</v>
      </c>
      <c r="H13" s="25">
        <f>D13*0</f>
        <v>0</v>
      </c>
      <c r="I13" s="25">
        <f t="shared" si="3"/>
        <v>2</v>
      </c>
      <c r="J13" s="24"/>
      <c r="K13" s="25"/>
      <c r="M13" s="25">
        <v>7</v>
      </c>
      <c r="N13" s="32"/>
      <c r="O13" s="32"/>
      <c r="P13" s="32">
        <v>1</v>
      </c>
      <c r="Q13" s="24"/>
      <c r="R13" s="25">
        <f>N13*2</f>
        <v>0</v>
      </c>
      <c r="S13" s="25">
        <f t="shared" si="5"/>
        <v>0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>
        <v>1</v>
      </c>
      <c r="AA13" s="32"/>
      <c r="AB13" s="32"/>
      <c r="AC13" s="24"/>
      <c r="AD13" s="25">
        <f>Z13*2</f>
        <v>2</v>
      </c>
      <c r="AE13" s="25">
        <f t="shared" si="9"/>
        <v>0</v>
      </c>
      <c r="AF13" s="25">
        <f>AB13*0</f>
        <v>0</v>
      </c>
      <c r="AG13" s="25">
        <f t="shared" si="11"/>
        <v>2</v>
      </c>
      <c r="AH13" s="24"/>
      <c r="AI13" s="25"/>
    </row>
    <row r="14" spans="1:35" ht="21" customHeight="1">
      <c r="A14" s="25">
        <v>8</v>
      </c>
      <c r="B14" s="32"/>
      <c r="C14" s="32">
        <v>1</v>
      </c>
      <c r="D14" s="32"/>
      <c r="E14" s="24"/>
      <c r="F14" s="25">
        <f t="shared" ref="F14:F19" si="12">B14*0</f>
        <v>0</v>
      </c>
      <c r="G14" s="25">
        <f t="shared" si="1"/>
        <v>1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/>
      <c r="O14" s="32">
        <v>1</v>
      </c>
      <c r="P14" s="32"/>
      <c r="Q14" s="24"/>
      <c r="R14" s="25">
        <f t="shared" ref="R14:R19" si="14">N14*0</f>
        <v>0</v>
      </c>
      <c r="S14" s="25">
        <f t="shared" si="5"/>
        <v>1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/>
      <c r="AA14" s="32">
        <v>1</v>
      </c>
      <c r="AB14" s="32"/>
      <c r="AC14" s="24"/>
      <c r="AD14" s="25">
        <f t="shared" ref="AD14:AD19" si="16">Z14*0</f>
        <v>0</v>
      </c>
      <c r="AE14" s="25">
        <f t="shared" si="9"/>
        <v>1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>
        <v>1</v>
      </c>
      <c r="D15" s="32"/>
      <c r="E15" s="24"/>
      <c r="F15" s="25">
        <f t="shared" si="12"/>
        <v>0</v>
      </c>
      <c r="G15" s="25">
        <f t="shared" si="1"/>
        <v>1</v>
      </c>
      <c r="H15" s="25">
        <f t="shared" si="13"/>
        <v>0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>
        <v>1</v>
      </c>
      <c r="P15" s="32"/>
      <c r="Q15" s="24"/>
      <c r="R15" s="25">
        <f t="shared" si="14"/>
        <v>0</v>
      </c>
      <c r="S15" s="25">
        <f t="shared" si="5"/>
        <v>1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/>
      <c r="AA15" s="32">
        <v>1</v>
      </c>
      <c r="AB15" s="32"/>
      <c r="AC15" s="24"/>
      <c r="AD15" s="25">
        <f t="shared" si="16"/>
        <v>0</v>
      </c>
      <c r="AE15" s="25">
        <f t="shared" si="9"/>
        <v>1</v>
      </c>
      <c r="AF15" s="25">
        <f t="shared" si="17"/>
        <v>0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>
        <v>1</v>
      </c>
      <c r="C16" s="32"/>
      <c r="D16" s="32"/>
      <c r="E16" s="24"/>
      <c r="F16" s="25">
        <f t="shared" si="12"/>
        <v>0</v>
      </c>
      <c r="G16" s="25">
        <f t="shared" si="1"/>
        <v>0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>
        <v>1</v>
      </c>
      <c r="O16" s="32"/>
      <c r="P16" s="32"/>
      <c r="Q16" s="24"/>
      <c r="R16" s="25">
        <f t="shared" si="14"/>
        <v>0</v>
      </c>
      <c r="S16" s="25">
        <f t="shared" si="5"/>
        <v>0</v>
      </c>
      <c r="T16" s="25">
        <f t="shared" si="15"/>
        <v>0</v>
      </c>
      <c r="U16" s="25">
        <f t="shared" si="7"/>
        <v>0</v>
      </c>
      <c r="V16" s="24"/>
      <c r="W16" s="107" t="s">
        <v>99</v>
      </c>
      <c r="Y16" s="25">
        <v>10</v>
      </c>
      <c r="Z16" s="32">
        <v>1</v>
      </c>
      <c r="AA16" s="32"/>
      <c r="AB16" s="32"/>
      <c r="AC16" s="24"/>
      <c r="AD16" s="25">
        <f t="shared" si="16"/>
        <v>0</v>
      </c>
      <c r="AE16" s="25">
        <f t="shared" si="9"/>
        <v>0</v>
      </c>
      <c r="AF16" s="25">
        <f t="shared" si="17"/>
        <v>0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/>
      <c r="D17" s="32">
        <v>1</v>
      </c>
      <c r="E17" s="24"/>
      <c r="F17" s="25">
        <f t="shared" si="12"/>
        <v>0</v>
      </c>
      <c r="G17" s="25">
        <f t="shared" si="1"/>
        <v>0</v>
      </c>
      <c r="H17" s="25">
        <f t="shared" si="13"/>
        <v>2</v>
      </c>
      <c r="I17" s="25">
        <f t="shared" si="3"/>
        <v>0</v>
      </c>
      <c r="J17" s="105">
        <f>I8+I16+I21+I27+I31</f>
        <v>0</v>
      </c>
      <c r="K17" s="108">
        <f>J17</f>
        <v>0</v>
      </c>
      <c r="M17" s="25">
        <v>11</v>
      </c>
      <c r="N17" s="32"/>
      <c r="O17" s="32"/>
      <c r="P17" s="32">
        <v>1</v>
      </c>
      <c r="Q17" s="24"/>
      <c r="R17" s="25">
        <f t="shared" si="14"/>
        <v>0</v>
      </c>
      <c r="S17" s="25">
        <f t="shared" si="5"/>
        <v>0</v>
      </c>
      <c r="T17" s="25">
        <f t="shared" si="15"/>
        <v>2</v>
      </c>
      <c r="U17" s="25">
        <f t="shared" si="7"/>
        <v>0</v>
      </c>
      <c r="V17" s="105">
        <f>U8+U16+U21+U27+U31</f>
        <v>0</v>
      </c>
      <c r="W17" s="108">
        <f>V17</f>
        <v>0</v>
      </c>
      <c r="Y17" s="25">
        <v>11</v>
      </c>
      <c r="Z17" s="32"/>
      <c r="AA17" s="32"/>
      <c r="AB17" s="32">
        <v>1</v>
      </c>
      <c r="AC17" s="24"/>
      <c r="AD17" s="25">
        <f t="shared" si="16"/>
        <v>0</v>
      </c>
      <c r="AE17" s="25">
        <f t="shared" si="9"/>
        <v>0</v>
      </c>
      <c r="AF17" s="25">
        <f t="shared" si="17"/>
        <v>2</v>
      </c>
      <c r="AG17" s="25">
        <f t="shared" si="11"/>
        <v>0</v>
      </c>
      <c r="AH17" s="105">
        <f>AG8+AG16+AG21+AG27+AG31</f>
        <v>0</v>
      </c>
      <c r="AI17" s="108">
        <f>AH17</f>
        <v>0</v>
      </c>
    </row>
    <row r="18" spans="1:35" ht="21" customHeight="1">
      <c r="A18" s="25">
        <v>12</v>
      </c>
      <c r="B18" s="32">
        <v>1</v>
      </c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>
        <v>1</v>
      </c>
      <c r="O18" s="32"/>
      <c r="P18" s="32"/>
      <c r="Q18" s="24"/>
      <c r="R18" s="25">
        <f t="shared" si="14"/>
        <v>0</v>
      </c>
      <c r="S18" s="25">
        <f t="shared" si="5"/>
        <v>0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>
        <v>1</v>
      </c>
      <c r="AA18" s="32"/>
      <c r="AB18" s="32"/>
      <c r="AC18" s="24"/>
      <c r="AD18" s="25">
        <f t="shared" si="16"/>
        <v>0</v>
      </c>
      <c r="AE18" s="25">
        <f t="shared" si="9"/>
        <v>0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>
        <v>1</v>
      </c>
      <c r="C19" s="32"/>
      <c r="D19" s="32"/>
      <c r="E19" s="24"/>
      <c r="F19" s="25">
        <f t="shared" si="12"/>
        <v>0</v>
      </c>
      <c r="G19" s="25">
        <f t="shared" si="1"/>
        <v>0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>
        <v>1</v>
      </c>
      <c r="O19" s="32"/>
      <c r="P19" s="32"/>
      <c r="Q19" s="24"/>
      <c r="R19" s="25">
        <f t="shared" si="14"/>
        <v>0</v>
      </c>
      <c r="S19" s="25">
        <f t="shared" si="5"/>
        <v>0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>
        <v>1</v>
      </c>
      <c r="AA19" s="32"/>
      <c r="AB19" s="32"/>
      <c r="AC19" s="24"/>
      <c r="AD19" s="25">
        <f t="shared" si="16"/>
        <v>0</v>
      </c>
      <c r="AE19" s="25">
        <f t="shared" si="9"/>
        <v>0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/>
      <c r="C20" s="32">
        <v>1</v>
      </c>
      <c r="D20" s="32"/>
      <c r="E20" s="24"/>
      <c r="F20" s="25">
        <f>B20*2</f>
        <v>0</v>
      </c>
      <c r="G20" s="25">
        <f t="shared" si="1"/>
        <v>1</v>
      </c>
      <c r="H20" s="25">
        <f>D20*0</f>
        <v>0</v>
      </c>
      <c r="I20" s="25">
        <f t="shared" si="3"/>
        <v>0</v>
      </c>
      <c r="J20" s="24"/>
      <c r="K20" s="107" t="s">
        <v>100</v>
      </c>
      <c r="M20" s="25">
        <v>14</v>
      </c>
      <c r="N20" s="32"/>
      <c r="O20" s="32">
        <v>1</v>
      </c>
      <c r="P20" s="32"/>
      <c r="Q20" s="24"/>
      <c r="R20" s="25">
        <f>N20*2</f>
        <v>0</v>
      </c>
      <c r="S20" s="25">
        <f t="shared" si="5"/>
        <v>1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/>
      <c r="AA20" s="32">
        <v>1</v>
      </c>
      <c r="AB20" s="32"/>
      <c r="AC20" s="24"/>
      <c r="AD20" s="25">
        <f>Z20*2</f>
        <v>0</v>
      </c>
      <c r="AE20" s="25">
        <f t="shared" si="9"/>
        <v>1</v>
      </c>
      <c r="AF20" s="25">
        <f>AB20*0</f>
        <v>0</v>
      </c>
      <c r="AG20" s="25">
        <f t="shared" si="11"/>
        <v>0</v>
      </c>
      <c r="AH20" s="24"/>
      <c r="AI20" s="107" t="s">
        <v>100</v>
      </c>
    </row>
    <row r="21" spans="1:35" ht="21" customHeight="1">
      <c r="A21" s="25">
        <v>15</v>
      </c>
      <c r="B21" s="32"/>
      <c r="C21" s="32">
        <v>1</v>
      </c>
      <c r="D21" s="32"/>
      <c r="E21" s="24"/>
      <c r="F21" s="25">
        <f>B21*2</f>
        <v>0</v>
      </c>
      <c r="G21" s="25">
        <f t="shared" si="1"/>
        <v>1</v>
      </c>
      <c r="H21" s="25">
        <f>D21*0</f>
        <v>0</v>
      </c>
      <c r="I21" s="25">
        <f t="shared" si="3"/>
        <v>0</v>
      </c>
      <c r="J21" s="24"/>
      <c r="K21" s="107" t="s">
        <v>101</v>
      </c>
      <c r="M21" s="25">
        <v>15</v>
      </c>
      <c r="N21" s="32"/>
      <c r="O21" s="32">
        <v>1</v>
      </c>
      <c r="P21" s="32"/>
      <c r="Q21" s="24"/>
      <c r="R21" s="25">
        <f>N21*2</f>
        <v>0</v>
      </c>
      <c r="S21" s="25">
        <f t="shared" si="5"/>
        <v>1</v>
      </c>
      <c r="T21" s="25">
        <f>P21*0</f>
        <v>0</v>
      </c>
      <c r="U21" s="25">
        <f t="shared" si="7"/>
        <v>0</v>
      </c>
      <c r="V21" s="24"/>
      <c r="W21" s="107" t="s">
        <v>101</v>
      </c>
      <c r="Y21" s="25">
        <v>15</v>
      </c>
      <c r="Z21" s="32"/>
      <c r="AA21" s="32">
        <v>1</v>
      </c>
      <c r="AB21" s="32"/>
      <c r="AC21" s="24"/>
      <c r="AD21" s="25">
        <f>Z21*2</f>
        <v>0</v>
      </c>
      <c r="AE21" s="25">
        <f t="shared" si="9"/>
        <v>1</v>
      </c>
      <c r="AF21" s="25">
        <f>AB21*0</f>
        <v>0</v>
      </c>
      <c r="AG21" s="25">
        <f t="shared" si="11"/>
        <v>0</v>
      </c>
      <c r="AH21" s="24"/>
      <c r="AI21" s="107" t="s">
        <v>101</v>
      </c>
    </row>
    <row r="22" spans="1:35" ht="21" customHeight="1">
      <c r="A22" s="25">
        <v>16</v>
      </c>
      <c r="B22" s="32">
        <v>1</v>
      </c>
      <c r="C22" s="32"/>
      <c r="D22" s="32"/>
      <c r="E22" s="24"/>
      <c r="F22" s="25">
        <f>B22*0</f>
        <v>0</v>
      </c>
      <c r="G22" s="25">
        <f t="shared" si="1"/>
        <v>0</v>
      </c>
      <c r="H22" s="25">
        <f>D22*2</f>
        <v>0</v>
      </c>
      <c r="I22" s="25">
        <f t="shared" si="3"/>
        <v>0</v>
      </c>
      <c r="J22" s="105">
        <f>I12+I17+I20+I25+I29</f>
        <v>0</v>
      </c>
      <c r="K22" s="108">
        <f>J22</f>
        <v>0</v>
      </c>
      <c r="M22" s="25">
        <v>16</v>
      </c>
      <c r="N22" s="32"/>
      <c r="O22" s="32"/>
      <c r="P22" s="32">
        <v>1</v>
      </c>
      <c r="Q22" s="24"/>
      <c r="R22" s="25">
        <f>N22*0</f>
        <v>0</v>
      </c>
      <c r="S22" s="25">
        <f t="shared" si="5"/>
        <v>0</v>
      </c>
      <c r="T22" s="25">
        <f>P22*2</f>
        <v>2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>
        <v>1</v>
      </c>
      <c r="AA22" s="32"/>
      <c r="AB22" s="32"/>
      <c r="AC22" s="24"/>
      <c r="AD22" s="25">
        <f>Z22*0</f>
        <v>0</v>
      </c>
      <c r="AE22" s="25">
        <f t="shared" si="9"/>
        <v>0</v>
      </c>
      <c r="AF22" s="25">
        <f>AB22*2</f>
        <v>0</v>
      </c>
      <c r="AG22" s="25">
        <f t="shared" si="11"/>
        <v>0</v>
      </c>
      <c r="AH22" s="105">
        <f>AG12+AG17+AG20+AG25+AG29</f>
        <v>0</v>
      </c>
      <c r="AI22" s="108">
        <f>AH22</f>
        <v>0</v>
      </c>
    </row>
    <row r="23" spans="1:35" ht="21" customHeight="1">
      <c r="A23" s="25">
        <v>17</v>
      </c>
      <c r="B23" s="32"/>
      <c r="C23" s="32">
        <v>1</v>
      </c>
      <c r="D23" s="32"/>
      <c r="E23" s="24"/>
      <c r="F23" s="25">
        <f>B23*2</f>
        <v>0</v>
      </c>
      <c r="G23" s="25">
        <f t="shared" si="1"/>
        <v>1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/>
      <c r="O23" s="32">
        <v>1</v>
      </c>
      <c r="P23" s="32"/>
      <c r="Q23" s="24"/>
      <c r="R23" s="25">
        <f>N23*2</f>
        <v>0</v>
      </c>
      <c r="S23" s="25">
        <f t="shared" si="5"/>
        <v>1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/>
      <c r="AA23" s="32"/>
      <c r="AB23" s="32">
        <v>1</v>
      </c>
      <c r="AC23" s="24"/>
      <c r="AD23" s="25">
        <f>Z23*2</f>
        <v>0</v>
      </c>
      <c r="AE23" s="25">
        <f t="shared" si="9"/>
        <v>0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>
        <v>1</v>
      </c>
      <c r="C24" s="32"/>
      <c r="D24" s="32"/>
      <c r="E24" s="24"/>
      <c r="F24" s="25">
        <f>B24*2</f>
        <v>2</v>
      </c>
      <c r="G24" s="25">
        <f t="shared" si="1"/>
        <v>0</v>
      </c>
      <c r="H24" s="25">
        <f>D24*0</f>
        <v>0</v>
      </c>
      <c r="I24" s="25">
        <f t="shared" si="3"/>
        <v>2</v>
      </c>
      <c r="J24" s="24"/>
      <c r="K24" s="25"/>
      <c r="M24" s="25">
        <v>18</v>
      </c>
      <c r="N24" s="32">
        <v>1</v>
      </c>
      <c r="O24" s="32"/>
      <c r="P24" s="32"/>
      <c r="Q24" s="24"/>
      <c r="R24" s="25">
        <f>N24*2</f>
        <v>2</v>
      </c>
      <c r="S24" s="25">
        <f t="shared" si="5"/>
        <v>0</v>
      </c>
      <c r="T24" s="25">
        <f>P24*0</f>
        <v>0</v>
      </c>
      <c r="U24" s="25">
        <f t="shared" si="7"/>
        <v>2</v>
      </c>
      <c r="V24" s="24"/>
      <c r="W24" s="25"/>
      <c r="Y24" s="25">
        <v>18</v>
      </c>
      <c r="Z24" s="32">
        <v>1</v>
      </c>
      <c r="AA24" s="32"/>
      <c r="AB24" s="32"/>
      <c r="AC24" s="24"/>
      <c r="AD24" s="25">
        <f>Z24*2</f>
        <v>2</v>
      </c>
      <c r="AE24" s="25">
        <f t="shared" si="9"/>
        <v>0</v>
      </c>
      <c r="AF24" s="25">
        <f>AB24*0</f>
        <v>0</v>
      </c>
      <c r="AG24" s="25">
        <f t="shared" si="11"/>
        <v>2</v>
      </c>
      <c r="AH24" s="24"/>
      <c r="AI24" s="25"/>
    </row>
    <row r="25" spans="1:35" ht="21" customHeight="1">
      <c r="A25" s="25">
        <v>19</v>
      </c>
      <c r="B25" s="32"/>
      <c r="C25" s="32">
        <v>1</v>
      </c>
      <c r="D25" s="32"/>
      <c r="E25" s="24"/>
      <c r="F25" s="25">
        <f t="shared" ref="F25:F31" si="18">B25*0</f>
        <v>0</v>
      </c>
      <c r="G25" s="25">
        <f t="shared" si="1"/>
        <v>1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/>
      <c r="O25" s="32">
        <v>1</v>
      </c>
      <c r="P25" s="32"/>
      <c r="Q25" s="24"/>
      <c r="R25" s="25">
        <f t="shared" ref="R25:R31" si="20">N25*0</f>
        <v>0</v>
      </c>
      <c r="S25" s="25">
        <f t="shared" si="5"/>
        <v>1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>
        <v>1</v>
      </c>
      <c r="AA25" s="32"/>
      <c r="AB25" s="32"/>
      <c r="AC25" s="24"/>
      <c r="AD25" s="25">
        <f t="shared" ref="AD25:AD31" si="22">Z25*0</f>
        <v>0</v>
      </c>
      <c r="AE25" s="25">
        <f t="shared" si="9"/>
        <v>0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>
        <v>1</v>
      </c>
      <c r="D26" s="32"/>
      <c r="E26" s="24"/>
      <c r="F26" s="25">
        <f t="shared" si="18"/>
        <v>0</v>
      </c>
      <c r="G26" s="25">
        <f t="shared" si="1"/>
        <v>1</v>
      </c>
      <c r="H26" s="25">
        <f t="shared" si="19"/>
        <v>0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>
        <v>1</v>
      </c>
      <c r="P26" s="32"/>
      <c r="Q26" s="24"/>
      <c r="R26" s="25">
        <f t="shared" si="20"/>
        <v>0</v>
      </c>
      <c r="S26" s="25">
        <f t="shared" si="5"/>
        <v>1</v>
      </c>
      <c r="T26" s="25">
        <f t="shared" si="21"/>
        <v>0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>
        <v>1</v>
      </c>
      <c r="AB26" s="32"/>
      <c r="AC26" s="24"/>
      <c r="AD26" s="25">
        <f t="shared" si="22"/>
        <v>0</v>
      </c>
      <c r="AE26" s="25">
        <f t="shared" si="9"/>
        <v>1</v>
      </c>
      <c r="AF26" s="25">
        <f t="shared" si="23"/>
        <v>0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>
        <v>1</v>
      </c>
      <c r="D27" s="32"/>
      <c r="E27" s="24"/>
      <c r="F27" s="25">
        <f t="shared" si="18"/>
        <v>0</v>
      </c>
      <c r="G27" s="25">
        <f t="shared" si="1"/>
        <v>1</v>
      </c>
      <c r="H27" s="25">
        <f t="shared" si="19"/>
        <v>0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/>
      <c r="O27" s="32">
        <v>1</v>
      </c>
      <c r="P27" s="32"/>
      <c r="Q27" s="24"/>
      <c r="R27" s="25">
        <f t="shared" si="20"/>
        <v>0</v>
      </c>
      <c r="S27" s="25">
        <f t="shared" si="5"/>
        <v>1</v>
      </c>
      <c r="T27" s="25">
        <f t="shared" si="21"/>
        <v>0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/>
      <c r="AA27" s="32">
        <v>1</v>
      </c>
      <c r="AB27" s="32"/>
      <c r="AC27" s="24"/>
      <c r="AD27" s="25">
        <f t="shared" si="22"/>
        <v>0</v>
      </c>
      <c r="AE27" s="25">
        <f t="shared" si="9"/>
        <v>1</v>
      </c>
      <c r="AF27" s="25">
        <f t="shared" si="23"/>
        <v>0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>
        <v>1</v>
      </c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>
        <v>1</v>
      </c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>
        <v>1</v>
      </c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/>
      <c r="C29" s="32">
        <v>1</v>
      </c>
      <c r="D29" s="32"/>
      <c r="E29" s="24"/>
      <c r="F29" s="25">
        <f t="shared" si="18"/>
        <v>0</v>
      </c>
      <c r="G29" s="25">
        <f t="shared" si="1"/>
        <v>1</v>
      </c>
      <c r="H29" s="25">
        <f t="shared" si="19"/>
        <v>0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>
        <v>1</v>
      </c>
      <c r="P29" s="32"/>
      <c r="Q29" s="24"/>
      <c r="R29" s="25">
        <f t="shared" si="20"/>
        <v>0</v>
      </c>
      <c r="S29" s="25">
        <f t="shared" si="5"/>
        <v>1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/>
      <c r="AA29" s="32">
        <v>1</v>
      </c>
      <c r="AB29" s="32"/>
      <c r="AC29" s="24"/>
      <c r="AD29" s="25">
        <f t="shared" si="22"/>
        <v>0</v>
      </c>
      <c r="AE29" s="25">
        <f t="shared" si="9"/>
        <v>1</v>
      </c>
      <c r="AF29" s="25">
        <f t="shared" si="23"/>
        <v>0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/>
      <c r="C30" s="32">
        <v>1</v>
      </c>
      <c r="D30" s="32"/>
      <c r="E30" s="24"/>
      <c r="F30" s="25">
        <f t="shared" si="18"/>
        <v>0</v>
      </c>
      <c r="G30" s="25">
        <f t="shared" si="1"/>
        <v>1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/>
      <c r="O30" s="32">
        <v>1</v>
      </c>
      <c r="P30" s="32"/>
      <c r="Q30" s="24"/>
      <c r="R30" s="25">
        <f t="shared" si="20"/>
        <v>0</v>
      </c>
      <c r="S30" s="25">
        <f t="shared" si="5"/>
        <v>1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/>
      <c r="AA30" s="32">
        <v>1</v>
      </c>
      <c r="AB30" s="32"/>
      <c r="AC30" s="24"/>
      <c r="AD30" s="25">
        <f t="shared" si="22"/>
        <v>0</v>
      </c>
      <c r="AE30" s="25">
        <f t="shared" si="9"/>
        <v>1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/>
      <c r="D31" s="32">
        <v>1</v>
      </c>
      <c r="E31" s="24"/>
      <c r="F31" s="25">
        <f t="shared" si="18"/>
        <v>0</v>
      </c>
      <c r="G31" s="25">
        <f t="shared" si="1"/>
        <v>0</v>
      </c>
      <c r="H31" s="25">
        <f t="shared" si="19"/>
        <v>2</v>
      </c>
      <c r="I31" s="25">
        <f t="shared" si="3"/>
        <v>0</v>
      </c>
      <c r="J31" s="24"/>
      <c r="K31" s="108">
        <f>K7+K12+K17+K22</f>
        <v>4</v>
      </c>
      <c r="M31" s="25">
        <v>25</v>
      </c>
      <c r="N31" s="32"/>
      <c r="O31" s="32"/>
      <c r="P31" s="32">
        <v>1</v>
      </c>
      <c r="Q31" s="24"/>
      <c r="R31" s="25">
        <f t="shared" si="20"/>
        <v>0</v>
      </c>
      <c r="S31" s="25">
        <f t="shared" si="5"/>
        <v>0</v>
      </c>
      <c r="T31" s="25">
        <f t="shared" si="21"/>
        <v>2</v>
      </c>
      <c r="U31" s="25">
        <f t="shared" si="7"/>
        <v>0</v>
      </c>
      <c r="V31" s="24"/>
      <c r="W31" s="108">
        <f>W7+W12+W17+W22</f>
        <v>2</v>
      </c>
      <c r="Y31" s="25">
        <v>25</v>
      </c>
      <c r="Z31" s="32"/>
      <c r="AA31" s="32"/>
      <c r="AB31" s="32">
        <v>1</v>
      </c>
      <c r="AC31" s="24"/>
      <c r="AD31" s="25">
        <f t="shared" si="22"/>
        <v>0</v>
      </c>
      <c r="AE31" s="25">
        <f t="shared" si="9"/>
        <v>0</v>
      </c>
      <c r="AF31" s="25">
        <f t="shared" si="23"/>
        <v>2</v>
      </c>
      <c r="AG31" s="25">
        <f t="shared" si="11"/>
        <v>0</v>
      </c>
      <c r="AH31" s="24"/>
      <c r="AI31" s="108">
        <f>AI7+AI12+AI17+AI22</f>
        <v>4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Y1:AI1"/>
    <mergeCell ref="Y2:AI2"/>
    <mergeCell ref="AE3:AG3"/>
    <mergeCell ref="Y4:AB4"/>
    <mergeCell ref="Y5:AB5"/>
    <mergeCell ref="Z32:AI32"/>
    <mergeCell ref="AD5:AG5"/>
    <mergeCell ref="S3:U3"/>
    <mergeCell ref="M4:P4"/>
    <mergeCell ref="M5:P5"/>
    <mergeCell ref="A1:K1"/>
    <mergeCell ref="R5:U5"/>
    <mergeCell ref="F5:I5"/>
    <mergeCell ref="B32:K32"/>
    <mergeCell ref="M1:W1"/>
    <mergeCell ref="M2:W2"/>
    <mergeCell ref="A2:K2"/>
    <mergeCell ref="G3:I3"/>
    <mergeCell ref="A4:D4"/>
    <mergeCell ref="A5:D5"/>
    <mergeCell ref="N32:W32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/>
  </sheetPr>
  <dimension ref="A1:AI41"/>
  <sheetViews>
    <sheetView topLeftCell="W31" zoomScale="150" workbookViewId="0">
      <selection activeCell="AB31" sqref="AB31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 t="str">
        <f>รายชื่อ!B2</f>
        <v>เด็กชาย</v>
      </c>
      <c r="C3" s="110" t="str">
        <f>รายชื่อ!C2</f>
        <v>นพธรรศ</v>
      </c>
      <c r="D3" s="110" t="str">
        <f>รายชื่อ!D2</f>
        <v>ปั่นจีด</v>
      </c>
      <c r="E3" s="60"/>
      <c r="F3" s="103"/>
      <c r="G3" s="165"/>
      <c r="H3" s="165"/>
      <c r="I3" s="165"/>
      <c r="J3" s="25"/>
      <c r="K3" s="136" t="s">
        <v>25</v>
      </c>
      <c r="M3" s="25" t="s">
        <v>85</v>
      </c>
      <c r="N3" s="110" t="str">
        <f>รายชื่อ!B2</f>
        <v>เด็กชาย</v>
      </c>
      <c r="O3" s="110" t="str">
        <f>รายชื่อ!C2</f>
        <v>นพธรรศ</v>
      </c>
      <c r="P3" s="110" t="str">
        <f>รายชื่อ!D2</f>
        <v>ปั่นจีด</v>
      </c>
      <c r="Q3" s="60"/>
      <c r="R3" s="103"/>
      <c r="S3" s="165"/>
      <c r="T3" s="165"/>
      <c r="U3" s="165"/>
      <c r="V3" s="25"/>
      <c r="W3" s="106" t="s">
        <v>25</v>
      </c>
      <c r="Y3" s="25" t="s">
        <v>85</v>
      </c>
      <c r="Z3" s="110" t="str">
        <f>รายชื่อ!B2</f>
        <v>เด็กชาย</v>
      </c>
      <c r="AA3" s="110" t="str">
        <f>รายชื่อ!C2</f>
        <v>นพธรรศ</v>
      </c>
      <c r="AB3" s="110" t="str">
        <f>รายชื่อ!D2</f>
        <v>ปั่นจีด</v>
      </c>
      <c r="AC3" s="60"/>
      <c r="AD3" s="103"/>
      <c r="AE3" s="165"/>
      <c r="AF3" s="165"/>
      <c r="AG3" s="165"/>
      <c r="AH3" s="25"/>
      <c r="AI3" s="106" t="s">
        <v>25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>
        <v>1</v>
      </c>
      <c r="C7" s="32"/>
      <c r="D7" s="32"/>
      <c r="E7" s="24"/>
      <c r="F7" s="25">
        <f t="shared" ref="F7:F12" si="0">B7*0</f>
        <v>0</v>
      </c>
      <c r="G7" s="25">
        <f t="shared" ref="G7:G31" si="1">C7*1</f>
        <v>0</v>
      </c>
      <c r="H7" s="25">
        <f t="shared" ref="H7:H12" si="2">D7*2</f>
        <v>0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/>
      <c r="O7" s="32">
        <v>1</v>
      </c>
      <c r="P7" s="32"/>
      <c r="Q7" s="24"/>
      <c r="R7" s="25">
        <f t="shared" ref="R7:R12" si="4">N7*0</f>
        <v>0</v>
      </c>
      <c r="S7" s="25">
        <f t="shared" ref="S7:S31" si="5">O7*1</f>
        <v>1</v>
      </c>
      <c r="T7" s="25">
        <f t="shared" ref="T7:T12" si="6">P7*2</f>
        <v>0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>
        <v>1</v>
      </c>
      <c r="AB7" s="32"/>
      <c r="AC7" s="24"/>
      <c r="AD7" s="25">
        <f t="shared" ref="AD7:AD12" si="8">Z7*0</f>
        <v>0</v>
      </c>
      <c r="AE7" s="25">
        <f t="shared" ref="AE7:AE31" si="9">AA7*1</f>
        <v>1</v>
      </c>
      <c r="AF7" s="25">
        <f t="shared" ref="AF7:AF12" si="10">AB7*2</f>
        <v>0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/>
      <c r="C8" s="32"/>
      <c r="D8" s="32">
        <v>1</v>
      </c>
      <c r="E8" s="24"/>
      <c r="F8" s="25">
        <f t="shared" si="0"/>
        <v>0</v>
      </c>
      <c r="G8" s="25">
        <f t="shared" si="1"/>
        <v>0</v>
      </c>
      <c r="H8" s="25">
        <f t="shared" si="2"/>
        <v>2</v>
      </c>
      <c r="I8" s="25">
        <f t="shared" si="3"/>
        <v>0</v>
      </c>
      <c r="J8" s="24"/>
      <c r="K8" s="25"/>
      <c r="M8" s="25">
        <v>2</v>
      </c>
      <c r="N8" s="32"/>
      <c r="O8" s="32">
        <v>1</v>
      </c>
      <c r="P8" s="32"/>
      <c r="Q8" s="24"/>
      <c r="R8" s="25">
        <f t="shared" si="4"/>
        <v>0</v>
      </c>
      <c r="S8" s="25">
        <f t="shared" si="5"/>
        <v>1</v>
      </c>
      <c r="T8" s="25">
        <f t="shared" si="6"/>
        <v>0</v>
      </c>
      <c r="U8" s="25">
        <f t="shared" si="7"/>
        <v>0</v>
      </c>
      <c r="V8" s="24"/>
      <c r="W8" s="25"/>
      <c r="Y8" s="25">
        <v>2</v>
      </c>
      <c r="Z8" s="32"/>
      <c r="AA8" s="32"/>
      <c r="AB8" s="32">
        <v>1</v>
      </c>
      <c r="AC8" s="24"/>
      <c r="AD8" s="25">
        <f t="shared" si="8"/>
        <v>0</v>
      </c>
      <c r="AE8" s="25">
        <f t="shared" si="9"/>
        <v>0</v>
      </c>
      <c r="AF8" s="25">
        <f t="shared" si="10"/>
        <v>2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/>
      <c r="C9" s="32">
        <v>1</v>
      </c>
      <c r="D9" s="32"/>
      <c r="E9" s="24"/>
      <c r="F9" s="25">
        <f t="shared" si="0"/>
        <v>0</v>
      </c>
      <c r="G9" s="25">
        <f t="shared" si="1"/>
        <v>1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/>
      <c r="O9" s="32">
        <v>1</v>
      </c>
      <c r="P9" s="32"/>
      <c r="Q9" s="24"/>
      <c r="R9" s="25">
        <f t="shared" si="4"/>
        <v>0</v>
      </c>
      <c r="S9" s="25">
        <f t="shared" si="5"/>
        <v>1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/>
      <c r="AA9" s="32">
        <v>1</v>
      </c>
      <c r="AB9" s="32"/>
      <c r="AC9" s="24"/>
      <c r="AD9" s="25">
        <f t="shared" si="8"/>
        <v>0</v>
      </c>
      <c r="AE9" s="25">
        <f t="shared" si="9"/>
        <v>1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>
        <v>1</v>
      </c>
      <c r="C10" s="32"/>
      <c r="D10" s="32"/>
      <c r="E10" s="24"/>
      <c r="F10" s="25">
        <f t="shared" si="0"/>
        <v>0</v>
      </c>
      <c r="G10" s="25">
        <f t="shared" si="1"/>
        <v>0</v>
      </c>
      <c r="H10" s="25">
        <f t="shared" si="2"/>
        <v>0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>
        <v>1</v>
      </c>
      <c r="P10" s="32"/>
      <c r="Q10" s="24"/>
      <c r="R10" s="25">
        <f t="shared" si="4"/>
        <v>0</v>
      </c>
      <c r="S10" s="25">
        <f t="shared" si="5"/>
        <v>1</v>
      </c>
      <c r="T10" s="25">
        <f t="shared" si="6"/>
        <v>0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>
        <v>1</v>
      </c>
      <c r="AB10" s="32"/>
      <c r="AC10" s="24"/>
      <c r="AD10" s="25">
        <f t="shared" si="8"/>
        <v>0</v>
      </c>
      <c r="AE10" s="25">
        <f t="shared" si="9"/>
        <v>1</v>
      </c>
      <c r="AF10" s="25">
        <f t="shared" si="10"/>
        <v>0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/>
      <c r="C11" s="32"/>
      <c r="D11" s="32">
        <v>1</v>
      </c>
      <c r="E11" s="24"/>
      <c r="F11" s="25">
        <f t="shared" si="0"/>
        <v>0</v>
      </c>
      <c r="G11" s="25">
        <f t="shared" si="1"/>
        <v>0</v>
      </c>
      <c r="H11" s="25">
        <f t="shared" si="2"/>
        <v>2</v>
      </c>
      <c r="I11" s="25">
        <f t="shared" si="3"/>
        <v>0</v>
      </c>
      <c r="J11" s="24"/>
      <c r="K11" s="107" t="s">
        <v>97</v>
      </c>
      <c r="M11" s="25">
        <v>5</v>
      </c>
      <c r="N11" s="32"/>
      <c r="O11" s="32">
        <v>1</v>
      </c>
      <c r="P11" s="32"/>
      <c r="Q11" s="24"/>
      <c r="R11" s="25">
        <f t="shared" si="4"/>
        <v>0</v>
      </c>
      <c r="S11" s="25">
        <f t="shared" si="5"/>
        <v>1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/>
      <c r="AA11" s="32">
        <v>1</v>
      </c>
      <c r="AB11" s="32"/>
      <c r="AC11" s="24"/>
      <c r="AD11" s="25">
        <f t="shared" si="8"/>
        <v>0</v>
      </c>
      <c r="AE11" s="25">
        <f t="shared" si="9"/>
        <v>1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>
        <v>1</v>
      </c>
      <c r="C12" s="32"/>
      <c r="D12" s="32"/>
      <c r="E12" s="24"/>
      <c r="F12" s="25">
        <f t="shared" si="0"/>
        <v>0</v>
      </c>
      <c r="G12" s="25">
        <f t="shared" si="1"/>
        <v>0</v>
      </c>
      <c r="H12" s="25">
        <f t="shared" si="2"/>
        <v>0</v>
      </c>
      <c r="I12" s="25">
        <f t="shared" si="3"/>
        <v>0</v>
      </c>
      <c r="J12" s="105">
        <f>I11+I13+I18+I24+I28</f>
        <v>2</v>
      </c>
      <c r="K12" s="108">
        <f>J12</f>
        <v>2</v>
      </c>
      <c r="M12" s="25">
        <v>6</v>
      </c>
      <c r="N12" s="32">
        <v>1</v>
      </c>
      <c r="O12" s="32"/>
      <c r="P12" s="32"/>
      <c r="Q12" s="24"/>
      <c r="R12" s="25">
        <f t="shared" si="4"/>
        <v>0</v>
      </c>
      <c r="S12" s="25">
        <f t="shared" si="5"/>
        <v>0</v>
      </c>
      <c r="T12" s="25">
        <f t="shared" si="6"/>
        <v>0</v>
      </c>
      <c r="U12" s="25">
        <f t="shared" si="7"/>
        <v>0</v>
      </c>
      <c r="V12" s="105">
        <f>U11+U13+U18+U24+U28</f>
        <v>2</v>
      </c>
      <c r="W12" s="108">
        <f>V12</f>
        <v>2</v>
      </c>
      <c r="Y12" s="25">
        <v>6</v>
      </c>
      <c r="Z12" s="32"/>
      <c r="AA12" s="32">
        <v>1</v>
      </c>
      <c r="AB12" s="32"/>
      <c r="AC12" s="24"/>
      <c r="AD12" s="25">
        <f t="shared" si="8"/>
        <v>0</v>
      </c>
      <c r="AE12" s="25">
        <f t="shared" si="9"/>
        <v>1</v>
      </c>
      <c r="AF12" s="25">
        <f t="shared" si="10"/>
        <v>0</v>
      </c>
      <c r="AG12" s="25">
        <f t="shared" si="11"/>
        <v>0</v>
      </c>
      <c r="AH12" s="105">
        <f>AG11+AG13+AG18+AG24+AG28</f>
        <v>2</v>
      </c>
      <c r="AI12" s="108">
        <f>AH12</f>
        <v>2</v>
      </c>
    </row>
    <row r="13" spans="1:35" ht="21" customHeight="1">
      <c r="A13" s="25">
        <v>7</v>
      </c>
      <c r="B13" s="32"/>
      <c r="C13" s="32">
        <v>1</v>
      </c>
      <c r="D13" s="32"/>
      <c r="E13" s="24"/>
      <c r="F13" s="25">
        <f>B13*2</f>
        <v>0</v>
      </c>
      <c r="G13" s="25">
        <f t="shared" si="1"/>
        <v>1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>
        <v>1</v>
      </c>
      <c r="P13" s="32"/>
      <c r="Q13" s="24"/>
      <c r="R13" s="25">
        <f>N13*2</f>
        <v>0</v>
      </c>
      <c r="S13" s="25">
        <f t="shared" si="5"/>
        <v>1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/>
      <c r="AA13" s="32">
        <v>1</v>
      </c>
      <c r="AB13" s="32"/>
      <c r="AC13" s="24"/>
      <c r="AD13" s="25">
        <f>Z13*2</f>
        <v>0</v>
      </c>
      <c r="AE13" s="25">
        <f t="shared" si="9"/>
        <v>1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/>
      <c r="C14" s="32"/>
      <c r="D14" s="32">
        <v>1</v>
      </c>
      <c r="E14" s="24"/>
      <c r="F14" s="25">
        <f t="shared" ref="F14:F19" si="12">B14*0</f>
        <v>0</v>
      </c>
      <c r="G14" s="25">
        <f t="shared" si="1"/>
        <v>0</v>
      </c>
      <c r="H14" s="25">
        <f t="shared" ref="H14:H19" si="13">D14*2</f>
        <v>2</v>
      </c>
      <c r="I14" s="25">
        <f t="shared" si="3"/>
        <v>0</v>
      </c>
      <c r="J14" s="24"/>
      <c r="K14" s="25"/>
      <c r="M14" s="25">
        <v>8</v>
      </c>
      <c r="N14" s="32"/>
      <c r="O14" s="32">
        <v>1</v>
      </c>
      <c r="P14" s="32"/>
      <c r="Q14" s="24"/>
      <c r="R14" s="25">
        <f t="shared" ref="R14:R19" si="14">N14*0</f>
        <v>0</v>
      </c>
      <c r="S14" s="25">
        <f t="shared" si="5"/>
        <v>1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/>
      <c r="AA14" s="32"/>
      <c r="AB14" s="32">
        <v>1</v>
      </c>
      <c r="AC14" s="24"/>
      <c r="AD14" s="25">
        <f t="shared" ref="AD14:AD19" si="16">Z14*0</f>
        <v>0</v>
      </c>
      <c r="AE14" s="25">
        <f t="shared" si="9"/>
        <v>0</v>
      </c>
      <c r="AF14" s="25">
        <f t="shared" ref="AF14:AF19" si="17">AB14*2</f>
        <v>2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>
        <v>1</v>
      </c>
      <c r="C15" s="32"/>
      <c r="D15" s="32"/>
      <c r="E15" s="24"/>
      <c r="F15" s="25">
        <f t="shared" si="12"/>
        <v>0</v>
      </c>
      <c r="G15" s="25">
        <f t="shared" si="1"/>
        <v>0</v>
      </c>
      <c r="H15" s="25">
        <f t="shared" si="13"/>
        <v>0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>
        <v>1</v>
      </c>
      <c r="P15" s="32"/>
      <c r="Q15" s="24"/>
      <c r="R15" s="25">
        <f t="shared" si="14"/>
        <v>0</v>
      </c>
      <c r="S15" s="25">
        <f t="shared" si="5"/>
        <v>1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/>
      <c r="AA15" s="32">
        <v>1</v>
      </c>
      <c r="AB15" s="32"/>
      <c r="AC15" s="24"/>
      <c r="AD15" s="25">
        <f t="shared" si="16"/>
        <v>0</v>
      </c>
      <c r="AE15" s="25">
        <f t="shared" si="9"/>
        <v>1</v>
      </c>
      <c r="AF15" s="25">
        <f t="shared" si="17"/>
        <v>0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/>
      <c r="C16" s="32">
        <v>1</v>
      </c>
      <c r="D16" s="32"/>
      <c r="E16" s="24"/>
      <c r="F16" s="25">
        <f t="shared" si="12"/>
        <v>0</v>
      </c>
      <c r="G16" s="25">
        <f t="shared" si="1"/>
        <v>1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/>
      <c r="O16" s="32">
        <v>1</v>
      </c>
      <c r="P16" s="32"/>
      <c r="Q16" s="24"/>
      <c r="R16" s="25">
        <f t="shared" si="14"/>
        <v>0</v>
      </c>
      <c r="S16" s="25">
        <f t="shared" si="5"/>
        <v>1</v>
      </c>
      <c r="T16" s="25">
        <f t="shared" si="15"/>
        <v>0</v>
      </c>
      <c r="U16" s="25">
        <f t="shared" si="7"/>
        <v>0</v>
      </c>
      <c r="V16" s="24"/>
      <c r="W16" s="107" t="s">
        <v>99</v>
      </c>
      <c r="Y16" s="25">
        <v>10</v>
      </c>
      <c r="Z16" s="32"/>
      <c r="AA16" s="32">
        <v>1</v>
      </c>
      <c r="AB16" s="32"/>
      <c r="AC16" s="24"/>
      <c r="AD16" s="25">
        <f t="shared" si="16"/>
        <v>0</v>
      </c>
      <c r="AE16" s="25">
        <f t="shared" si="9"/>
        <v>1</v>
      </c>
      <c r="AF16" s="25">
        <f t="shared" si="17"/>
        <v>0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/>
      <c r="D17" s="32">
        <v>1</v>
      </c>
      <c r="E17" s="24"/>
      <c r="F17" s="25">
        <f t="shared" si="12"/>
        <v>0</v>
      </c>
      <c r="G17" s="25">
        <f t="shared" si="1"/>
        <v>0</v>
      </c>
      <c r="H17" s="25">
        <f t="shared" si="13"/>
        <v>2</v>
      </c>
      <c r="I17" s="25">
        <f t="shared" si="3"/>
        <v>0</v>
      </c>
      <c r="J17" s="105">
        <f>I8+I16+I21+I27+I31</f>
        <v>0</v>
      </c>
      <c r="K17" s="108">
        <f>J17</f>
        <v>0</v>
      </c>
      <c r="M17" s="25">
        <v>11</v>
      </c>
      <c r="N17" s="32"/>
      <c r="O17" s="32"/>
      <c r="P17" s="32">
        <v>1</v>
      </c>
      <c r="Q17" s="24"/>
      <c r="R17" s="25">
        <f t="shared" si="14"/>
        <v>0</v>
      </c>
      <c r="S17" s="25">
        <f t="shared" si="5"/>
        <v>0</v>
      </c>
      <c r="T17" s="25">
        <f t="shared" si="15"/>
        <v>2</v>
      </c>
      <c r="U17" s="25">
        <f t="shared" si="7"/>
        <v>0</v>
      </c>
      <c r="V17" s="105">
        <f>U8+U16+U21+U27+U31</f>
        <v>0</v>
      </c>
      <c r="W17" s="108">
        <f>V17</f>
        <v>0</v>
      </c>
      <c r="Y17" s="25">
        <v>11</v>
      </c>
      <c r="Z17" s="32"/>
      <c r="AA17" s="32"/>
      <c r="AB17" s="32">
        <v>1</v>
      </c>
      <c r="AC17" s="24"/>
      <c r="AD17" s="25">
        <f t="shared" si="16"/>
        <v>0</v>
      </c>
      <c r="AE17" s="25">
        <f t="shared" si="9"/>
        <v>0</v>
      </c>
      <c r="AF17" s="25">
        <f t="shared" si="17"/>
        <v>2</v>
      </c>
      <c r="AG17" s="25">
        <f t="shared" si="11"/>
        <v>0</v>
      </c>
      <c r="AH17" s="105">
        <f>AG8+AG16+AG21+AG27+AG31</f>
        <v>0</v>
      </c>
      <c r="AI17" s="108">
        <f>AH17</f>
        <v>0</v>
      </c>
    </row>
    <row r="18" spans="1:35" ht="21" customHeight="1">
      <c r="A18" s="25">
        <v>12</v>
      </c>
      <c r="B18" s="32"/>
      <c r="C18" s="32">
        <v>1</v>
      </c>
      <c r="D18" s="32"/>
      <c r="E18" s="24"/>
      <c r="F18" s="25">
        <f t="shared" si="12"/>
        <v>0</v>
      </c>
      <c r="G18" s="25">
        <f t="shared" si="1"/>
        <v>1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>
        <v>1</v>
      </c>
      <c r="O18" s="32"/>
      <c r="P18" s="32"/>
      <c r="Q18" s="24"/>
      <c r="R18" s="25">
        <f t="shared" si="14"/>
        <v>0</v>
      </c>
      <c r="S18" s="25">
        <f t="shared" si="5"/>
        <v>0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>
        <v>1</v>
      </c>
      <c r="AA18" s="32"/>
      <c r="AB18" s="32"/>
      <c r="AC18" s="24"/>
      <c r="AD18" s="25">
        <f t="shared" si="16"/>
        <v>0</v>
      </c>
      <c r="AE18" s="25">
        <f t="shared" si="9"/>
        <v>0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>
        <v>1</v>
      </c>
      <c r="C19" s="32"/>
      <c r="D19" s="32"/>
      <c r="E19" s="24"/>
      <c r="F19" s="25">
        <f t="shared" si="12"/>
        <v>0</v>
      </c>
      <c r="G19" s="25">
        <f t="shared" si="1"/>
        <v>0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>
        <v>1</v>
      </c>
      <c r="O19" s="32"/>
      <c r="P19" s="32"/>
      <c r="Q19" s="24"/>
      <c r="R19" s="25">
        <f t="shared" si="14"/>
        <v>0</v>
      </c>
      <c r="S19" s="25">
        <f t="shared" si="5"/>
        <v>0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>
        <v>1</v>
      </c>
      <c r="AA19" s="32"/>
      <c r="AB19" s="32"/>
      <c r="AC19" s="24"/>
      <c r="AD19" s="25">
        <f t="shared" si="16"/>
        <v>0</v>
      </c>
      <c r="AE19" s="25">
        <f t="shared" si="9"/>
        <v>0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>
        <v>1</v>
      </c>
      <c r="C20" s="32"/>
      <c r="D20" s="32"/>
      <c r="E20" s="24"/>
      <c r="F20" s="25">
        <f>B20*2</f>
        <v>2</v>
      </c>
      <c r="G20" s="25">
        <f t="shared" si="1"/>
        <v>0</v>
      </c>
      <c r="H20" s="25">
        <f>D20*0</f>
        <v>0</v>
      </c>
      <c r="I20" s="25">
        <f t="shared" si="3"/>
        <v>2</v>
      </c>
      <c r="J20" s="24"/>
      <c r="K20" s="107" t="s">
        <v>100</v>
      </c>
      <c r="M20" s="25">
        <v>14</v>
      </c>
      <c r="N20" s="32"/>
      <c r="O20" s="32">
        <v>1</v>
      </c>
      <c r="P20" s="32"/>
      <c r="Q20" s="24"/>
      <c r="R20" s="25">
        <f>N20*2</f>
        <v>0</v>
      </c>
      <c r="S20" s="25">
        <f t="shared" si="5"/>
        <v>1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/>
      <c r="AA20" s="32">
        <v>1</v>
      </c>
      <c r="AB20" s="32"/>
      <c r="AC20" s="24"/>
      <c r="AD20" s="25">
        <f>Z20*2</f>
        <v>0</v>
      </c>
      <c r="AE20" s="25">
        <f t="shared" si="9"/>
        <v>1</v>
      </c>
      <c r="AF20" s="25">
        <f>AB20*0</f>
        <v>0</v>
      </c>
      <c r="AG20" s="25">
        <f t="shared" si="11"/>
        <v>0</v>
      </c>
      <c r="AH20" s="24"/>
      <c r="AI20" s="107" t="s">
        <v>100</v>
      </c>
    </row>
    <row r="21" spans="1:35" ht="21" customHeight="1">
      <c r="A21" s="25">
        <v>15</v>
      </c>
      <c r="B21" s="32"/>
      <c r="C21" s="32"/>
      <c r="D21" s="32">
        <v>1</v>
      </c>
      <c r="E21" s="24"/>
      <c r="F21" s="25">
        <f>B21*2</f>
        <v>0</v>
      </c>
      <c r="G21" s="25">
        <f t="shared" si="1"/>
        <v>0</v>
      </c>
      <c r="H21" s="25">
        <f>D21*0</f>
        <v>0</v>
      </c>
      <c r="I21" s="25">
        <f t="shared" si="3"/>
        <v>0</v>
      </c>
      <c r="J21" s="24"/>
      <c r="K21" s="107" t="s">
        <v>101</v>
      </c>
      <c r="M21" s="25">
        <v>15</v>
      </c>
      <c r="N21" s="32"/>
      <c r="O21" s="32">
        <v>1</v>
      </c>
      <c r="P21" s="32"/>
      <c r="Q21" s="24"/>
      <c r="R21" s="25">
        <f>N21*2</f>
        <v>0</v>
      </c>
      <c r="S21" s="25">
        <f t="shared" si="5"/>
        <v>1</v>
      </c>
      <c r="T21" s="25">
        <f>P21*0</f>
        <v>0</v>
      </c>
      <c r="U21" s="25">
        <f t="shared" si="7"/>
        <v>0</v>
      </c>
      <c r="V21" s="24"/>
      <c r="W21" s="107" t="s">
        <v>101</v>
      </c>
      <c r="Y21" s="25">
        <v>15</v>
      </c>
      <c r="Z21" s="32"/>
      <c r="AA21" s="32"/>
      <c r="AB21" s="32">
        <v>1</v>
      </c>
      <c r="AC21" s="24"/>
      <c r="AD21" s="25">
        <f>Z21*2</f>
        <v>0</v>
      </c>
      <c r="AE21" s="25">
        <f t="shared" si="9"/>
        <v>0</v>
      </c>
      <c r="AF21" s="25">
        <f>AB21*0</f>
        <v>0</v>
      </c>
      <c r="AG21" s="25">
        <f t="shared" si="11"/>
        <v>0</v>
      </c>
      <c r="AH21" s="24"/>
      <c r="AI21" s="107" t="s">
        <v>101</v>
      </c>
    </row>
    <row r="22" spans="1:35" ht="21" customHeight="1">
      <c r="A22" s="25">
        <v>16</v>
      </c>
      <c r="B22" s="32">
        <v>1</v>
      </c>
      <c r="C22" s="32"/>
      <c r="D22" s="32"/>
      <c r="E22" s="24"/>
      <c r="F22" s="25">
        <f>B22*0</f>
        <v>0</v>
      </c>
      <c r="G22" s="25">
        <f t="shared" si="1"/>
        <v>0</v>
      </c>
      <c r="H22" s="25">
        <f>D22*2</f>
        <v>0</v>
      </c>
      <c r="I22" s="25">
        <f t="shared" si="3"/>
        <v>0</v>
      </c>
      <c r="J22" s="105">
        <f>I12+I17+I20+I25+I29</f>
        <v>2</v>
      </c>
      <c r="K22" s="108">
        <f>J22</f>
        <v>2</v>
      </c>
      <c r="M22" s="25">
        <v>16</v>
      </c>
      <c r="N22" s="32"/>
      <c r="O22" s="32">
        <v>1</v>
      </c>
      <c r="P22" s="32"/>
      <c r="Q22" s="24"/>
      <c r="R22" s="25">
        <f>N22*0</f>
        <v>0</v>
      </c>
      <c r="S22" s="25">
        <f t="shared" si="5"/>
        <v>1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>
        <v>1</v>
      </c>
      <c r="AA22" s="32"/>
      <c r="AB22" s="32"/>
      <c r="AC22" s="24"/>
      <c r="AD22" s="25">
        <f>Z22*0</f>
        <v>0</v>
      </c>
      <c r="AE22" s="25">
        <f t="shared" si="9"/>
        <v>0</v>
      </c>
      <c r="AF22" s="25">
        <f>AB22*2</f>
        <v>0</v>
      </c>
      <c r="AG22" s="25">
        <f t="shared" si="11"/>
        <v>0</v>
      </c>
      <c r="AH22" s="105">
        <f>AG12+AG17+AG20+AG25+AG29</f>
        <v>0</v>
      </c>
      <c r="AI22" s="108">
        <f>AH22</f>
        <v>0</v>
      </c>
    </row>
    <row r="23" spans="1:35" ht="21" customHeight="1">
      <c r="A23" s="25">
        <v>17</v>
      </c>
      <c r="B23" s="32">
        <v>1</v>
      </c>
      <c r="C23" s="32"/>
      <c r="D23" s="32"/>
      <c r="E23" s="24"/>
      <c r="F23" s="25">
        <f>B23*2</f>
        <v>2</v>
      </c>
      <c r="G23" s="25">
        <f t="shared" si="1"/>
        <v>0</v>
      </c>
      <c r="H23" s="25">
        <f>D23*0</f>
        <v>0</v>
      </c>
      <c r="I23" s="25">
        <f t="shared" si="3"/>
        <v>2</v>
      </c>
      <c r="J23" s="24"/>
      <c r="K23" s="25"/>
      <c r="M23" s="25">
        <v>17</v>
      </c>
      <c r="N23" s="32"/>
      <c r="O23" s="32">
        <v>1</v>
      </c>
      <c r="P23" s="32"/>
      <c r="Q23" s="24"/>
      <c r="R23" s="25">
        <f>N23*2</f>
        <v>0</v>
      </c>
      <c r="S23" s="25">
        <f t="shared" si="5"/>
        <v>1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>
        <v>1</v>
      </c>
      <c r="AA23" s="32"/>
      <c r="AB23" s="32"/>
      <c r="AC23" s="24"/>
      <c r="AD23" s="25">
        <f>Z23*2</f>
        <v>2</v>
      </c>
      <c r="AE23" s="25">
        <f t="shared" si="9"/>
        <v>0</v>
      </c>
      <c r="AF23" s="25">
        <f>AB23*0</f>
        <v>0</v>
      </c>
      <c r="AG23" s="25">
        <f t="shared" si="11"/>
        <v>2</v>
      </c>
      <c r="AH23" s="24"/>
      <c r="AI23" s="25"/>
    </row>
    <row r="24" spans="1:35" ht="21" customHeight="1">
      <c r="A24" s="25">
        <v>18</v>
      </c>
      <c r="B24" s="32">
        <v>1</v>
      </c>
      <c r="C24" s="32"/>
      <c r="D24" s="32"/>
      <c r="E24" s="24"/>
      <c r="F24" s="25">
        <f>B24*2</f>
        <v>2</v>
      </c>
      <c r="G24" s="25">
        <f t="shared" si="1"/>
        <v>0</v>
      </c>
      <c r="H24" s="25">
        <f>D24*0</f>
        <v>0</v>
      </c>
      <c r="I24" s="25">
        <f t="shared" si="3"/>
        <v>2</v>
      </c>
      <c r="J24" s="24"/>
      <c r="K24" s="25"/>
      <c r="M24" s="25">
        <v>18</v>
      </c>
      <c r="N24" s="32">
        <v>1</v>
      </c>
      <c r="O24" s="32"/>
      <c r="P24" s="32"/>
      <c r="Q24" s="24"/>
      <c r="R24" s="25">
        <f>N24*2</f>
        <v>2</v>
      </c>
      <c r="S24" s="25">
        <f t="shared" si="5"/>
        <v>0</v>
      </c>
      <c r="T24" s="25">
        <f>P24*0</f>
        <v>0</v>
      </c>
      <c r="U24" s="25">
        <f t="shared" si="7"/>
        <v>2</v>
      </c>
      <c r="V24" s="24"/>
      <c r="W24" s="25"/>
      <c r="Y24" s="25">
        <v>18</v>
      </c>
      <c r="Z24" s="32">
        <v>1</v>
      </c>
      <c r="AA24" s="32"/>
      <c r="AB24" s="32"/>
      <c r="AC24" s="24"/>
      <c r="AD24" s="25">
        <f>Z24*2</f>
        <v>2</v>
      </c>
      <c r="AE24" s="25">
        <f t="shared" si="9"/>
        <v>0</v>
      </c>
      <c r="AF24" s="25">
        <f>AB24*0</f>
        <v>0</v>
      </c>
      <c r="AG24" s="25">
        <f t="shared" si="11"/>
        <v>2</v>
      </c>
      <c r="AH24" s="24"/>
      <c r="AI24" s="25"/>
    </row>
    <row r="25" spans="1:35" ht="21" customHeight="1">
      <c r="A25" s="25">
        <v>19</v>
      </c>
      <c r="B25" s="32">
        <v>1</v>
      </c>
      <c r="C25" s="32"/>
      <c r="D25" s="32"/>
      <c r="E25" s="24"/>
      <c r="F25" s="25">
        <f t="shared" ref="F25:F31" si="18">B25*0</f>
        <v>0</v>
      </c>
      <c r="G25" s="25">
        <f t="shared" si="1"/>
        <v>0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>
        <v>1</v>
      </c>
      <c r="O25" s="32"/>
      <c r="P25" s="32"/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>
        <v>1</v>
      </c>
      <c r="AA25" s="32"/>
      <c r="AB25" s="32"/>
      <c r="AC25" s="24"/>
      <c r="AD25" s="25">
        <f t="shared" ref="AD25:AD31" si="22">Z25*0</f>
        <v>0</v>
      </c>
      <c r="AE25" s="25">
        <f t="shared" si="9"/>
        <v>0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>
        <v>1</v>
      </c>
      <c r="D26" s="32"/>
      <c r="E26" s="24"/>
      <c r="F26" s="25">
        <f t="shared" si="18"/>
        <v>0</v>
      </c>
      <c r="G26" s="25">
        <f t="shared" si="1"/>
        <v>1</v>
      </c>
      <c r="H26" s="25">
        <f t="shared" si="19"/>
        <v>0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/>
      <c r="P26" s="32">
        <v>1</v>
      </c>
      <c r="Q26" s="24"/>
      <c r="R26" s="25">
        <f t="shared" si="20"/>
        <v>0</v>
      </c>
      <c r="S26" s="25">
        <f t="shared" si="5"/>
        <v>0</v>
      </c>
      <c r="T26" s="25">
        <f t="shared" si="21"/>
        <v>2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>
        <v>1</v>
      </c>
      <c r="AB26" s="32"/>
      <c r="AC26" s="24"/>
      <c r="AD26" s="25">
        <f t="shared" si="22"/>
        <v>0</v>
      </c>
      <c r="AE26" s="25">
        <f t="shared" si="9"/>
        <v>1</v>
      </c>
      <c r="AF26" s="25">
        <f t="shared" si="23"/>
        <v>0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>
        <v>1</v>
      </c>
      <c r="C27" s="32"/>
      <c r="D27" s="32"/>
      <c r="E27" s="24"/>
      <c r="F27" s="25">
        <f t="shared" si="18"/>
        <v>0</v>
      </c>
      <c r="G27" s="25">
        <f t="shared" si="1"/>
        <v>0</v>
      </c>
      <c r="H27" s="25">
        <f t="shared" si="19"/>
        <v>0</v>
      </c>
      <c r="I27" s="25">
        <f t="shared" si="3"/>
        <v>0</v>
      </c>
      <c r="J27" s="105">
        <f>I7+I10+I15+I23+I26</f>
        <v>2</v>
      </c>
      <c r="K27" s="108">
        <f>J27</f>
        <v>2</v>
      </c>
      <c r="M27" s="25">
        <v>21</v>
      </c>
      <c r="N27" s="32"/>
      <c r="O27" s="32">
        <v>1</v>
      </c>
      <c r="P27" s="32"/>
      <c r="Q27" s="24"/>
      <c r="R27" s="25">
        <f t="shared" si="20"/>
        <v>0</v>
      </c>
      <c r="S27" s="25">
        <f t="shared" si="5"/>
        <v>1</v>
      </c>
      <c r="T27" s="25">
        <f t="shared" si="21"/>
        <v>0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/>
      <c r="AA27" s="32">
        <v>1</v>
      </c>
      <c r="AB27" s="32"/>
      <c r="AC27" s="24"/>
      <c r="AD27" s="25">
        <f t="shared" si="22"/>
        <v>0</v>
      </c>
      <c r="AE27" s="25">
        <f t="shared" si="9"/>
        <v>1</v>
      </c>
      <c r="AF27" s="25">
        <f t="shared" si="23"/>
        <v>0</v>
      </c>
      <c r="AG27" s="25">
        <f t="shared" si="11"/>
        <v>0</v>
      </c>
      <c r="AH27" s="105">
        <f>AG7+AG10+AG15+AG23+AG26</f>
        <v>2</v>
      </c>
      <c r="AI27" s="108">
        <f>AH27</f>
        <v>2</v>
      </c>
    </row>
    <row r="28" spans="1:35" ht="21" customHeight="1">
      <c r="A28" s="25">
        <v>22</v>
      </c>
      <c r="B28" s="32">
        <v>1</v>
      </c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>
        <v>1</v>
      </c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>
        <v>1</v>
      </c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>
        <v>1</v>
      </c>
      <c r="C29" s="32"/>
      <c r="D29" s="32"/>
      <c r="E29" s="24"/>
      <c r="F29" s="25">
        <f t="shared" si="18"/>
        <v>0</v>
      </c>
      <c r="G29" s="25">
        <f t="shared" si="1"/>
        <v>0</v>
      </c>
      <c r="H29" s="25">
        <f t="shared" si="19"/>
        <v>0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>
        <v>1</v>
      </c>
      <c r="P29" s="32"/>
      <c r="Q29" s="24"/>
      <c r="R29" s="25">
        <f t="shared" si="20"/>
        <v>0</v>
      </c>
      <c r="S29" s="25">
        <f t="shared" si="5"/>
        <v>1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/>
      <c r="AA29" s="32">
        <v>1</v>
      </c>
      <c r="AB29" s="32"/>
      <c r="AC29" s="24"/>
      <c r="AD29" s="25">
        <f t="shared" si="22"/>
        <v>0</v>
      </c>
      <c r="AE29" s="25">
        <f t="shared" si="9"/>
        <v>1</v>
      </c>
      <c r="AF29" s="25">
        <f t="shared" si="23"/>
        <v>0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>
        <v>1</v>
      </c>
      <c r="C30" s="32"/>
      <c r="D30" s="32"/>
      <c r="E30" s="24"/>
      <c r="F30" s="25">
        <f t="shared" si="18"/>
        <v>0</v>
      </c>
      <c r="G30" s="25">
        <f t="shared" si="1"/>
        <v>0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/>
      <c r="O30" s="32">
        <v>1</v>
      </c>
      <c r="P30" s="32"/>
      <c r="Q30" s="24"/>
      <c r="R30" s="25">
        <f t="shared" si="20"/>
        <v>0</v>
      </c>
      <c r="S30" s="25">
        <f t="shared" si="5"/>
        <v>1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>
        <v>1</v>
      </c>
      <c r="AA30" s="32"/>
      <c r="AB30" s="32"/>
      <c r="AC30" s="24"/>
      <c r="AD30" s="25">
        <f t="shared" si="22"/>
        <v>0</v>
      </c>
      <c r="AE30" s="25">
        <f t="shared" si="9"/>
        <v>0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>
        <v>1</v>
      </c>
      <c r="D31" s="32"/>
      <c r="E31" s="24"/>
      <c r="F31" s="25">
        <f t="shared" si="18"/>
        <v>0</v>
      </c>
      <c r="G31" s="25">
        <f t="shared" si="1"/>
        <v>1</v>
      </c>
      <c r="H31" s="25">
        <f t="shared" si="19"/>
        <v>0</v>
      </c>
      <c r="I31" s="25">
        <f t="shared" si="3"/>
        <v>0</v>
      </c>
      <c r="J31" s="24"/>
      <c r="K31" s="108">
        <f>K7+K12+K17+K22</f>
        <v>4</v>
      </c>
      <c r="M31" s="25">
        <v>25</v>
      </c>
      <c r="N31" s="32"/>
      <c r="O31" s="32">
        <v>1</v>
      </c>
      <c r="P31" s="32"/>
      <c r="Q31" s="24"/>
      <c r="R31" s="25">
        <f t="shared" si="20"/>
        <v>0</v>
      </c>
      <c r="S31" s="25">
        <f t="shared" si="5"/>
        <v>1</v>
      </c>
      <c r="T31" s="25">
        <f t="shared" si="21"/>
        <v>0</v>
      </c>
      <c r="U31" s="25">
        <f t="shared" si="7"/>
        <v>0</v>
      </c>
      <c r="V31" s="24"/>
      <c r="W31" s="108">
        <f>W7+W12+W17+W22</f>
        <v>2</v>
      </c>
      <c r="Y31" s="25">
        <v>25</v>
      </c>
      <c r="Z31" s="32"/>
      <c r="AA31" s="32">
        <v>1</v>
      </c>
      <c r="AB31" s="32"/>
      <c r="AC31" s="24"/>
      <c r="AD31" s="25">
        <f t="shared" si="22"/>
        <v>0</v>
      </c>
      <c r="AE31" s="25">
        <f t="shared" si="9"/>
        <v>1</v>
      </c>
      <c r="AF31" s="25">
        <f t="shared" si="23"/>
        <v>0</v>
      </c>
      <c r="AG31" s="25">
        <f t="shared" si="11"/>
        <v>0</v>
      </c>
      <c r="AH31" s="24"/>
      <c r="AI31" s="108">
        <f>AI7+AI12+AI17+AI22</f>
        <v>2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/>
  </sheetPr>
  <dimension ref="A1:AI41"/>
  <sheetViews>
    <sheetView topLeftCell="X29" zoomScale="150" workbookViewId="0">
      <selection activeCell="AA34" sqref="AA34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 t="str">
        <f>รายชื่อ!B3</f>
        <v>เด็กชาย</v>
      </c>
      <c r="C3" s="110" t="str">
        <f>รายชื่อ!C3</f>
        <v>นภัทร</v>
      </c>
      <c r="D3" s="110" t="str">
        <f>รายชื่อ!D3</f>
        <v>เอมเทศ</v>
      </c>
      <c r="E3" s="60"/>
      <c r="F3" s="103"/>
      <c r="G3" s="165"/>
      <c r="H3" s="165"/>
      <c r="I3" s="165"/>
      <c r="J3" s="25"/>
      <c r="K3" s="106" t="s">
        <v>26</v>
      </c>
      <c r="M3" s="25" t="s">
        <v>85</v>
      </c>
      <c r="N3" s="110" t="str">
        <f>รายชื่อ!B3</f>
        <v>เด็กชาย</v>
      </c>
      <c r="O3" s="110" t="str">
        <f>รายชื่อ!C3</f>
        <v>นภัทร</v>
      </c>
      <c r="P3" s="110" t="str">
        <f>รายชื่อ!D3</f>
        <v>เอมเทศ</v>
      </c>
      <c r="Q3" s="60"/>
      <c r="R3" s="103"/>
      <c r="S3" s="165"/>
      <c r="T3" s="165"/>
      <c r="U3" s="165"/>
      <c r="V3" s="25"/>
      <c r="W3" s="106" t="s">
        <v>26</v>
      </c>
      <c r="Y3" s="25" t="s">
        <v>85</v>
      </c>
      <c r="Z3" s="110" t="str">
        <f>รายชื่อ!B3</f>
        <v>เด็กชาย</v>
      </c>
      <c r="AA3" s="110" t="str">
        <f>รายชื่อ!C3</f>
        <v>นภัทร</v>
      </c>
      <c r="AB3" s="110" t="str">
        <f>รายชื่อ!D3</f>
        <v>เอมเทศ</v>
      </c>
      <c r="AC3" s="60"/>
      <c r="AD3" s="103"/>
      <c r="AE3" s="165"/>
      <c r="AF3" s="165"/>
      <c r="AG3" s="165"/>
      <c r="AH3" s="25"/>
      <c r="AI3" s="106" t="s">
        <v>26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/>
      <c r="C7" s="32"/>
      <c r="D7" s="32">
        <v>1</v>
      </c>
      <c r="E7" s="24"/>
      <c r="F7" s="25">
        <f t="shared" ref="F7:F12" si="0">B7*0</f>
        <v>0</v>
      </c>
      <c r="G7" s="25">
        <f t="shared" ref="G7:G31" si="1">C7*1</f>
        <v>0</v>
      </c>
      <c r="H7" s="25">
        <f t="shared" ref="H7:H12" si="2">D7*2</f>
        <v>2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/>
      <c r="O7" s="32"/>
      <c r="P7" s="32">
        <v>1</v>
      </c>
      <c r="Q7" s="24"/>
      <c r="R7" s="25">
        <f t="shared" ref="R7:R12" si="4">N7*0</f>
        <v>0</v>
      </c>
      <c r="S7" s="25">
        <f t="shared" ref="S7:S31" si="5">O7*1</f>
        <v>0</v>
      </c>
      <c r="T7" s="25">
        <f t="shared" ref="T7:T12" si="6">P7*2</f>
        <v>2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/>
      <c r="AB7" s="32">
        <v>1</v>
      </c>
      <c r="AC7" s="24"/>
      <c r="AD7" s="25">
        <f t="shared" ref="AD7:AD12" si="8">Z7*0</f>
        <v>0</v>
      </c>
      <c r="AE7" s="25">
        <f t="shared" ref="AE7:AE31" si="9">AA7*1</f>
        <v>0</v>
      </c>
      <c r="AF7" s="25">
        <f t="shared" ref="AF7:AF12" si="10">AB7*2</f>
        <v>2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>
        <v>1</v>
      </c>
      <c r="C8" s="32"/>
      <c r="D8" s="32"/>
      <c r="E8" s="24"/>
      <c r="F8" s="25">
        <f t="shared" si="0"/>
        <v>0</v>
      </c>
      <c r="G8" s="25">
        <f t="shared" si="1"/>
        <v>0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>
        <v>1</v>
      </c>
      <c r="O8" s="32"/>
      <c r="P8" s="32"/>
      <c r="Q8" s="24"/>
      <c r="R8" s="25">
        <f t="shared" si="4"/>
        <v>0</v>
      </c>
      <c r="S8" s="25">
        <f t="shared" si="5"/>
        <v>0</v>
      </c>
      <c r="T8" s="25">
        <f t="shared" si="6"/>
        <v>0</v>
      </c>
      <c r="U8" s="25">
        <f t="shared" si="7"/>
        <v>0</v>
      </c>
      <c r="V8" s="24"/>
      <c r="W8" s="25"/>
      <c r="Y8" s="25">
        <v>2</v>
      </c>
      <c r="Z8" s="32"/>
      <c r="AA8" s="32">
        <v>1</v>
      </c>
      <c r="AB8" s="32"/>
      <c r="AC8" s="24"/>
      <c r="AD8" s="25">
        <f t="shared" si="8"/>
        <v>0</v>
      </c>
      <c r="AE8" s="25">
        <f t="shared" si="9"/>
        <v>1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>
        <v>1</v>
      </c>
      <c r="C9" s="32"/>
      <c r="D9" s="32"/>
      <c r="E9" s="24"/>
      <c r="F9" s="25">
        <f t="shared" si="0"/>
        <v>0</v>
      </c>
      <c r="G9" s="25">
        <f t="shared" si="1"/>
        <v>0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/>
      <c r="O9" s="32">
        <v>1</v>
      </c>
      <c r="P9" s="32"/>
      <c r="Q9" s="24"/>
      <c r="R9" s="25">
        <f t="shared" si="4"/>
        <v>0</v>
      </c>
      <c r="S9" s="25">
        <f t="shared" si="5"/>
        <v>1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/>
      <c r="AA9" s="32">
        <v>1</v>
      </c>
      <c r="AB9" s="32"/>
      <c r="AC9" s="24"/>
      <c r="AD9" s="25">
        <f t="shared" si="8"/>
        <v>0</v>
      </c>
      <c r="AE9" s="25">
        <f t="shared" si="9"/>
        <v>1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/>
      <c r="D10" s="32">
        <v>1</v>
      </c>
      <c r="E10" s="24"/>
      <c r="F10" s="25">
        <f t="shared" si="0"/>
        <v>0</v>
      </c>
      <c r="G10" s="25">
        <f t="shared" si="1"/>
        <v>0</v>
      </c>
      <c r="H10" s="25">
        <f t="shared" si="2"/>
        <v>2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>
        <v>1</v>
      </c>
      <c r="P10" s="32"/>
      <c r="Q10" s="24"/>
      <c r="R10" s="25">
        <f t="shared" si="4"/>
        <v>0</v>
      </c>
      <c r="S10" s="25">
        <f t="shared" si="5"/>
        <v>1</v>
      </c>
      <c r="T10" s="25">
        <f t="shared" si="6"/>
        <v>0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/>
      <c r="AB10" s="32">
        <v>1</v>
      </c>
      <c r="AC10" s="24"/>
      <c r="AD10" s="25">
        <f t="shared" si="8"/>
        <v>0</v>
      </c>
      <c r="AE10" s="25">
        <f t="shared" si="9"/>
        <v>0</v>
      </c>
      <c r="AF10" s="25">
        <f t="shared" si="10"/>
        <v>2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>
        <v>1</v>
      </c>
      <c r="C11" s="32"/>
      <c r="D11" s="32"/>
      <c r="E11" s="24"/>
      <c r="F11" s="25">
        <f t="shared" si="0"/>
        <v>0</v>
      </c>
      <c r="G11" s="25">
        <f t="shared" si="1"/>
        <v>0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>
        <v>1</v>
      </c>
      <c r="O11" s="32"/>
      <c r="P11" s="32"/>
      <c r="Q11" s="24"/>
      <c r="R11" s="25">
        <f t="shared" si="4"/>
        <v>0</v>
      </c>
      <c r="S11" s="25">
        <f t="shared" si="5"/>
        <v>0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/>
      <c r="AA11" s="32">
        <v>1</v>
      </c>
      <c r="AB11" s="32"/>
      <c r="AC11" s="24"/>
      <c r="AD11" s="25">
        <f t="shared" si="8"/>
        <v>0</v>
      </c>
      <c r="AE11" s="25">
        <f t="shared" si="9"/>
        <v>1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/>
      <c r="C12" s="32">
        <v>1</v>
      </c>
      <c r="D12" s="32"/>
      <c r="E12" s="24"/>
      <c r="F12" s="25">
        <f t="shared" si="0"/>
        <v>0</v>
      </c>
      <c r="G12" s="25">
        <f t="shared" si="1"/>
        <v>1</v>
      </c>
      <c r="H12" s="25">
        <f t="shared" si="2"/>
        <v>0</v>
      </c>
      <c r="I12" s="25">
        <f t="shared" si="3"/>
        <v>0</v>
      </c>
      <c r="J12" s="105">
        <f>I11+I13+I18+I24+I28</f>
        <v>2</v>
      </c>
      <c r="K12" s="108">
        <f>J12</f>
        <v>2</v>
      </c>
      <c r="M12" s="25">
        <v>6</v>
      </c>
      <c r="N12" s="32"/>
      <c r="O12" s="32">
        <v>1</v>
      </c>
      <c r="P12" s="32"/>
      <c r="Q12" s="24"/>
      <c r="R12" s="25">
        <f t="shared" si="4"/>
        <v>0</v>
      </c>
      <c r="S12" s="25">
        <f t="shared" si="5"/>
        <v>1</v>
      </c>
      <c r="T12" s="25">
        <f t="shared" si="6"/>
        <v>0</v>
      </c>
      <c r="U12" s="25">
        <f t="shared" si="7"/>
        <v>0</v>
      </c>
      <c r="V12" s="105">
        <f>U11+U13+U18+U24+U28</f>
        <v>2</v>
      </c>
      <c r="W12" s="108">
        <f>V12</f>
        <v>2</v>
      </c>
      <c r="Y12" s="25">
        <v>6</v>
      </c>
      <c r="Z12" s="32"/>
      <c r="AA12" s="32">
        <v>1</v>
      </c>
      <c r="AB12" s="32"/>
      <c r="AC12" s="24"/>
      <c r="AD12" s="25">
        <f t="shared" si="8"/>
        <v>0</v>
      </c>
      <c r="AE12" s="25">
        <f t="shared" si="9"/>
        <v>1</v>
      </c>
      <c r="AF12" s="25">
        <f t="shared" si="10"/>
        <v>0</v>
      </c>
      <c r="AG12" s="25">
        <f t="shared" si="11"/>
        <v>0</v>
      </c>
      <c r="AH12" s="105">
        <f>AG11+AG13+AG18+AG24+AG28</f>
        <v>0</v>
      </c>
      <c r="AI12" s="108">
        <f>AH12</f>
        <v>0</v>
      </c>
    </row>
    <row r="13" spans="1:35" ht="21" customHeight="1">
      <c r="A13" s="25">
        <v>7</v>
      </c>
      <c r="B13" s="32"/>
      <c r="C13" s="32"/>
      <c r="D13" s="32">
        <v>1</v>
      </c>
      <c r="E13" s="24"/>
      <c r="F13" s="25">
        <f>B13*2</f>
        <v>0</v>
      </c>
      <c r="G13" s="25">
        <f t="shared" si="1"/>
        <v>0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>
        <v>1</v>
      </c>
      <c r="P13" s="32"/>
      <c r="Q13" s="24"/>
      <c r="R13" s="25">
        <f>N13*2</f>
        <v>0</v>
      </c>
      <c r="S13" s="25">
        <f t="shared" si="5"/>
        <v>1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/>
      <c r="AA13" s="32">
        <v>1</v>
      </c>
      <c r="AB13" s="32"/>
      <c r="AC13" s="24"/>
      <c r="AD13" s="25">
        <f>Z13*2</f>
        <v>0</v>
      </c>
      <c r="AE13" s="25">
        <f t="shared" si="9"/>
        <v>1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>
        <v>1</v>
      </c>
      <c r="C14" s="32"/>
      <c r="D14" s="32"/>
      <c r="E14" s="24"/>
      <c r="F14" s="25">
        <f t="shared" ref="F14:F19" si="12">B14*0</f>
        <v>0</v>
      </c>
      <c r="G14" s="25">
        <f t="shared" si="1"/>
        <v>0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/>
      <c r="O14" s="32">
        <v>1</v>
      </c>
      <c r="P14" s="32"/>
      <c r="Q14" s="24"/>
      <c r="R14" s="25">
        <f t="shared" ref="R14:R19" si="14">N14*0</f>
        <v>0</v>
      </c>
      <c r="S14" s="25">
        <f t="shared" si="5"/>
        <v>1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>
        <v>1</v>
      </c>
      <c r="AA14" s="32"/>
      <c r="AB14" s="32"/>
      <c r="AC14" s="24"/>
      <c r="AD14" s="25">
        <f t="shared" ref="AD14:AD19" si="16">Z14*0</f>
        <v>0</v>
      </c>
      <c r="AE14" s="25">
        <f t="shared" si="9"/>
        <v>0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/>
      <c r="D15" s="32">
        <v>1</v>
      </c>
      <c r="E15" s="24"/>
      <c r="F15" s="25">
        <f t="shared" si="12"/>
        <v>0</v>
      </c>
      <c r="G15" s="25">
        <f t="shared" si="1"/>
        <v>0</v>
      </c>
      <c r="H15" s="25">
        <f t="shared" si="13"/>
        <v>2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/>
      <c r="P15" s="32">
        <v>1</v>
      </c>
      <c r="Q15" s="24"/>
      <c r="R15" s="25">
        <f t="shared" si="14"/>
        <v>0</v>
      </c>
      <c r="S15" s="25">
        <f t="shared" si="5"/>
        <v>0</v>
      </c>
      <c r="T15" s="25">
        <f t="shared" si="15"/>
        <v>2</v>
      </c>
      <c r="U15" s="25">
        <f t="shared" si="7"/>
        <v>0</v>
      </c>
      <c r="V15" s="24"/>
      <c r="W15" s="107" t="s">
        <v>98</v>
      </c>
      <c r="Y15" s="25">
        <v>9</v>
      </c>
      <c r="Z15" s="32"/>
      <c r="AA15" s="32"/>
      <c r="AB15" s="32">
        <v>1</v>
      </c>
      <c r="AC15" s="24"/>
      <c r="AD15" s="25">
        <f t="shared" si="16"/>
        <v>0</v>
      </c>
      <c r="AE15" s="25">
        <f t="shared" si="9"/>
        <v>0</v>
      </c>
      <c r="AF15" s="25">
        <f t="shared" si="17"/>
        <v>2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>
        <v>1</v>
      </c>
      <c r="C16" s="32"/>
      <c r="D16" s="32"/>
      <c r="E16" s="24"/>
      <c r="F16" s="25">
        <f t="shared" si="12"/>
        <v>0</v>
      </c>
      <c r="G16" s="25">
        <f t="shared" si="1"/>
        <v>0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>
        <v>1</v>
      </c>
      <c r="O16" s="32"/>
      <c r="P16" s="32"/>
      <c r="Q16" s="24"/>
      <c r="R16" s="25">
        <f t="shared" si="14"/>
        <v>0</v>
      </c>
      <c r="S16" s="25">
        <f t="shared" si="5"/>
        <v>0</v>
      </c>
      <c r="T16" s="25">
        <f t="shared" si="15"/>
        <v>0</v>
      </c>
      <c r="U16" s="25">
        <f t="shared" si="7"/>
        <v>0</v>
      </c>
      <c r="V16" s="24"/>
      <c r="W16" s="107" t="s">
        <v>99</v>
      </c>
      <c r="Y16" s="25">
        <v>10</v>
      </c>
      <c r="Z16" s="32">
        <v>1</v>
      </c>
      <c r="AA16" s="32"/>
      <c r="AB16" s="32"/>
      <c r="AC16" s="24"/>
      <c r="AD16" s="25">
        <f t="shared" si="16"/>
        <v>0</v>
      </c>
      <c r="AE16" s="25">
        <f t="shared" si="9"/>
        <v>0</v>
      </c>
      <c r="AF16" s="25">
        <f t="shared" si="17"/>
        <v>0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/>
      <c r="D17" s="32">
        <v>1</v>
      </c>
      <c r="E17" s="24"/>
      <c r="F17" s="25">
        <f t="shared" si="12"/>
        <v>0</v>
      </c>
      <c r="G17" s="25">
        <f t="shared" si="1"/>
        <v>0</v>
      </c>
      <c r="H17" s="25">
        <f t="shared" si="13"/>
        <v>2</v>
      </c>
      <c r="I17" s="25">
        <f t="shared" si="3"/>
        <v>0</v>
      </c>
      <c r="J17" s="105">
        <f>I8+I16+I21+I27+I31</f>
        <v>2</v>
      </c>
      <c r="K17" s="108">
        <f>J17</f>
        <v>2</v>
      </c>
      <c r="M17" s="25">
        <v>11</v>
      </c>
      <c r="N17" s="32"/>
      <c r="O17" s="32"/>
      <c r="P17" s="32">
        <v>1</v>
      </c>
      <c r="Q17" s="24"/>
      <c r="R17" s="25">
        <f t="shared" si="14"/>
        <v>0</v>
      </c>
      <c r="S17" s="25">
        <f t="shared" si="5"/>
        <v>0</v>
      </c>
      <c r="T17" s="25">
        <f t="shared" si="15"/>
        <v>2</v>
      </c>
      <c r="U17" s="25">
        <f t="shared" si="7"/>
        <v>0</v>
      </c>
      <c r="V17" s="105">
        <f>U8+U16+U21+U27+U31</f>
        <v>0</v>
      </c>
      <c r="W17" s="108">
        <f>V17</f>
        <v>0</v>
      </c>
      <c r="Y17" s="25">
        <v>11</v>
      </c>
      <c r="Z17" s="32"/>
      <c r="AA17" s="32"/>
      <c r="AB17" s="32">
        <v>1</v>
      </c>
      <c r="AC17" s="24"/>
      <c r="AD17" s="25">
        <f t="shared" si="16"/>
        <v>0</v>
      </c>
      <c r="AE17" s="25">
        <f t="shared" si="9"/>
        <v>0</v>
      </c>
      <c r="AF17" s="25">
        <f t="shared" si="17"/>
        <v>2</v>
      </c>
      <c r="AG17" s="25">
        <f t="shared" si="11"/>
        <v>0</v>
      </c>
      <c r="AH17" s="105">
        <f>AG8+AG16+AG21+AG27+AG31</f>
        <v>0</v>
      </c>
      <c r="AI17" s="108">
        <f>AH17</f>
        <v>0</v>
      </c>
    </row>
    <row r="18" spans="1:35" ht="21" customHeight="1">
      <c r="A18" s="25">
        <v>12</v>
      </c>
      <c r="B18" s="32">
        <v>1</v>
      </c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>
        <v>1</v>
      </c>
      <c r="O18" s="32"/>
      <c r="P18" s="32"/>
      <c r="Q18" s="24"/>
      <c r="R18" s="25">
        <f t="shared" si="14"/>
        <v>0</v>
      </c>
      <c r="S18" s="25">
        <f t="shared" si="5"/>
        <v>0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>
        <v>1</v>
      </c>
      <c r="AA18" s="32"/>
      <c r="AB18" s="32"/>
      <c r="AC18" s="24"/>
      <c r="AD18" s="25">
        <f t="shared" si="16"/>
        <v>0</v>
      </c>
      <c r="AE18" s="25">
        <f t="shared" si="9"/>
        <v>0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>
        <v>1</v>
      </c>
      <c r="C19" s="32"/>
      <c r="D19" s="32"/>
      <c r="E19" s="24"/>
      <c r="F19" s="25">
        <f t="shared" si="12"/>
        <v>0</v>
      </c>
      <c r="G19" s="25">
        <f t="shared" si="1"/>
        <v>0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/>
      <c r="O19" s="32">
        <v>1</v>
      </c>
      <c r="P19" s="32"/>
      <c r="Q19" s="24"/>
      <c r="R19" s="25">
        <f t="shared" si="14"/>
        <v>0</v>
      </c>
      <c r="S19" s="25">
        <f t="shared" si="5"/>
        <v>1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>
        <v>1</v>
      </c>
      <c r="AA19" s="32"/>
      <c r="AB19" s="32"/>
      <c r="AC19" s="24"/>
      <c r="AD19" s="25">
        <f t="shared" si="16"/>
        <v>0</v>
      </c>
      <c r="AE19" s="25">
        <f t="shared" si="9"/>
        <v>0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/>
      <c r="C20" s="32">
        <v>1</v>
      </c>
      <c r="D20" s="32"/>
      <c r="E20" s="24"/>
      <c r="F20" s="25">
        <f>B20*2</f>
        <v>0</v>
      </c>
      <c r="G20" s="25">
        <f t="shared" si="1"/>
        <v>1</v>
      </c>
      <c r="H20" s="25">
        <f>D20*0</f>
        <v>0</v>
      </c>
      <c r="I20" s="25">
        <f t="shared" si="3"/>
        <v>0</v>
      </c>
      <c r="J20" s="24"/>
      <c r="K20" s="107" t="s">
        <v>100</v>
      </c>
      <c r="M20" s="25">
        <v>14</v>
      </c>
      <c r="N20" s="32">
        <v>1</v>
      </c>
      <c r="O20" s="32"/>
      <c r="P20" s="32"/>
      <c r="Q20" s="24"/>
      <c r="R20" s="25">
        <f>N20*2</f>
        <v>2</v>
      </c>
      <c r="S20" s="25">
        <f t="shared" si="5"/>
        <v>0</v>
      </c>
      <c r="T20" s="25">
        <f>P20*0</f>
        <v>0</v>
      </c>
      <c r="U20" s="25">
        <f t="shared" si="7"/>
        <v>2</v>
      </c>
      <c r="V20" s="24"/>
      <c r="W20" s="107" t="s">
        <v>100</v>
      </c>
      <c r="Y20" s="25">
        <v>14</v>
      </c>
      <c r="Z20" s="32"/>
      <c r="AA20" s="32">
        <v>1</v>
      </c>
      <c r="AB20" s="32"/>
      <c r="AC20" s="24"/>
      <c r="AD20" s="25">
        <f>Z20*2</f>
        <v>0</v>
      </c>
      <c r="AE20" s="25">
        <f t="shared" si="9"/>
        <v>1</v>
      </c>
      <c r="AF20" s="25">
        <f>AB20*0</f>
        <v>0</v>
      </c>
      <c r="AG20" s="25">
        <f t="shared" si="11"/>
        <v>0</v>
      </c>
      <c r="AH20" s="24"/>
      <c r="AI20" s="107" t="s">
        <v>100</v>
      </c>
    </row>
    <row r="21" spans="1:35" ht="21" customHeight="1">
      <c r="A21" s="25">
        <v>15</v>
      </c>
      <c r="B21" s="32">
        <v>1</v>
      </c>
      <c r="C21" s="32"/>
      <c r="D21" s="32"/>
      <c r="E21" s="24"/>
      <c r="F21" s="25">
        <f>B21*2</f>
        <v>2</v>
      </c>
      <c r="G21" s="25">
        <f t="shared" si="1"/>
        <v>0</v>
      </c>
      <c r="H21" s="25">
        <f>D21*0</f>
        <v>0</v>
      </c>
      <c r="I21" s="25">
        <f t="shared" si="3"/>
        <v>2</v>
      </c>
      <c r="J21" s="24"/>
      <c r="K21" s="107" t="s">
        <v>101</v>
      </c>
      <c r="M21" s="25">
        <v>15</v>
      </c>
      <c r="N21" s="32"/>
      <c r="O21" s="32">
        <v>1</v>
      </c>
      <c r="P21" s="32"/>
      <c r="Q21" s="24"/>
      <c r="R21" s="25">
        <f>N21*2</f>
        <v>0</v>
      </c>
      <c r="S21" s="25">
        <f t="shared" si="5"/>
        <v>1</v>
      </c>
      <c r="T21" s="25">
        <f>P21*0</f>
        <v>0</v>
      </c>
      <c r="U21" s="25">
        <f t="shared" si="7"/>
        <v>0</v>
      </c>
      <c r="V21" s="24"/>
      <c r="W21" s="107" t="s">
        <v>101</v>
      </c>
      <c r="Y21" s="25">
        <v>15</v>
      </c>
      <c r="Z21" s="32"/>
      <c r="AA21" s="32">
        <v>1</v>
      </c>
      <c r="AB21" s="32"/>
      <c r="AC21" s="24"/>
      <c r="AD21" s="25">
        <f>Z21*2</f>
        <v>0</v>
      </c>
      <c r="AE21" s="25">
        <f t="shared" si="9"/>
        <v>1</v>
      </c>
      <c r="AF21" s="25">
        <f>AB21*0</f>
        <v>0</v>
      </c>
      <c r="AG21" s="25">
        <f t="shared" si="11"/>
        <v>0</v>
      </c>
      <c r="AH21" s="24"/>
      <c r="AI21" s="107" t="s">
        <v>101</v>
      </c>
    </row>
    <row r="22" spans="1:35" ht="21" customHeight="1">
      <c r="A22" s="25">
        <v>16</v>
      </c>
      <c r="B22" s="32"/>
      <c r="C22" s="32">
        <v>1</v>
      </c>
      <c r="D22" s="32"/>
      <c r="E22" s="24"/>
      <c r="F22" s="25">
        <f>B22*0</f>
        <v>0</v>
      </c>
      <c r="G22" s="25">
        <f t="shared" si="1"/>
        <v>1</v>
      </c>
      <c r="H22" s="25">
        <f>D22*2</f>
        <v>0</v>
      </c>
      <c r="I22" s="25">
        <f t="shared" si="3"/>
        <v>0</v>
      </c>
      <c r="J22" s="105">
        <f>I12+I17+I20+I25+I29</f>
        <v>0</v>
      </c>
      <c r="K22" s="108">
        <f>J22</f>
        <v>0</v>
      </c>
      <c r="M22" s="25">
        <v>16</v>
      </c>
      <c r="N22" s="32"/>
      <c r="O22" s="32">
        <v>1</v>
      </c>
      <c r="P22" s="32"/>
      <c r="Q22" s="24"/>
      <c r="R22" s="25">
        <f>N22*0</f>
        <v>0</v>
      </c>
      <c r="S22" s="25">
        <f t="shared" si="5"/>
        <v>1</v>
      </c>
      <c r="T22" s="25">
        <f>P22*2</f>
        <v>0</v>
      </c>
      <c r="U22" s="25">
        <f t="shared" si="7"/>
        <v>0</v>
      </c>
      <c r="V22" s="105">
        <f>U12+U17+U20+U25+U29</f>
        <v>2</v>
      </c>
      <c r="W22" s="108">
        <f>V22</f>
        <v>2</v>
      </c>
      <c r="Y22" s="25">
        <v>16</v>
      </c>
      <c r="Z22" s="32"/>
      <c r="AA22" s="32"/>
      <c r="AB22" s="32">
        <v>1</v>
      </c>
      <c r="AC22" s="24"/>
      <c r="AD22" s="25">
        <f>Z22*0</f>
        <v>0</v>
      </c>
      <c r="AE22" s="25">
        <f t="shared" si="9"/>
        <v>0</v>
      </c>
      <c r="AF22" s="25">
        <f>AB22*2</f>
        <v>2</v>
      </c>
      <c r="AG22" s="25">
        <f t="shared" si="11"/>
        <v>0</v>
      </c>
      <c r="AH22" s="105">
        <f>AG12+AG17+AG20+AG25+AG29</f>
        <v>0</v>
      </c>
      <c r="AI22" s="108">
        <f>AH22</f>
        <v>0</v>
      </c>
    </row>
    <row r="23" spans="1:35" ht="21" customHeight="1">
      <c r="A23" s="25">
        <v>17</v>
      </c>
      <c r="B23" s="32"/>
      <c r="C23" s="32"/>
      <c r="D23" s="32">
        <v>1</v>
      </c>
      <c r="E23" s="24"/>
      <c r="F23" s="25">
        <f>B23*2</f>
        <v>0</v>
      </c>
      <c r="G23" s="25">
        <f t="shared" si="1"/>
        <v>0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/>
      <c r="O23" s="32">
        <v>1</v>
      </c>
      <c r="P23" s="32"/>
      <c r="Q23" s="24"/>
      <c r="R23" s="25">
        <f>N23*2</f>
        <v>0</v>
      </c>
      <c r="S23" s="25">
        <f t="shared" si="5"/>
        <v>1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/>
      <c r="AA23" s="32"/>
      <c r="AB23" s="32">
        <v>1</v>
      </c>
      <c r="AC23" s="24"/>
      <c r="AD23" s="25">
        <f>Z23*2</f>
        <v>0</v>
      </c>
      <c r="AE23" s="25">
        <f t="shared" si="9"/>
        <v>0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>
        <v>1</v>
      </c>
      <c r="C24" s="32"/>
      <c r="D24" s="32"/>
      <c r="E24" s="24"/>
      <c r="F24" s="25">
        <f>B24*2</f>
        <v>2</v>
      </c>
      <c r="G24" s="25">
        <f t="shared" si="1"/>
        <v>0</v>
      </c>
      <c r="H24" s="25">
        <f>D24*0</f>
        <v>0</v>
      </c>
      <c r="I24" s="25">
        <f t="shared" si="3"/>
        <v>2</v>
      </c>
      <c r="J24" s="24"/>
      <c r="K24" s="25"/>
      <c r="M24" s="25">
        <v>18</v>
      </c>
      <c r="N24" s="32">
        <v>1</v>
      </c>
      <c r="O24" s="32"/>
      <c r="P24" s="32"/>
      <c r="Q24" s="24"/>
      <c r="R24" s="25">
        <f>N24*2</f>
        <v>2</v>
      </c>
      <c r="S24" s="25">
        <f t="shared" si="5"/>
        <v>0</v>
      </c>
      <c r="T24" s="25">
        <f>P24*0</f>
        <v>0</v>
      </c>
      <c r="U24" s="25">
        <f t="shared" si="7"/>
        <v>2</v>
      </c>
      <c r="V24" s="24"/>
      <c r="W24" s="25"/>
      <c r="Y24" s="25">
        <v>18</v>
      </c>
      <c r="Z24" s="32"/>
      <c r="AA24" s="32">
        <v>1</v>
      </c>
      <c r="AB24" s="32"/>
      <c r="AC24" s="24"/>
      <c r="AD24" s="25">
        <f>Z24*2</f>
        <v>0</v>
      </c>
      <c r="AE24" s="25">
        <f t="shared" si="9"/>
        <v>1</v>
      </c>
      <c r="AF24" s="25">
        <f>AB24*0</f>
        <v>0</v>
      </c>
      <c r="AG24" s="25">
        <f t="shared" si="11"/>
        <v>0</v>
      </c>
      <c r="AH24" s="24"/>
      <c r="AI24" s="25"/>
    </row>
    <row r="25" spans="1:35" ht="21" customHeight="1">
      <c r="A25" s="25">
        <v>19</v>
      </c>
      <c r="B25" s="32">
        <v>1</v>
      </c>
      <c r="C25" s="32"/>
      <c r="D25" s="32"/>
      <c r="E25" s="24"/>
      <c r="F25" s="25">
        <f t="shared" ref="F25:F31" si="18">B25*0</f>
        <v>0</v>
      </c>
      <c r="G25" s="25">
        <f t="shared" si="1"/>
        <v>0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>
        <v>1</v>
      </c>
      <c r="O25" s="32"/>
      <c r="P25" s="32"/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/>
      <c r="AA25" s="32">
        <v>1</v>
      </c>
      <c r="AB25" s="32"/>
      <c r="AC25" s="24"/>
      <c r="AD25" s="25">
        <f t="shared" ref="AD25:AD31" si="22">Z25*0</f>
        <v>0</v>
      </c>
      <c r="AE25" s="25">
        <f t="shared" si="9"/>
        <v>1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>
        <v>1</v>
      </c>
      <c r="D26" s="32"/>
      <c r="E26" s="24"/>
      <c r="F26" s="25">
        <f t="shared" si="18"/>
        <v>0</v>
      </c>
      <c r="G26" s="25">
        <f t="shared" si="1"/>
        <v>1</v>
      </c>
      <c r="H26" s="25">
        <f t="shared" si="19"/>
        <v>0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>
        <v>1</v>
      </c>
      <c r="P26" s="32"/>
      <c r="Q26" s="24"/>
      <c r="R26" s="25">
        <f t="shared" si="20"/>
        <v>0</v>
      </c>
      <c r="S26" s="25">
        <f t="shared" si="5"/>
        <v>1</v>
      </c>
      <c r="T26" s="25">
        <f t="shared" si="21"/>
        <v>0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>
        <v>1</v>
      </c>
      <c r="AB26" s="32"/>
      <c r="AC26" s="24"/>
      <c r="AD26" s="25">
        <f t="shared" si="22"/>
        <v>0</v>
      </c>
      <c r="AE26" s="25">
        <f t="shared" si="9"/>
        <v>1</v>
      </c>
      <c r="AF26" s="25">
        <f t="shared" si="23"/>
        <v>0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>
        <v>1</v>
      </c>
      <c r="D27" s="32"/>
      <c r="E27" s="24"/>
      <c r="F27" s="25">
        <f t="shared" si="18"/>
        <v>0</v>
      </c>
      <c r="G27" s="25">
        <f t="shared" si="1"/>
        <v>1</v>
      </c>
      <c r="H27" s="25">
        <f t="shared" si="19"/>
        <v>0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/>
      <c r="O27" s="32">
        <v>1</v>
      </c>
      <c r="P27" s="32"/>
      <c r="Q27" s="24"/>
      <c r="R27" s="25">
        <f t="shared" si="20"/>
        <v>0</v>
      </c>
      <c r="S27" s="25">
        <f t="shared" si="5"/>
        <v>1</v>
      </c>
      <c r="T27" s="25">
        <f t="shared" si="21"/>
        <v>0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/>
      <c r="AA27" s="32">
        <v>1</v>
      </c>
      <c r="AB27" s="32"/>
      <c r="AC27" s="24"/>
      <c r="AD27" s="25">
        <f t="shared" si="22"/>
        <v>0</v>
      </c>
      <c r="AE27" s="25">
        <f t="shared" si="9"/>
        <v>1</v>
      </c>
      <c r="AF27" s="25">
        <f t="shared" si="23"/>
        <v>0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>
        <v>1</v>
      </c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>
        <v>1</v>
      </c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>
        <v>1</v>
      </c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/>
      <c r="C29" s="32">
        <v>1</v>
      </c>
      <c r="D29" s="32"/>
      <c r="E29" s="24"/>
      <c r="F29" s="25">
        <f t="shared" si="18"/>
        <v>0</v>
      </c>
      <c r="G29" s="25">
        <f t="shared" si="1"/>
        <v>1</v>
      </c>
      <c r="H29" s="25">
        <f t="shared" si="19"/>
        <v>0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>
        <v>1</v>
      </c>
      <c r="P29" s="32"/>
      <c r="Q29" s="24"/>
      <c r="R29" s="25">
        <f t="shared" si="20"/>
        <v>0</v>
      </c>
      <c r="S29" s="25">
        <f t="shared" si="5"/>
        <v>1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/>
      <c r="AA29" s="32">
        <v>1</v>
      </c>
      <c r="AB29" s="32"/>
      <c r="AC29" s="24"/>
      <c r="AD29" s="25">
        <f t="shared" si="22"/>
        <v>0</v>
      </c>
      <c r="AE29" s="25">
        <f t="shared" si="9"/>
        <v>1</v>
      </c>
      <c r="AF29" s="25">
        <f t="shared" si="23"/>
        <v>0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/>
      <c r="C30" s="32">
        <v>1</v>
      </c>
      <c r="D30" s="32"/>
      <c r="E30" s="24"/>
      <c r="F30" s="25">
        <f t="shared" si="18"/>
        <v>0</v>
      </c>
      <c r="G30" s="25">
        <f t="shared" si="1"/>
        <v>1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/>
      <c r="O30" s="32">
        <v>1</v>
      </c>
      <c r="P30" s="32"/>
      <c r="Q30" s="24"/>
      <c r="R30" s="25">
        <f t="shared" si="20"/>
        <v>0</v>
      </c>
      <c r="S30" s="25">
        <f t="shared" si="5"/>
        <v>1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/>
      <c r="AA30" s="32">
        <v>1</v>
      </c>
      <c r="AB30" s="32"/>
      <c r="AC30" s="24"/>
      <c r="AD30" s="25">
        <f t="shared" si="22"/>
        <v>0</v>
      </c>
      <c r="AE30" s="25">
        <f t="shared" si="9"/>
        <v>1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>
        <v>1</v>
      </c>
      <c r="D31" s="32"/>
      <c r="E31" s="24"/>
      <c r="F31" s="25">
        <f t="shared" si="18"/>
        <v>0</v>
      </c>
      <c r="G31" s="25">
        <f t="shared" si="1"/>
        <v>1</v>
      </c>
      <c r="H31" s="25">
        <f t="shared" si="19"/>
        <v>0</v>
      </c>
      <c r="I31" s="25">
        <f t="shared" si="3"/>
        <v>0</v>
      </c>
      <c r="J31" s="24"/>
      <c r="K31" s="108">
        <f>K7+K12+K17+K22</f>
        <v>4</v>
      </c>
      <c r="M31" s="25">
        <v>25</v>
      </c>
      <c r="N31" s="32"/>
      <c r="O31" s="32">
        <v>1</v>
      </c>
      <c r="P31" s="32"/>
      <c r="Q31" s="24"/>
      <c r="R31" s="25">
        <f t="shared" si="20"/>
        <v>0</v>
      </c>
      <c r="S31" s="25">
        <f t="shared" si="5"/>
        <v>1</v>
      </c>
      <c r="T31" s="25">
        <f t="shared" si="21"/>
        <v>0</v>
      </c>
      <c r="U31" s="25">
        <f t="shared" si="7"/>
        <v>0</v>
      </c>
      <c r="V31" s="24"/>
      <c r="W31" s="108">
        <f>W7+W12+W17+W22</f>
        <v>4</v>
      </c>
      <c r="Y31" s="25">
        <v>25</v>
      </c>
      <c r="Z31" s="32"/>
      <c r="AA31" s="32">
        <v>1</v>
      </c>
      <c r="AB31" s="32"/>
      <c r="AC31" s="24"/>
      <c r="AD31" s="25">
        <f t="shared" si="22"/>
        <v>0</v>
      </c>
      <c r="AE31" s="25">
        <f t="shared" si="9"/>
        <v>1</v>
      </c>
      <c r="AF31" s="25">
        <f t="shared" si="23"/>
        <v>0</v>
      </c>
      <c r="AG31" s="25">
        <f t="shared" si="11"/>
        <v>0</v>
      </c>
      <c r="AH31" s="24"/>
      <c r="AI31" s="108">
        <f>AI7+AI12+AI17+AI22</f>
        <v>0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/>
  </sheetPr>
  <dimension ref="A1:AI41"/>
  <sheetViews>
    <sheetView topLeftCell="W23" zoomScale="150" workbookViewId="0">
      <selection activeCell="AB31" sqref="AB31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 t="str">
        <f>รายชื่อ!B4</f>
        <v>เด็กชาย</v>
      </c>
      <c r="C3" s="110" t="str">
        <f>รายชื่อ!C4</f>
        <v>ภูมิพัฒน์</v>
      </c>
      <c r="D3" s="110" t="str">
        <f>รายชื่อ!D4</f>
        <v>เต็งวิลัย</v>
      </c>
      <c r="E3" s="60"/>
      <c r="F3" s="103"/>
      <c r="G3" s="165"/>
      <c r="H3" s="165"/>
      <c r="I3" s="165"/>
      <c r="J3" s="25"/>
      <c r="K3" s="106" t="s">
        <v>27</v>
      </c>
      <c r="M3" s="25" t="s">
        <v>85</v>
      </c>
      <c r="N3" s="110" t="str">
        <f>รายชื่อ!B4</f>
        <v>เด็กชาย</v>
      </c>
      <c r="O3" s="110" t="str">
        <f>รายชื่อ!C4</f>
        <v>ภูมิพัฒน์</v>
      </c>
      <c r="P3" s="110" t="str">
        <f>รายชื่อ!D4</f>
        <v>เต็งวิลัย</v>
      </c>
      <c r="Q3" s="60"/>
      <c r="R3" s="103"/>
      <c r="S3" s="165"/>
      <c r="T3" s="165"/>
      <c r="U3" s="165"/>
      <c r="V3" s="25"/>
      <c r="W3" s="106" t="s">
        <v>27</v>
      </c>
      <c r="Y3" s="25" t="s">
        <v>85</v>
      </c>
      <c r="Z3" s="110" t="str">
        <f>รายชื่อ!B4</f>
        <v>เด็กชาย</v>
      </c>
      <c r="AA3" s="110" t="str">
        <f>รายชื่อ!C4</f>
        <v>ภูมิพัฒน์</v>
      </c>
      <c r="AB3" s="110" t="str">
        <f>รายชื่อ!D4</f>
        <v>เต็งวิลัย</v>
      </c>
      <c r="AC3" s="60"/>
      <c r="AD3" s="103"/>
      <c r="AE3" s="165"/>
      <c r="AF3" s="165"/>
      <c r="AG3" s="165"/>
      <c r="AH3" s="25"/>
      <c r="AI3" s="106" t="s">
        <v>27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/>
      <c r="C7" s="32">
        <v>1</v>
      </c>
      <c r="D7" s="32"/>
      <c r="E7" s="24"/>
      <c r="F7" s="25">
        <f t="shared" ref="F7:F12" si="0">B7*0</f>
        <v>0</v>
      </c>
      <c r="G7" s="25">
        <f t="shared" ref="G7:G31" si="1">C7*1</f>
        <v>1</v>
      </c>
      <c r="H7" s="25">
        <f t="shared" ref="H7:H12" si="2">D7*2</f>
        <v>0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/>
      <c r="O7" s="32">
        <v>1</v>
      </c>
      <c r="P7" s="32"/>
      <c r="Q7" s="24"/>
      <c r="R7" s="25">
        <f t="shared" ref="R7:R12" si="4">N7*0</f>
        <v>0</v>
      </c>
      <c r="S7" s="25">
        <f t="shared" ref="S7:S31" si="5">O7*1</f>
        <v>1</v>
      </c>
      <c r="T7" s="25">
        <f t="shared" ref="T7:T12" si="6">P7*2</f>
        <v>0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>
        <v>1</v>
      </c>
      <c r="AB7" s="32"/>
      <c r="AC7" s="24"/>
      <c r="AD7" s="25">
        <f t="shared" ref="AD7:AD12" si="8">Z7*0</f>
        <v>0</v>
      </c>
      <c r="AE7" s="25">
        <f t="shared" ref="AE7:AE31" si="9">AA7*1</f>
        <v>1</v>
      </c>
      <c r="AF7" s="25">
        <f t="shared" ref="AF7:AF12" si="10">AB7*2</f>
        <v>0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/>
      <c r="C8" s="32"/>
      <c r="D8" s="32">
        <v>1</v>
      </c>
      <c r="E8" s="24"/>
      <c r="F8" s="25">
        <f t="shared" si="0"/>
        <v>0</v>
      </c>
      <c r="G8" s="25">
        <f t="shared" si="1"/>
        <v>0</v>
      </c>
      <c r="H8" s="25">
        <f t="shared" si="2"/>
        <v>2</v>
      </c>
      <c r="I8" s="25">
        <f t="shared" si="3"/>
        <v>0</v>
      </c>
      <c r="J8" s="24"/>
      <c r="K8" s="25"/>
      <c r="M8" s="25">
        <v>2</v>
      </c>
      <c r="N8" s="32"/>
      <c r="O8" s="32"/>
      <c r="P8" s="32">
        <v>1</v>
      </c>
      <c r="Q8" s="24"/>
      <c r="R8" s="25">
        <f t="shared" si="4"/>
        <v>0</v>
      </c>
      <c r="S8" s="25">
        <f t="shared" si="5"/>
        <v>0</v>
      </c>
      <c r="T8" s="25">
        <f t="shared" si="6"/>
        <v>2</v>
      </c>
      <c r="U8" s="25">
        <f t="shared" si="7"/>
        <v>0</v>
      </c>
      <c r="V8" s="24"/>
      <c r="W8" s="25"/>
      <c r="Y8" s="25">
        <v>2</v>
      </c>
      <c r="Z8" s="32"/>
      <c r="AA8" s="32"/>
      <c r="AB8" s="32">
        <v>1</v>
      </c>
      <c r="AC8" s="24"/>
      <c r="AD8" s="25">
        <f t="shared" si="8"/>
        <v>0</v>
      </c>
      <c r="AE8" s="25">
        <f t="shared" si="9"/>
        <v>0</v>
      </c>
      <c r="AF8" s="25">
        <f t="shared" si="10"/>
        <v>2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>
        <v>1</v>
      </c>
      <c r="C9" s="32"/>
      <c r="D9" s="32"/>
      <c r="E9" s="24"/>
      <c r="F9" s="25">
        <f t="shared" si="0"/>
        <v>0</v>
      </c>
      <c r="G9" s="25">
        <f t="shared" si="1"/>
        <v>0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/>
      <c r="O9" s="32">
        <v>1</v>
      </c>
      <c r="P9" s="32"/>
      <c r="Q9" s="24"/>
      <c r="R9" s="25">
        <f t="shared" si="4"/>
        <v>0</v>
      </c>
      <c r="S9" s="25">
        <f t="shared" si="5"/>
        <v>1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>
        <v>1</v>
      </c>
      <c r="AA9" s="32"/>
      <c r="AB9" s="32"/>
      <c r="AC9" s="24"/>
      <c r="AD9" s="25">
        <f t="shared" si="8"/>
        <v>0</v>
      </c>
      <c r="AE9" s="25">
        <f t="shared" si="9"/>
        <v>0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/>
      <c r="D10" s="32">
        <v>1</v>
      </c>
      <c r="E10" s="24"/>
      <c r="F10" s="25">
        <f t="shared" si="0"/>
        <v>0</v>
      </c>
      <c r="G10" s="25">
        <f t="shared" si="1"/>
        <v>0</v>
      </c>
      <c r="H10" s="25">
        <f t="shared" si="2"/>
        <v>2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>
        <v>1</v>
      </c>
      <c r="P10" s="32"/>
      <c r="Q10" s="24"/>
      <c r="R10" s="25">
        <f t="shared" si="4"/>
        <v>0</v>
      </c>
      <c r="S10" s="25">
        <f t="shared" si="5"/>
        <v>1</v>
      </c>
      <c r="T10" s="25">
        <f t="shared" si="6"/>
        <v>0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/>
      <c r="AB10" s="32">
        <v>1</v>
      </c>
      <c r="AC10" s="24"/>
      <c r="AD10" s="25">
        <f t="shared" si="8"/>
        <v>0</v>
      </c>
      <c r="AE10" s="25">
        <f t="shared" si="9"/>
        <v>0</v>
      </c>
      <c r="AF10" s="25">
        <f t="shared" si="10"/>
        <v>2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>
        <v>1</v>
      </c>
      <c r="C11" s="32"/>
      <c r="D11" s="32"/>
      <c r="E11" s="24"/>
      <c r="F11" s="25">
        <f t="shared" si="0"/>
        <v>0</v>
      </c>
      <c r="G11" s="25">
        <f t="shared" si="1"/>
        <v>0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>
        <v>1</v>
      </c>
      <c r="O11" s="32"/>
      <c r="P11" s="32"/>
      <c r="Q11" s="24"/>
      <c r="R11" s="25">
        <f t="shared" si="4"/>
        <v>0</v>
      </c>
      <c r="S11" s="25">
        <f t="shared" si="5"/>
        <v>0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>
        <v>1</v>
      </c>
      <c r="AA11" s="32"/>
      <c r="AB11" s="32"/>
      <c r="AC11" s="24"/>
      <c r="AD11" s="25">
        <f t="shared" si="8"/>
        <v>0</v>
      </c>
      <c r="AE11" s="25">
        <f t="shared" si="9"/>
        <v>0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>
        <v>1</v>
      </c>
      <c r="C12" s="32"/>
      <c r="D12" s="32"/>
      <c r="E12" s="24"/>
      <c r="F12" s="25">
        <f t="shared" si="0"/>
        <v>0</v>
      </c>
      <c r="G12" s="25">
        <f t="shared" si="1"/>
        <v>0</v>
      </c>
      <c r="H12" s="25">
        <f t="shared" si="2"/>
        <v>0</v>
      </c>
      <c r="I12" s="25">
        <f t="shared" si="3"/>
        <v>0</v>
      </c>
      <c r="J12" s="105">
        <f>I11+I13+I18+I24+I28</f>
        <v>2</v>
      </c>
      <c r="K12" s="108">
        <f>J12</f>
        <v>2</v>
      </c>
      <c r="M12" s="25">
        <v>6</v>
      </c>
      <c r="N12" s="32"/>
      <c r="O12" s="32">
        <v>1</v>
      </c>
      <c r="P12" s="32"/>
      <c r="Q12" s="24"/>
      <c r="R12" s="25">
        <f t="shared" si="4"/>
        <v>0</v>
      </c>
      <c r="S12" s="25">
        <f t="shared" si="5"/>
        <v>1</v>
      </c>
      <c r="T12" s="25">
        <f t="shared" si="6"/>
        <v>0</v>
      </c>
      <c r="U12" s="25">
        <f t="shared" si="7"/>
        <v>0</v>
      </c>
      <c r="V12" s="105">
        <f>U11+U13+U18+U24+U28</f>
        <v>2</v>
      </c>
      <c r="W12" s="108">
        <f>V12</f>
        <v>2</v>
      </c>
      <c r="Y12" s="25">
        <v>6</v>
      </c>
      <c r="Z12" s="32">
        <v>1</v>
      </c>
      <c r="AA12" s="32"/>
      <c r="AB12" s="32"/>
      <c r="AC12" s="24"/>
      <c r="AD12" s="25">
        <f t="shared" si="8"/>
        <v>0</v>
      </c>
      <c r="AE12" s="25">
        <f t="shared" si="9"/>
        <v>0</v>
      </c>
      <c r="AF12" s="25">
        <f t="shared" si="10"/>
        <v>0</v>
      </c>
      <c r="AG12" s="25">
        <f t="shared" si="11"/>
        <v>0</v>
      </c>
      <c r="AH12" s="105">
        <f>AG11+AG13+AG18+AG24+AG28</f>
        <v>2</v>
      </c>
      <c r="AI12" s="108">
        <f>AH12</f>
        <v>2</v>
      </c>
    </row>
    <row r="13" spans="1:35" ht="21" customHeight="1">
      <c r="A13" s="25">
        <v>7</v>
      </c>
      <c r="B13" s="32"/>
      <c r="C13" s="32">
        <v>1</v>
      </c>
      <c r="D13" s="32"/>
      <c r="E13" s="24"/>
      <c r="F13" s="25">
        <f>B13*2</f>
        <v>0</v>
      </c>
      <c r="G13" s="25">
        <f t="shared" si="1"/>
        <v>1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>
        <v>1</v>
      </c>
      <c r="P13" s="32"/>
      <c r="Q13" s="24"/>
      <c r="R13" s="25">
        <f>N13*2</f>
        <v>0</v>
      </c>
      <c r="S13" s="25">
        <f t="shared" si="5"/>
        <v>1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/>
      <c r="AA13" s="32">
        <v>1</v>
      </c>
      <c r="AB13" s="32"/>
      <c r="AC13" s="24"/>
      <c r="AD13" s="25">
        <f>Z13*2</f>
        <v>0</v>
      </c>
      <c r="AE13" s="25">
        <f t="shared" si="9"/>
        <v>1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>
        <v>1</v>
      </c>
      <c r="C14" s="32"/>
      <c r="D14" s="32"/>
      <c r="E14" s="24"/>
      <c r="F14" s="25">
        <f t="shared" ref="F14:F19" si="12">B14*0</f>
        <v>0</v>
      </c>
      <c r="G14" s="25">
        <f t="shared" si="1"/>
        <v>0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>
        <v>1</v>
      </c>
      <c r="O14" s="32"/>
      <c r="P14" s="32"/>
      <c r="Q14" s="24"/>
      <c r="R14" s="25">
        <f t="shared" ref="R14:R19" si="14">N14*0</f>
        <v>0</v>
      </c>
      <c r="S14" s="25">
        <f t="shared" si="5"/>
        <v>0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>
        <v>1</v>
      </c>
      <c r="AA14" s="32"/>
      <c r="AB14" s="32"/>
      <c r="AC14" s="24"/>
      <c r="AD14" s="25">
        <f t="shared" ref="AD14:AD19" si="16">Z14*0</f>
        <v>0</v>
      </c>
      <c r="AE14" s="25">
        <f t="shared" si="9"/>
        <v>0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>
        <v>1</v>
      </c>
      <c r="D15" s="32"/>
      <c r="E15" s="24"/>
      <c r="F15" s="25">
        <f t="shared" si="12"/>
        <v>0</v>
      </c>
      <c r="G15" s="25">
        <f t="shared" si="1"/>
        <v>1</v>
      </c>
      <c r="H15" s="25">
        <f t="shared" si="13"/>
        <v>0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>
        <v>1</v>
      </c>
      <c r="P15" s="32"/>
      <c r="Q15" s="24"/>
      <c r="R15" s="25">
        <f t="shared" si="14"/>
        <v>0</v>
      </c>
      <c r="S15" s="25">
        <f t="shared" si="5"/>
        <v>1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/>
      <c r="AA15" s="32">
        <v>1</v>
      </c>
      <c r="AB15" s="32"/>
      <c r="AC15" s="24"/>
      <c r="AD15" s="25">
        <f t="shared" si="16"/>
        <v>0</v>
      </c>
      <c r="AE15" s="25">
        <f t="shared" si="9"/>
        <v>1</v>
      </c>
      <c r="AF15" s="25">
        <f t="shared" si="17"/>
        <v>0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/>
      <c r="C16" s="32"/>
      <c r="D16" s="32">
        <v>1</v>
      </c>
      <c r="E16" s="24"/>
      <c r="F16" s="25">
        <f t="shared" si="12"/>
        <v>0</v>
      </c>
      <c r="G16" s="25">
        <f t="shared" si="1"/>
        <v>0</v>
      </c>
      <c r="H16" s="25">
        <f t="shared" si="13"/>
        <v>2</v>
      </c>
      <c r="I16" s="25">
        <f t="shared" si="3"/>
        <v>0</v>
      </c>
      <c r="J16" s="24"/>
      <c r="K16" s="107" t="s">
        <v>99</v>
      </c>
      <c r="M16" s="25">
        <v>10</v>
      </c>
      <c r="N16" s="32"/>
      <c r="O16" s="32"/>
      <c r="P16" s="32">
        <v>1</v>
      </c>
      <c r="Q16" s="24"/>
      <c r="R16" s="25">
        <f t="shared" si="14"/>
        <v>0</v>
      </c>
      <c r="S16" s="25">
        <f t="shared" si="5"/>
        <v>0</v>
      </c>
      <c r="T16" s="25">
        <f t="shared" si="15"/>
        <v>2</v>
      </c>
      <c r="U16" s="25">
        <f t="shared" si="7"/>
        <v>0</v>
      </c>
      <c r="V16" s="24"/>
      <c r="W16" s="107" t="s">
        <v>99</v>
      </c>
      <c r="Y16" s="25">
        <v>10</v>
      </c>
      <c r="Z16" s="32"/>
      <c r="AA16" s="32"/>
      <c r="AB16" s="32">
        <v>1</v>
      </c>
      <c r="AC16" s="24"/>
      <c r="AD16" s="25">
        <f t="shared" si="16"/>
        <v>0</v>
      </c>
      <c r="AE16" s="25">
        <f t="shared" si="9"/>
        <v>0</v>
      </c>
      <c r="AF16" s="25">
        <f t="shared" si="17"/>
        <v>2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/>
      <c r="D17" s="32">
        <v>1</v>
      </c>
      <c r="E17" s="24"/>
      <c r="F17" s="25">
        <f t="shared" si="12"/>
        <v>0</v>
      </c>
      <c r="G17" s="25">
        <f t="shared" si="1"/>
        <v>0</v>
      </c>
      <c r="H17" s="25">
        <f t="shared" si="13"/>
        <v>2</v>
      </c>
      <c r="I17" s="25">
        <f t="shared" si="3"/>
        <v>0</v>
      </c>
      <c r="J17" s="105">
        <f>I8+I16+I21+I27+I31</f>
        <v>0</v>
      </c>
      <c r="K17" s="108">
        <f>J17</f>
        <v>0</v>
      </c>
      <c r="M17" s="25">
        <v>11</v>
      </c>
      <c r="N17" s="32"/>
      <c r="O17" s="32"/>
      <c r="P17" s="32">
        <v>1</v>
      </c>
      <c r="Q17" s="24"/>
      <c r="R17" s="25">
        <f t="shared" si="14"/>
        <v>0</v>
      </c>
      <c r="S17" s="25">
        <f t="shared" si="5"/>
        <v>0</v>
      </c>
      <c r="T17" s="25">
        <f t="shared" si="15"/>
        <v>2</v>
      </c>
      <c r="U17" s="25">
        <f t="shared" si="7"/>
        <v>0</v>
      </c>
      <c r="V17" s="105">
        <f>U8+U16+U21+U27+U31</f>
        <v>0</v>
      </c>
      <c r="W17" s="108">
        <f>V17</f>
        <v>0</v>
      </c>
      <c r="Y17" s="25">
        <v>11</v>
      </c>
      <c r="Z17" s="32"/>
      <c r="AA17" s="32"/>
      <c r="AB17" s="32">
        <v>1</v>
      </c>
      <c r="AC17" s="24"/>
      <c r="AD17" s="25">
        <f t="shared" si="16"/>
        <v>0</v>
      </c>
      <c r="AE17" s="25">
        <f t="shared" si="9"/>
        <v>0</v>
      </c>
      <c r="AF17" s="25">
        <f t="shared" si="17"/>
        <v>2</v>
      </c>
      <c r="AG17" s="25">
        <f t="shared" si="11"/>
        <v>0</v>
      </c>
      <c r="AH17" s="105">
        <f>AG8+AG16+AG21+AG27+AG31</f>
        <v>0</v>
      </c>
      <c r="AI17" s="108">
        <f>AH17</f>
        <v>0</v>
      </c>
    </row>
    <row r="18" spans="1:35" ht="21" customHeight="1">
      <c r="A18" s="25">
        <v>12</v>
      </c>
      <c r="B18" s="32">
        <v>1</v>
      </c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/>
      <c r="O18" s="32">
        <v>1</v>
      </c>
      <c r="P18" s="32"/>
      <c r="Q18" s="24"/>
      <c r="R18" s="25">
        <f t="shared" si="14"/>
        <v>0</v>
      </c>
      <c r="S18" s="25">
        <f t="shared" si="5"/>
        <v>1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>
        <v>1</v>
      </c>
      <c r="AA18" s="32"/>
      <c r="AB18" s="32"/>
      <c r="AC18" s="24"/>
      <c r="AD18" s="25">
        <f t="shared" si="16"/>
        <v>0</v>
      </c>
      <c r="AE18" s="25">
        <f t="shared" si="9"/>
        <v>0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>
        <v>1</v>
      </c>
      <c r="C19" s="32"/>
      <c r="D19" s="32"/>
      <c r="E19" s="24"/>
      <c r="F19" s="25">
        <f t="shared" si="12"/>
        <v>0</v>
      </c>
      <c r="G19" s="25">
        <f t="shared" si="1"/>
        <v>0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>
        <v>1</v>
      </c>
      <c r="O19" s="32"/>
      <c r="P19" s="32"/>
      <c r="Q19" s="24"/>
      <c r="R19" s="25">
        <f t="shared" si="14"/>
        <v>0</v>
      </c>
      <c r="S19" s="25">
        <f t="shared" si="5"/>
        <v>0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>
        <v>1</v>
      </c>
      <c r="AA19" s="32"/>
      <c r="AB19" s="32"/>
      <c r="AC19" s="24"/>
      <c r="AD19" s="25">
        <f t="shared" si="16"/>
        <v>0</v>
      </c>
      <c r="AE19" s="25">
        <f t="shared" si="9"/>
        <v>0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/>
      <c r="C20" s="32">
        <v>1</v>
      </c>
      <c r="D20" s="32"/>
      <c r="E20" s="24"/>
      <c r="F20" s="25">
        <f>B20*2</f>
        <v>0</v>
      </c>
      <c r="G20" s="25">
        <f t="shared" si="1"/>
        <v>1</v>
      </c>
      <c r="H20" s="25">
        <f>D20*0</f>
        <v>0</v>
      </c>
      <c r="I20" s="25">
        <f t="shared" si="3"/>
        <v>0</v>
      </c>
      <c r="J20" s="24"/>
      <c r="K20" s="107" t="s">
        <v>100</v>
      </c>
      <c r="M20" s="25">
        <v>14</v>
      </c>
      <c r="N20" s="32"/>
      <c r="O20" s="32">
        <v>1</v>
      </c>
      <c r="P20" s="32"/>
      <c r="Q20" s="24"/>
      <c r="R20" s="25">
        <f>N20*2</f>
        <v>0</v>
      </c>
      <c r="S20" s="25">
        <f t="shared" si="5"/>
        <v>1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/>
      <c r="AA20" s="32">
        <v>1</v>
      </c>
      <c r="AB20" s="32"/>
      <c r="AC20" s="24"/>
      <c r="AD20" s="25">
        <f>Z20*2</f>
        <v>0</v>
      </c>
      <c r="AE20" s="25">
        <f t="shared" si="9"/>
        <v>1</v>
      </c>
      <c r="AF20" s="25">
        <f>AB20*0</f>
        <v>0</v>
      </c>
      <c r="AG20" s="25">
        <f t="shared" si="11"/>
        <v>0</v>
      </c>
      <c r="AH20" s="24"/>
      <c r="AI20" s="107" t="s">
        <v>100</v>
      </c>
    </row>
    <row r="21" spans="1:35" ht="21" customHeight="1">
      <c r="A21" s="25">
        <v>15</v>
      </c>
      <c r="B21" s="32"/>
      <c r="C21" s="32"/>
      <c r="D21" s="32">
        <v>1</v>
      </c>
      <c r="E21" s="24"/>
      <c r="F21" s="25">
        <f>B21*2</f>
        <v>0</v>
      </c>
      <c r="G21" s="25">
        <f t="shared" si="1"/>
        <v>0</v>
      </c>
      <c r="H21" s="25">
        <f>D21*0</f>
        <v>0</v>
      </c>
      <c r="I21" s="25">
        <f t="shared" si="3"/>
        <v>0</v>
      </c>
      <c r="J21" s="24"/>
      <c r="K21" s="107" t="s">
        <v>101</v>
      </c>
      <c r="M21" s="25">
        <v>15</v>
      </c>
      <c r="N21" s="32"/>
      <c r="O21" s="32"/>
      <c r="P21" s="32">
        <v>1</v>
      </c>
      <c r="Q21" s="24"/>
      <c r="R21" s="25">
        <f>N21*2</f>
        <v>0</v>
      </c>
      <c r="S21" s="25">
        <f t="shared" si="5"/>
        <v>0</v>
      </c>
      <c r="T21" s="25">
        <f>P21*0</f>
        <v>0</v>
      </c>
      <c r="U21" s="25">
        <f t="shared" si="7"/>
        <v>0</v>
      </c>
      <c r="V21" s="24"/>
      <c r="W21" s="107" t="s">
        <v>101</v>
      </c>
      <c r="Y21" s="25">
        <v>15</v>
      </c>
      <c r="Z21" s="32"/>
      <c r="AA21" s="32"/>
      <c r="AB21" s="32">
        <v>1</v>
      </c>
      <c r="AC21" s="24"/>
      <c r="AD21" s="25">
        <f>Z21*2</f>
        <v>0</v>
      </c>
      <c r="AE21" s="25">
        <f t="shared" si="9"/>
        <v>0</v>
      </c>
      <c r="AF21" s="25">
        <f>AB21*0</f>
        <v>0</v>
      </c>
      <c r="AG21" s="25">
        <f t="shared" si="11"/>
        <v>0</v>
      </c>
      <c r="AH21" s="24"/>
      <c r="AI21" s="107" t="s">
        <v>101</v>
      </c>
    </row>
    <row r="22" spans="1:35" ht="21" customHeight="1">
      <c r="A22" s="25">
        <v>16</v>
      </c>
      <c r="B22" s="32">
        <v>1</v>
      </c>
      <c r="C22" s="32"/>
      <c r="D22" s="32"/>
      <c r="E22" s="24"/>
      <c r="F22" s="25">
        <f>B22*0</f>
        <v>0</v>
      </c>
      <c r="G22" s="25">
        <f t="shared" si="1"/>
        <v>0</v>
      </c>
      <c r="H22" s="25">
        <f>D22*2</f>
        <v>0</v>
      </c>
      <c r="I22" s="25">
        <f t="shared" si="3"/>
        <v>0</v>
      </c>
      <c r="J22" s="105">
        <f>I12+I17+I20+I25+I29</f>
        <v>0</v>
      </c>
      <c r="K22" s="108">
        <f>J22</f>
        <v>0</v>
      </c>
      <c r="M22" s="25">
        <v>16</v>
      </c>
      <c r="N22" s="32"/>
      <c r="O22" s="32">
        <v>1</v>
      </c>
      <c r="P22" s="32"/>
      <c r="Q22" s="24"/>
      <c r="R22" s="25">
        <f>N22*0</f>
        <v>0</v>
      </c>
      <c r="S22" s="25">
        <f t="shared" si="5"/>
        <v>1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>
        <v>1</v>
      </c>
      <c r="AA22" s="32"/>
      <c r="AB22" s="32"/>
      <c r="AC22" s="24"/>
      <c r="AD22" s="25">
        <f>Z22*0</f>
        <v>0</v>
      </c>
      <c r="AE22" s="25">
        <f t="shared" si="9"/>
        <v>0</v>
      </c>
      <c r="AF22" s="25">
        <f>AB22*2</f>
        <v>0</v>
      </c>
      <c r="AG22" s="25">
        <f t="shared" si="11"/>
        <v>0</v>
      </c>
      <c r="AH22" s="105">
        <f>AG12+AG17+AG20+AG25+AG29</f>
        <v>0</v>
      </c>
      <c r="AI22" s="108">
        <f>AH22</f>
        <v>0</v>
      </c>
    </row>
    <row r="23" spans="1:35" ht="21" customHeight="1">
      <c r="A23" s="25">
        <v>17</v>
      </c>
      <c r="B23" s="32"/>
      <c r="C23" s="32"/>
      <c r="D23" s="32">
        <v>1</v>
      </c>
      <c r="E23" s="24"/>
      <c r="F23" s="25">
        <f>B23*2</f>
        <v>0</v>
      </c>
      <c r="G23" s="25">
        <f t="shared" si="1"/>
        <v>0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/>
      <c r="O23" s="32">
        <v>1</v>
      </c>
      <c r="P23" s="32"/>
      <c r="Q23" s="24"/>
      <c r="R23" s="25">
        <f>N23*2</f>
        <v>0</v>
      </c>
      <c r="S23" s="25">
        <f t="shared" si="5"/>
        <v>1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/>
      <c r="AA23" s="32"/>
      <c r="AB23" s="32">
        <v>1</v>
      </c>
      <c r="AC23" s="24"/>
      <c r="AD23" s="25">
        <f>Z23*2</f>
        <v>0</v>
      </c>
      <c r="AE23" s="25">
        <f t="shared" si="9"/>
        <v>0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>
        <v>1</v>
      </c>
      <c r="C24" s="32"/>
      <c r="D24" s="32"/>
      <c r="E24" s="24"/>
      <c r="F24" s="25">
        <f>B24*2</f>
        <v>2</v>
      </c>
      <c r="G24" s="25">
        <f t="shared" si="1"/>
        <v>0</v>
      </c>
      <c r="H24" s="25">
        <f>D24*0</f>
        <v>0</v>
      </c>
      <c r="I24" s="25">
        <f t="shared" si="3"/>
        <v>2</v>
      </c>
      <c r="J24" s="24"/>
      <c r="K24" s="25"/>
      <c r="M24" s="25">
        <v>18</v>
      </c>
      <c r="N24" s="32">
        <v>1</v>
      </c>
      <c r="O24" s="32"/>
      <c r="P24" s="32"/>
      <c r="Q24" s="24"/>
      <c r="R24" s="25">
        <f>N24*2</f>
        <v>2</v>
      </c>
      <c r="S24" s="25">
        <f t="shared" si="5"/>
        <v>0</v>
      </c>
      <c r="T24" s="25">
        <f>P24*0</f>
        <v>0</v>
      </c>
      <c r="U24" s="25">
        <f t="shared" si="7"/>
        <v>2</v>
      </c>
      <c r="V24" s="24"/>
      <c r="W24" s="25"/>
      <c r="Y24" s="25">
        <v>18</v>
      </c>
      <c r="Z24" s="32">
        <v>1</v>
      </c>
      <c r="AA24" s="32"/>
      <c r="AB24" s="32"/>
      <c r="AC24" s="24"/>
      <c r="AD24" s="25">
        <f>Z24*2</f>
        <v>2</v>
      </c>
      <c r="AE24" s="25">
        <f t="shared" si="9"/>
        <v>0</v>
      </c>
      <c r="AF24" s="25">
        <f>AB24*0</f>
        <v>0</v>
      </c>
      <c r="AG24" s="25">
        <f t="shared" si="11"/>
        <v>2</v>
      </c>
      <c r="AH24" s="24"/>
      <c r="AI24" s="25"/>
    </row>
    <row r="25" spans="1:35" ht="21" customHeight="1">
      <c r="A25" s="25">
        <v>19</v>
      </c>
      <c r="B25" s="32">
        <v>1</v>
      </c>
      <c r="C25" s="32"/>
      <c r="D25" s="32"/>
      <c r="E25" s="24"/>
      <c r="F25" s="25">
        <f t="shared" ref="F25:F31" si="18">B25*0</f>
        <v>0</v>
      </c>
      <c r="G25" s="25">
        <f t="shared" si="1"/>
        <v>0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>
        <v>1</v>
      </c>
      <c r="O25" s="32"/>
      <c r="P25" s="32"/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>
        <v>1</v>
      </c>
      <c r="AA25" s="32"/>
      <c r="AB25" s="32"/>
      <c r="AC25" s="24"/>
      <c r="AD25" s="25">
        <f t="shared" ref="AD25:AD31" si="22">Z25*0</f>
        <v>0</v>
      </c>
      <c r="AE25" s="25">
        <f t="shared" si="9"/>
        <v>0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>
        <v>1</v>
      </c>
      <c r="D26" s="32"/>
      <c r="E26" s="24"/>
      <c r="F26" s="25">
        <f t="shared" si="18"/>
        <v>0</v>
      </c>
      <c r="G26" s="25">
        <f t="shared" si="1"/>
        <v>1</v>
      </c>
      <c r="H26" s="25">
        <f t="shared" si="19"/>
        <v>0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>
        <v>1</v>
      </c>
      <c r="P26" s="32"/>
      <c r="Q26" s="24"/>
      <c r="R26" s="25">
        <f t="shared" si="20"/>
        <v>0</v>
      </c>
      <c r="S26" s="25">
        <f t="shared" si="5"/>
        <v>1</v>
      </c>
      <c r="T26" s="25">
        <f t="shared" si="21"/>
        <v>0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>
        <v>1</v>
      </c>
      <c r="AB26" s="32"/>
      <c r="AC26" s="24"/>
      <c r="AD26" s="25">
        <f t="shared" si="22"/>
        <v>0</v>
      </c>
      <c r="AE26" s="25">
        <f t="shared" si="9"/>
        <v>1</v>
      </c>
      <c r="AF26" s="25">
        <f t="shared" si="23"/>
        <v>0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>
        <v>1</v>
      </c>
      <c r="C27" s="32"/>
      <c r="D27" s="32"/>
      <c r="E27" s="24"/>
      <c r="F27" s="25">
        <f t="shared" si="18"/>
        <v>0</v>
      </c>
      <c r="G27" s="25">
        <f t="shared" si="1"/>
        <v>0</v>
      </c>
      <c r="H27" s="25">
        <f t="shared" si="19"/>
        <v>0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>
        <v>1</v>
      </c>
      <c r="O27" s="32"/>
      <c r="P27" s="32"/>
      <c r="Q27" s="24"/>
      <c r="R27" s="25">
        <f t="shared" si="20"/>
        <v>0</v>
      </c>
      <c r="S27" s="25">
        <f t="shared" si="5"/>
        <v>0</v>
      </c>
      <c r="T27" s="25">
        <f t="shared" si="21"/>
        <v>0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>
        <v>1</v>
      </c>
      <c r="AA27" s="32"/>
      <c r="AB27" s="32"/>
      <c r="AC27" s="24"/>
      <c r="AD27" s="25">
        <f t="shared" si="22"/>
        <v>0</v>
      </c>
      <c r="AE27" s="25">
        <f t="shared" si="9"/>
        <v>0</v>
      </c>
      <c r="AF27" s="25">
        <f t="shared" si="23"/>
        <v>0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>
        <v>1</v>
      </c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>
        <v>1</v>
      </c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>
        <v>1</v>
      </c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/>
      <c r="C29" s="32">
        <v>1</v>
      </c>
      <c r="D29" s="32"/>
      <c r="E29" s="24"/>
      <c r="F29" s="25">
        <f t="shared" si="18"/>
        <v>0</v>
      </c>
      <c r="G29" s="25">
        <f t="shared" si="1"/>
        <v>1</v>
      </c>
      <c r="H29" s="25">
        <f t="shared" si="19"/>
        <v>0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>
        <v>1</v>
      </c>
      <c r="P29" s="32"/>
      <c r="Q29" s="24"/>
      <c r="R29" s="25">
        <f t="shared" si="20"/>
        <v>0</v>
      </c>
      <c r="S29" s="25">
        <f t="shared" si="5"/>
        <v>1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/>
      <c r="AA29" s="32">
        <v>1</v>
      </c>
      <c r="AB29" s="32"/>
      <c r="AC29" s="24"/>
      <c r="AD29" s="25">
        <f t="shared" si="22"/>
        <v>0</v>
      </c>
      <c r="AE29" s="25">
        <f t="shared" si="9"/>
        <v>1</v>
      </c>
      <c r="AF29" s="25">
        <f t="shared" si="23"/>
        <v>0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>
        <v>1</v>
      </c>
      <c r="C30" s="32"/>
      <c r="D30" s="32"/>
      <c r="E30" s="24"/>
      <c r="F30" s="25">
        <f t="shared" si="18"/>
        <v>0</v>
      </c>
      <c r="G30" s="25">
        <f t="shared" si="1"/>
        <v>0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>
        <v>1</v>
      </c>
      <c r="O30" s="32"/>
      <c r="P30" s="32"/>
      <c r="Q30" s="24"/>
      <c r="R30" s="25">
        <f t="shared" si="20"/>
        <v>0</v>
      </c>
      <c r="S30" s="25">
        <f t="shared" si="5"/>
        <v>0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>
        <v>1</v>
      </c>
      <c r="AA30" s="32"/>
      <c r="AB30" s="32"/>
      <c r="AC30" s="24"/>
      <c r="AD30" s="25">
        <f t="shared" si="22"/>
        <v>0</v>
      </c>
      <c r="AE30" s="25">
        <f t="shared" si="9"/>
        <v>0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>
        <v>1</v>
      </c>
      <c r="D31" s="32"/>
      <c r="E31" s="24"/>
      <c r="F31" s="25">
        <f t="shared" si="18"/>
        <v>0</v>
      </c>
      <c r="G31" s="25">
        <f t="shared" si="1"/>
        <v>1</v>
      </c>
      <c r="H31" s="25">
        <f t="shared" si="19"/>
        <v>0</v>
      </c>
      <c r="I31" s="25">
        <f t="shared" si="3"/>
        <v>0</v>
      </c>
      <c r="J31" s="24"/>
      <c r="K31" s="108">
        <f>K7+K12+K17+K22</f>
        <v>2</v>
      </c>
      <c r="M31" s="25">
        <v>25</v>
      </c>
      <c r="N31" s="32">
        <v>1</v>
      </c>
      <c r="O31" s="32"/>
      <c r="P31" s="32"/>
      <c r="Q31" s="24"/>
      <c r="R31" s="25">
        <f t="shared" si="20"/>
        <v>0</v>
      </c>
      <c r="S31" s="25">
        <f t="shared" si="5"/>
        <v>0</v>
      </c>
      <c r="T31" s="25">
        <f t="shared" si="21"/>
        <v>0</v>
      </c>
      <c r="U31" s="25">
        <f t="shared" si="7"/>
        <v>0</v>
      </c>
      <c r="V31" s="24"/>
      <c r="W31" s="108">
        <f>W7+W12+W17+W22</f>
        <v>2</v>
      </c>
      <c r="Y31" s="25">
        <v>25</v>
      </c>
      <c r="Z31" s="32"/>
      <c r="AA31" s="32">
        <v>1</v>
      </c>
      <c r="AB31" s="32"/>
      <c r="AC31" s="24"/>
      <c r="AD31" s="25">
        <f t="shared" si="22"/>
        <v>0</v>
      </c>
      <c r="AE31" s="25">
        <f t="shared" si="9"/>
        <v>1</v>
      </c>
      <c r="AF31" s="25">
        <f t="shared" si="23"/>
        <v>0</v>
      </c>
      <c r="AG31" s="25">
        <f t="shared" si="11"/>
        <v>0</v>
      </c>
      <c r="AH31" s="24"/>
      <c r="AI31" s="108">
        <f>AI7+AI12+AI17+AI22</f>
        <v>2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/>
  </sheetPr>
  <dimension ref="A1:AI41"/>
  <sheetViews>
    <sheetView topLeftCell="Q32" zoomScale="150" workbookViewId="0">
      <selection activeCell="AC31" sqref="AC31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 t="str">
        <f>รายชื่อ!B5</f>
        <v>เด็กชาย</v>
      </c>
      <c r="C3" s="110" t="str">
        <f>รายชื่อ!C5</f>
        <v>ฑิติพัฒน์</v>
      </c>
      <c r="D3" s="110" t="str">
        <f>รายชื่อ!D5</f>
        <v>เชตุทอง</v>
      </c>
      <c r="E3" s="60"/>
      <c r="F3" s="103"/>
      <c r="G3" s="165"/>
      <c r="H3" s="165"/>
      <c r="I3" s="165"/>
      <c r="J3" s="25"/>
      <c r="K3" s="106" t="s">
        <v>28</v>
      </c>
      <c r="M3" s="25" t="s">
        <v>85</v>
      </c>
      <c r="N3" s="110" t="str">
        <f>รายชื่อ!B5</f>
        <v>เด็กชาย</v>
      </c>
      <c r="O3" s="110" t="str">
        <f>รายชื่อ!C5</f>
        <v>ฑิติพัฒน์</v>
      </c>
      <c r="P3" s="110" t="str">
        <f>รายชื่อ!D5</f>
        <v>เชตุทอง</v>
      </c>
      <c r="Q3" s="60"/>
      <c r="R3" s="103"/>
      <c r="S3" s="165"/>
      <c r="T3" s="165"/>
      <c r="U3" s="165"/>
      <c r="V3" s="25"/>
      <c r="W3" s="106" t="s">
        <v>28</v>
      </c>
      <c r="Y3" s="25" t="s">
        <v>85</v>
      </c>
      <c r="Z3" s="110" t="str">
        <f>รายชื่อ!B5</f>
        <v>เด็กชาย</v>
      </c>
      <c r="AA3" s="110" t="str">
        <f>รายชื่อ!C5</f>
        <v>ฑิติพัฒน์</v>
      </c>
      <c r="AB3" s="110" t="str">
        <f>รายชื่อ!D5</f>
        <v>เชตุทอง</v>
      </c>
      <c r="AC3" s="60"/>
      <c r="AD3" s="103"/>
      <c r="AE3" s="165"/>
      <c r="AF3" s="165"/>
      <c r="AG3" s="165"/>
      <c r="AH3" s="25"/>
      <c r="AI3" s="106" t="s">
        <v>28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/>
      <c r="C7" s="32"/>
      <c r="D7" s="32">
        <v>1</v>
      </c>
      <c r="E7" s="24"/>
      <c r="F7" s="25">
        <f t="shared" ref="F7:F12" si="0">B7*0</f>
        <v>0</v>
      </c>
      <c r="G7" s="25">
        <f t="shared" ref="G7:G31" si="1">C7*1</f>
        <v>0</v>
      </c>
      <c r="H7" s="25">
        <f t="shared" ref="H7:H12" si="2">D7*2</f>
        <v>2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/>
      <c r="O7" s="32"/>
      <c r="P7" s="32">
        <v>1</v>
      </c>
      <c r="Q7" s="24"/>
      <c r="R7" s="25">
        <f t="shared" ref="R7:R12" si="4">N7*0</f>
        <v>0</v>
      </c>
      <c r="S7" s="25">
        <f t="shared" ref="S7:S31" si="5">O7*1</f>
        <v>0</v>
      </c>
      <c r="T7" s="25">
        <f t="shared" ref="T7:T12" si="6">P7*2</f>
        <v>2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/>
      <c r="AB7" s="32">
        <v>1</v>
      </c>
      <c r="AC7" s="24"/>
      <c r="AD7" s="25">
        <f t="shared" ref="AD7:AD12" si="8">Z7*0</f>
        <v>0</v>
      </c>
      <c r="AE7" s="25">
        <f t="shared" ref="AE7:AE31" si="9">AA7*1</f>
        <v>0</v>
      </c>
      <c r="AF7" s="25">
        <f t="shared" ref="AF7:AF12" si="10">AB7*2</f>
        <v>2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>
        <v>1</v>
      </c>
      <c r="C8" s="32"/>
      <c r="D8" s="32"/>
      <c r="E8" s="24"/>
      <c r="F8" s="25">
        <f t="shared" si="0"/>
        <v>0</v>
      </c>
      <c r="G8" s="25">
        <f t="shared" si="1"/>
        <v>0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/>
      <c r="O8" s="32"/>
      <c r="P8" s="32">
        <v>1</v>
      </c>
      <c r="Q8" s="24"/>
      <c r="R8" s="25">
        <f t="shared" si="4"/>
        <v>0</v>
      </c>
      <c r="S8" s="25">
        <f t="shared" si="5"/>
        <v>0</v>
      </c>
      <c r="T8" s="25">
        <f t="shared" si="6"/>
        <v>2</v>
      </c>
      <c r="U8" s="25">
        <f t="shared" si="7"/>
        <v>0</v>
      </c>
      <c r="V8" s="24"/>
      <c r="W8" s="25"/>
      <c r="Y8" s="25">
        <v>2</v>
      </c>
      <c r="Z8" s="32">
        <v>1</v>
      </c>
      <c r="AA8" s="32"/>
      <c r="AB8" s="32"/>
      <c r="AC8" s="24"/>
      <c r="AD8" s="25">
        <f t="shared" si="8"/>
        <v>0</v>
      </c>
      <c r="AE8" s="25">
        <f t="shared" si="9"/>
        <v>0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>
        <v>1</v>
      </c>
      <c r="C9" s="32"/>
      <c r="D9" s="32"/>
      <c r="E9" s="24"/>
      <c r="F9" s="25">
        <f t="shared" si="0"/>
        <v>0</v>
      </c>
      <c r="G9" s="25">
        <f t="shared" si="1"/>
        <v>0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/>
      <c r="O9" s="32"/>
      <c r="P9" s="32">
        <v>1</v>
      </c>
      <c r="Q9" s="24"/>
      <c r="R9" s="25">
        <f t="shared" si="4"/>
        <v>0</v>
      </c>
      <c r="S9" s="25">
        <f t="shared" si="5"/>
        <v>0</v>
      </c>
      <c r="T9" s="25">
        <f t="shared" si="6"/>
        <v>2</v>
      </c>
      <c r="U9" s="25">
        <f t="shared" si="7"/>
        <v>0</v>
      </c>
      <c r="V9" s="24"/>
      <c r="W9" s="25"/>
      <c r="Y9" s="25">
        <v>3</v>
      </c>
      <c r="Z9" s="32"/>
      <c r="AA9" s="32">
        <v>1</v>
      </c>
      <c r="AB9" s="32"/>
      <c r="AC9" s="24"/>
      <c r="AD9" s="25">
        <f t="shared" si="8"/>
        <v>0</v>
      </c>
      <c r="AE9" s="25">
        <f t="shared" si="9"/>
        <v>1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>
        <v>1</v>
      </c>
      <c r="D10" s="32"/>
      <c r="E10" s="24"/>
      <c r="F10" s="25">
        <f t="shared" si="0"/>
        <v>0</v>
      </c>
      <c r="G10" s="25">
        <f t="shared" si="1"/>
        <v>1</v>
      </c>
      <c r="H10" s="25">
        <f t="shared" si="2"/>
        <v>0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/>
      <c r="P10" s="32">
        <v>1</v>
      </c>
      <c r="Q10" s="24"/>
      <c r="R10" s="25">
        <f t="shared" si="4"/>
        <v>0</v>
      </c>
      <c r="S10" s="25">
        <f t="shared" si="5"/>
        <v>0</v>
      </c>
      <c r="T10" s="25">
        <f t="shared" si="6"/>
        <v>2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/>
      <c r="AB10" s="32">
        <v>1</v>
      </c>
      <c r="AC10" s="24"/>
      <c r="AD10" s="25">
        <f t="shared" si="8"/>
        <v>0</v>
      </c>
      <c r="AE10" s="25">
        <f t="shared" si="9"/>
        <v>0</v>
      </c>
      <c r="AF10" s="25">
        <f t="shared" si="10"/>
        <v>2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/>
      <c r="C11" s="32">
        <v>1</v>
      </c>
      <c r="D11" s="32"/>
      <c r="E11" s="24"/>
      <c r="F11" s="25">
        <f t="shared" si="0"/>
        <v>0</v>
      </c>
      <c r="G11" s="25">
        <f t="shared" si="1"/>
        <v>1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>
        <v>1</v>
      </c>
      <c r="O11" s="32"/>
      <c r="P11" s="32"/>
      <c r="Q11" s="24"/>
      <c r="R11" s="25">
        <f t="shared" si="4"/>
        <v>0</v>
      </c>
      <c r="S11" s="25">
        <f t="shared" si="5"/>
        <v>0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>
        <v>1</v>
      </c>
      <c r="AA11" s="32"/>
      <c r="AB11" s="32"/>
      <c r="AC11" s="24"/>
      <c r="AD11" s="25">
        <f t="shared" si="8"/>
        <v>0</v>
      </c>
      <c r="AE11" s="25">
        <f t="shared" si="9"/>
        <v>0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>
        <v>1</v>
      </c>
      <c r="C12" s="32"/>
      <c r="D12" s="32"/>
      <c r="E12" s="24"/>
      <c r="F12" s="25">
        <f t="shared" si="0"/>
        <v>0</v>
      </c>
      <c r="G12" s="25">
        <f t="shared" si="1"/>
        <v>0</v>
      </c>
      <c r="H12" s="25">
        <f t="shared" si="2"/>
        <v>0</v>
      </c>
      <c r="I12" s="25">
        <f t="shared" si="3"/>
        <v>0</v>
      </c>
      <c r="J12" s="105">
        <f>I11+I13+I18+I24+I28</f>
        <v>2</v>
      </c>
      <c r="K12" s="108">
        <f>J12</f>
        <v>2</v>
      </c>
      <c r="M12" s="25">
        <v>6</v>
      </c>
      <c r="N12" s="32">
        <v>1</v>
      </c>
      <c r="O12" s="32"/>
      <c r="P12" s="32"/>
      <c r="Q12" s="24"/>
      <c r="R12" s="25">
        <f t="shared" si="4"/>
        <v>0</v>
      </c>
      <c r="S12" s="25">
        <f t="shared" si="5"/>
        <v>0</v>
      </c>
      <c r="T12" s="25">
        <f t="shared" si="6"/>
        <v>0</v>
      </c>
      <c r="U12" s="25">
        <f t="shared" si="7"/>
        <v>0</v>
      </c>
      <c r="V12" s="105">
        <f>U11+U13+U18+U24+U28</f>
        <v>2</v>
      </c>
      <c r="W12" s="108">
        <f>V12</f>
        <v>2</v>
      </c>
      <c r="Y12" s="25">
        <v>6</v>
      </c>
      <c r="Z12" s="32">
        <v>1</v>
      </c>
      <c r="AA12" s="32"/>
      <c r="AB12" s="32"/>
      <c r="AC12" s="24"/>
      <c r="AD12" s="25">
        <f t="shared" si="8"/>
        <v>0</v>
      </c>
      <c r="AE12" s="25">
        <f t="shared" si="9"/>
        <v>0</v>
      </c>
      <c r="AF12" s="25">
        <f t="shared" si="10"/>
        <v>0</v>
      </c>
      <c r="AG12" s="25">
        <f t="shared" si="11"/>
        <v>0</v>
      </c>
      <c r="AH12" s="105">
        <f>AG11+AG13+AG18+AG24+AG28</f>
        <v>0</v>
      </c>
      <c r="AI12" s="108">
        <f>AH12</f>
        <v>0</v>
      </c>
    </row>
    <row r="13" spans="1:35" ht="21" customHeight="1">
      <c r="A13" s="25">
        <v>7</v>
      </c>
      <c r="B13" s="32"/>
      <c r="C13" s="32"/>
      <c r="D13" s="32">
        <v>1</v>
      </c>
      <c r="E13" s="24"/>
      <c r="F13" s="25">
        <f>B13*2</f>
        <v>0</v>
      </c>
      <c r="G13" s="25">
        <f t="shared" si="1"/>
        <v>0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/>
      <c r="P13" s="32">
        <v>1</v>
      </c>
      <c r="Q13" s="24"/>
      <c r="R13" s="25">
        <f>N13*2</f>
        <v>0</v>
      </c>
      <c r="S13" s="25">
        <f t="shared" si="5"/>
        <v>0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/>
      <c r="AA13" s="32"/>
      <c r="AB13" s="32">
        <v>1</v>
      </c>
      <c r="AC13" s="24"/>
      <c r="AD13" s="25">
        <f>Z13*2</f>
        <v>0</v>
      </c>
      <c r="AE13" s="25">
        <f t="shared" si="9"/>
        <v>0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/>
      <c r="C14" s="32">
        <v>1</v>
      </c>
      <c r="D14" s="32"/>
      <c r="E14" s="24"/>
      <c r="F14" s="25">
        <f t="shared" ref="F14:F19" si="12">B14*0</f>
        <v>0</v>
      </c>
      <c r="G14" s="25">
        <f t="shared" si="1"/>
        <v>1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/>
      <c r="O14" s="32">
        <v>1</v>
      </c>
      <c r="P14" s="32"/>
      <c r="Q14" s="24"/>
      <c r="R14" s="25">
        <f t="shared" ref="R14:R19" si="14">N14*0</f>
        <v>0</v>
      </c>
      <c r="S14" s="25">
        <f t="shared" si="5"/>
        <v>1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/>
      <c r="AA14" s="32">
        <v>1</v>
      </c>
      <c r="AB14" s="32"/>
      <c r="AC14" s="24"/>
      <c r="AD14" s="25">
        <f t="shared" ref="AD14:AD19" si="16">Z14*0</f>
        <v>0</v>
      </c>
      <c r="AE14" s="25">
        <f t="shared" si="9"/>
        <v>1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/>
      <c r="D15" s="32">
        <v>1</v>
      </c>
      <c r="E15" s="24"/>
      <c r="F15" s="25">
        <f t="shared" si="12"/>
        <v>0</v>
      </c>
      <c r="G15" s="25">
        <f t="shared" si="1"/>
        <v>0</v>
      </c>
      <c r="H15" s="25">
        <f t="shared" si="13"/>
        <v>2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>
        <v>1</v>
      </c>
      <c r="P15" s="32"/>
      <c r="Q15" s="24"/>
      <c r="R15" s="25">
        <f t="shared" si="14"/>
        <v>0</v>
      </c>
      <c r="S15" s="25">
        <f t="shared" si="5"/>
        <v>1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/>
      <c r="AA15" s="32"/>
      <c r="AB15" s="32">
        <v>1</v>
      </c>
      <c r="AC15" s="24"/>
      <c r="AD15" s="25">
        <f t="shared" si="16"/>
        <v>0</v>
      </c>
      <c r="AE15" s="25">
        <f t="shared" si="9"/>
        <v>0</v>
      </c>
      <c r="AF15" s="25">
        <f t="shared" si="17"/>
        <v>2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>
        <v>1</v>
      </c>
      <c r="C16" s="32"/>
      <c r="D16" s="32"/>
      <c r="E16" s="24"/>
      <c r="F16" s="25">
        <f t="shared" si="12"/>
        <v>0</v>
      </c>
      <c r="G16" s="25">
        <f t="shared" si="1"/>
        <v>0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/>
      <c r="O16" s="32"/>
      <c r="P16" s="32">
        <v>1</v>
      </c>
      <c r="Q16" s="24"/>
      <c r="R16" s="25">
        <f t="shared" si="14"/>
        <v>0</v>
      </c>
      <c r="S16" s="25">
        <f t="shared" si="5"/>
        <v>0</v>
      </c>
      <c r="T16" s="25">
        <f t="shared" si="15"/>
        <v>2</v>
      </c>
      <c r="U16" s="25">
        <f t="shared" si="7"/>
        <v>0</v>
      </c>
      <c r="V16" s="24"/>
      <c r="W16" s="107" t="s">
        <v>99</v>
      </c>
      <c r="Y16" s="25">
        <v>10</v>
      </c>
      <c r="Z16" s="32">
        <v>1</v>
      </c>
      <c r="AA16" s="32"/>
      <c r="AB16" s="32"/>
      <c r="AC16" s="24"/>
      <c r="AD16" s="25">
        <f t="shared" si="16"/>
        <v>0</v>
      </c>
      <c r="AE16" s="25">
        <f t="shared" si="9"/>
        <v>0</v>
      </c>
      <c r="AF16" s="25">
        <f t="shared" si="17"/>
        <v>0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/>
      <c r="D17" s="32">
        <v>1</v>
      </c>
      <c r="E17" s="24"/>
      <c r="F17" s="25">
        <f t="shared" si="12"/>
        <v>0</v>
      </c>
      <c r="G17" s="25">
        <f t="shared" si="1"/>
        <v>0</v>
      </c>
      <c r="H17" s="25">
        <f t="shared" si="13"/>
        <v>2</v>
      </c>
      <c r="I17" s="25">
        <f t="shared" si="3"/>
        <v>0</v>
      </c>
      <c r="J17" s="105">
        <f>I8+I16+I21+I27+I31</f>
        <v>2</v>
      </c>
      <c r="K17" s="108">
        <f>J17</f>
        <v>2</v>
      </c>
      <c r="M17" s="25">
        <v>11</v>
      </c>
      <c r="N17" s="32"/>
      <c r="O17" s="32"/>
      <c r="P17" s="32">
        <v>1</v>
      </c>
      <c r="Q17" s="24"/>
      <c r="R17" s="25">
        <f t="shared" si="14"/>
        <v>0</v>
      </c>
      <c r="S17" s="25">
        <f t="shared" si="5"/>
        <v>0</v>
      </c>
      <c r="T17" s="25">
        <f t="shared" si="15"/>
        <v>2</v>
      </c>
      <c r="U17" s="25">
        <f t="shared" si="7"/>
        <v>0</v>
      </c>
      <c r="V17" s="105">
        <f>U8+U16+U21+U27+U31</f>
        <v>0</v>
      </c>
      <c r="W17" s="108">
        <f>V17</f>
        <v>0</v>
      </c>
      <c r="Y17" s="25">
        <v>11</v>
      </c>
      <c r="Z17" s="32"/>
      <c r="AA17" s="32">
        <v>1</v>
      </c>
      <c r="AB17" s="32"/>
      <c r="AC17" s="24"/>
      <c r="AD17" s="25">
        <f t="shared" si="16"/>
        <v>0</v>
      </c>
      <c r="AE17" s="25">
        <f t="shared" si="9"/>
        <v>1</v>
      </c>
      <c r="AF17" s="25">
        <f t="shared" si="17"/>
        <v>0</v>
      </c>
      <c r="AG17" s="25">
        <f t="shared" si="11"/>
        <v>0</v>
      </c>
      <c r="AH17" s="105">
        <f>AG8+AG16+AG21+AG27+AG31</f>
        <v>0</v>
      </c>
      <c r="AI17" s="108">
        <f>AH17</f>
        <v>0</v>
      </c>
    </row>
    <row r="18" spans="1:35" ht="21" customHeight="1">
      <c r="A18" s="25">
        <v>12</v>
      </c>
      <c r="B18" s="32">
        <v>1</v>
      </c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>
        <v>1</v>
      </c>
      <c r="O18" s="32"/>
      <c r="P18" s="32"/>
      <c r="Q18" s="24"/>
      <c r="R18" s="25">
        <f t="shared" si="14"/>
        <v>0</v>
      </c>
      <c r="S18" s="25">
        <f t="shared" si="5"/>
        <v>0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/>
      <c r="AA18" s="32"/>
      <c r="AB18" s="32">
        <v>1</v>
      </c>
      <c r="AC18" s="24"/>
      <c r="AD18" s="25">
        <f t="shared" si="16"/>
        <v>0</v>
      </c>
      <c r="AE18" s="25">
        <f t="shared" si="9"/>
        <v>0</v>
      </c>
      <c r="AF18" s="25">
        <f t="shared" si="17"/>
        <v>2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/>
      <c r="C19" s="32">
        <v>1</v>
      </c>
      <c r="D19" s="32"/>
      <c r="E19" s="24"/>
      <c r="F19" s="25">
        <f t="shared" si="12"/>
        <v>0</v>
      </c>
      <c r="G19" s="25">
        <f t="shared" si="1"/>
        <v>1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/>
      <c r="O19" s="32">
        <v>1</v>
      </c>
      <c r="P19" s="32"/>
      <c r="Q19" s="24"/>
      <c r="R19" s="25">
        <f t="shared" si="14"/>
        <v>0</v>
      </c>
      <c r="S19" s="25">
        <f t="shared" si="5"/>
        <v>1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>
        <v>1</v>
      </c>
      <c r="AA19" s="32"/>
      <c r="AB19" s="32"/>
      <c r="AC19" s="24"/>
      <c r="AD19" s="25">
        <f t="shared" si="16"/>
        <v>0</v>
      </c>
      <c r="AE19" s="25">
        <f t="shared" si="9"/>
        <v>0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/>
      <c r="C20" s="32">
        <v>1</v>
      </c>
      <c r="D20" s="32"/>
      <c r="E20" s="24"/>
      <c r="F20" s="25">
        <f>B20*2</f>
        <v>0</v>
      </c>
      <c r="G20" s="25">
        <f t="shared" si="1"/>
        <v>1</v>
      </c>
      <c r="H20" s="25">
        <f>D20*0</f>
        <v>0</v>
      </c>
      <c r="I20" s="25">
        <f t="shared" si="3"/>
        <v>0</v>
      </c>
      <c r="J20" s="24"/>
      <c r="K20" s="107" t="s">
        <v>100</v>
      </c>
      <c r="M20" s="25">
        <v>14</v>
      </c>
      <c r="N20" s="32"/>
      <c r="O20" s="32">
        <v>1</v>
      </c>
      <c r="P20" s="32"/>
      <c r="Q20" s="24"/>
      <c r="R20" s="25">
        <f>N20*2</f>
        <v>0</v>
      </c>
      <c r="S20" s="25">
        <f t="shared" si="5"/>
        <v>1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/>
      <c r="AA20" s="32">
        <v>1</v>
      </c>
      <c r="AB20" s="32"/>
      <c r="AC20" s="24"/>
      <c r="AD20" s="25">
        <f>Z20*2</f>
        <v>0</v>
      </c>
      <c r="AE20" s="25">
        <f t="shared" si="9"/>
        <v>1</v>
      </c>
      <c r="AF20" s="25">
        <f>AB20*0</f>
        <v>0</v>
      </c>
      <c r="AG20" s="25">
        <f t="shared" si="11"/>
        <v>0</v>
      </c>
      <c r="AH20" s="24"/>
      <c r="AI20" s="107" t="s">
        <v>100</v>
      </c>
    </row>
    <row r="21" spans="1:35" ht="21" customHeight="1">
      <c r="A21" s="25">
        <v>15</v>
      </c>
      <c r="B21" s="32">
        <v>1</v>
      </c>
      <c r="C21" s="32"/>
      <c r="D21" s="32"/>
      <c r="E21" s="24"/>
      <c r="F21" s="25">
        <f>B21*2</f>
        <v>2</v>
      </c>
      <c r="G21" s="25">
        <f t="shared" si="1"/>
        <v>0</v>
      </c>
      <c r="H21" s="25">
        <f>D21*0</f>
        <v>0</v>
      </c>
      <c r="I21" s="25">
        <f t="shared" si="3"/>
        <v>2</v>
      </c>
      <c r="J21" s="24"/>
      <c r="K21" s="107" t="s">
        <v>101</v>
      </c>
      <c r="M21" s="25">
        <v>15</v>
      </c>
      <c r="N21" s="32"/>
      <c r="O21" s="32"/>
      <c r="P21" s="32">
        <v>1</v>
      </c>
      <c r="Q21" s="24"/>
      <c r="R21" s="25">
        <f>N21*2</f>
        <v>0</v>
      </c>
      <c r="S21" s="25">
        <f t="shared" si="5"/>
        <v>0</v>
      </c>
      <c r="T21" s="25">
        <f>P21*0</f>
        <v>0</v>
      </c>
      <c r="U21" s="25">
        <f t="shared" si="7"/>
        <v>0</v>
      </c>
      <c r="V21" s="24"/>
      <c r="W21" s="107" t="s">
        <v>101</v>
      </c>
      <c r="Y21" s="25">
        <v>15</v>
      </c>
      <c r="Z21" s="32"/>
      <c r="AA21" s="32">
        <v>1</v>
      </c>
      <c r="AB21" s="32"/>
      <c r="AC21" s="24"/>
      <c r="AD21" s="25">
        <f>Z21*2</f>
        <v>0</v>
      </c>
      <c r="AE21" s="25">
        <f t="shared" si="9"/>
        <v>1</v>
      </c>
      <c r="AF21" s="25">
        <f>AB21*0</f>
        <v>0</v>
      </c>
      <c r="AG21" s="25">
        <f t="shared" si="11"/>
        <v>0</v>
      </c>
      <c r="AH21" s="24"/>
      <c r="AI21" s="107" t="s">
        <v>101</v>
      </c>
    </row>
    <row r="22" spans="1:35" ht="21" customHeight="1">
      <c r="A22" s="25">
        <v>16</v>
      </c>
      <c r="B22" s="32"/>
      <c r="C22" s="32">
        <v>1</v>
      </c>
      <c r="D22" s="32"/>
      <c r="E22" s="24"/>
      <c r="F22" s="25">
        <f>B22*0</f>
        <v>0</v>
      </c>
      <c r="G22" s="25">
        <f t="shared" si="1"/>
        <v>1</v>
      </c>
      <c r="H22" s="25">
        <f>D22*2</f>
        <v>0</v>
      </c>
      <c r="I22" s="25">
        <f t="shared" si="3"/>
        <v>0</v>
      </c>
      <c r="J22" s="105">
        <f>I12+I17+I20+I25+I29</f>
        <v>0</v>
      </c>
      <c r="K22" s="108">
        <f>J22</f>
        <v>0</v>
      </c>
      <c r="M22" s="25">
        <v>16</v>
      </c>
      <c r="N22" s="32"/>
      <c r="O22" s="32">
        <v>1</v>
      </c>
      <c r="P22" s="32"/>
      <c r="Q22" s="24"/>
      <c r="R22" s="25">
        <f>N22*0</f>
        <v>0</v>
      </c>
      <c r="S22" s="25">
        <f t="shared" si="5"/>
        <v>1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>
        <v>1</v>
      </c>
      <c r="AA22" s="32"/>
      <c r="AB22" s="32"/>
      <c r="AC22" s="24"/>
      <c r="AD22" s="25">
        <f>Z22*0</f>
        <v>0</v>
      </c>
      <c r="AE22" s="25">
        <f t="shared" si="9"/>
        <v>0</v>
      </c>
      <c r="AF22" s="25">
        <f>AB22*2</f>
        <v>0</v>
      </c>
      <c r="AG22" s="25">
        <f t="shared" si="11"/>
        <v>0</v>
      </c>
      <c r="AH22" s="105">
        <f>AG12+AG17+AG20+AG25+AG29</f>
        <v>0</v>
      </c>
      <c r="AI22" s="108">
        <f>AH22</f>
        <v>0</v>
      </c>
    </row>
    <row r="23" spans="1:35" ht="21" customHeight="1">
      <c r="A23" s="25">
        <v>17</v>
      </c>
      <c r="B23" s="32"/>
      <c r="C23" s="32">
        <v>1</v>
      </c>
      <c r="D23" s="32"/>
      <c r="E23" s="24"/>
      <c r="F23" s="25">
        <f>B23*2</f>
        <v>0</v>
      </c>
      <c r="G23" s="25">
        <f t="shared" si="1"/>
        <v>1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/>
      <c r="O23" s="32">
        <v>1</v>
      </c>
      <c r="P23" s="32"/>
      <c r="Q23" s="24"/>
      <c r="R23" s="25">
        <f>N23*2</f>
        <v>0</v>
      </c>
      <c r="S23" s="25">
        <f t="shared" si="5"/>
        <v>1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/>
      <c r="AA23" s="32">
        <v>1</v>
      </c>
      <c r="AB23" s="32"/>
      <c r="AC23" s="24"/>
      <c r="AD23" s="25">
        <f>Z23*2</f>
        <v>0</v>
      </c>
      <c r="AE23" s="25">
        <f t="shared" si="9"/>
        <v>1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>
        <v>1</v>
      </c>
      <c r="C24" s="32"/>
      <c r="D24" s="32"/>
      <c r="E24" s="24"/>
      <c r="F24" s="25">
        <f>B24*2</f>
        <v>2</v>
      </c>
      <c r="G24" s="25">
        <f t="shared" si="1"/>
        <v>0</v>
      </c>
      <c r="H24" s="25">
        <f>D24*0</f>
        <v>0</v>
      </c>
      <c r="I24" s="25">
        <f t="shared" si="3"/>
        <v>2</v>
      </c>
      <c r="J24" s="24"/>
      <c r="K24" s="25"/>
      <c r="M24" s="25">
        <v>18</v>
      </c>
      <c r="N24" s="32">
        <v>1</v>
      </c>
      <c r="O24" s="32"/>
      <c r="P24" s="32"/>
      <c r="Q24" s="24"/>
      <c r="R24" s="25">
        <f>N24*2</f>
        <v>2</v>
      </c>
      <c r="S24" s="25">
        <f t="shared" si="5"/>
        <v>0</v>
      </c>
      <c r="T24" s="25">
        <f>P24*0</f>
        <v>0</v>
      </c>
      <c r="U24" s="25">
        <f t="shared" si="7"/>
        <v>2</v>
      </c>
      <c r="V24" s="24"/>
      <c r="W24" s="25"/>
      <c r="Y24" s="25">
        <v>18</v>
      </c>
      <c r="Z24" s="32"/>
      <c r="AA24" s="32"/>
      <c r="AB24" s="32">
        <v>1</v>
      </c>
      <c r="AC24" s="24"/>
      <c r="AD24" s="25">
        <f>Z24*2</f>
        <v>0</v>
      </c>
      <c r="AE24" s="25">
        <f t="shared" si="9"/>
        <v>0</v>
      </c>
      <c r="AF24" s="25">
        <f>AB24*0</f>
        <v>0</v>
      </c>
      <c r="AG24" s="25">
        <f t="shared" si="11"/>
        <v>0</v>
      </c>
      <c r="AH24" s="24"/>
      <c r="AI24" s="25"/>
    </row>
    <row r="25" spans="1:35" ht="21" customHeight="1">
      <c r="A25" s="25">
        <v>19</v>
      </c>
      <c r="B25" s="32"/>
      <c r="C25" s="32">
        <v>1</v>
      </c>
      <c r="D25" s="32"/>
      <c r="E25" s="24"/>
      <c r="F25" s="25">
        <f t="shared" ref="F25:F31" si="18">B25*0</f>
        <v>0</v>
      </c>
      <c r="G25" s="25">
        <f t="shared" si="1"/>
        <v>1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>
        <v>1</v>
      </c>
      <c r="O25" s="32"/>
      <c r="P25" s="32"/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>
        <v>1</v>
      </c>
      <c r="AA25" s="32"/>
      <c r="AB25" s="32"/>
      <c r="AC25" s="24"/>
      <c r="AD25" s="25">
        <f t="shared" ref="AD25:AD31" si="22">Z25*0</f>
        <v>0</v>
      </c>
      <c r="AE25" s="25">
        <f t="shared" si="9"/>
        <v>0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>
        <v>1</v>
      </c>
      <c r="D26" s="32"/>
      <c r="E26" s="24"/>
      <c r="F26" s="25">
        <f t="shared" si="18"/>
        <v>0</v>
      </c>
      <c r="G26" s="25">
        <f t="shared" si="1"/>
        <v>1</v>
      </c>
      <c r="H26" s="25">
        <f t="shared" si="19"/>
        <v>0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>
        <v>1</v>
      </c>
      <c r="P26" s="32"/>
      <c r="Q26" s="24"/>
      <c r="R26" s="25">
        <f t="shared" si="20"/>
        <v>0</v>
      </c>
      <c r="S26" s="25">
        <f t="shared" si="5"/>
        <v>1</v>
      </c>
      <c r="T26" s="25">
        <f t="shared" si="21"/>
        <v>0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>
        <v>1</v>
      </c>
      <c r="AB26" s="32"/>
      <c r="AC26" s="24"/>
      <c r="AD26" s="25">
        <f t="shared" si="22"/>
        <v>0</v>
      </c>
      <c r="AE26" s="25">
        <f t="shared" si="9"/>
        <v>1</v>
      </c>
      <c r="AF26" s="25">
        <f t="shared" si="23"/>
        <v>0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/>
      <c r="D27" s="32">
        <v>1</v>
      </c>
      <c r="E27" s="24"/>
      <c r="F27" s="25">
        <f t="shared" si="18"/>
        <v>0</v>
      </c>
      <c r="G27" s="25">
        <f t="shared" si="1"/>
        <v>0</v>
      </c>
      <c r="H27" s="25">
        <f t="shared" si="19"/>
        <v>2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/>
      <c r="O27" s="32"/>
      <c r="P27" s="32">
        <v>1</v>
      </c>
      <c r="Q27" s="24"/>
      <c r="R27" s="25">
        <f t="shared" si="20"/>
        <v>0</v>
      </c>
      <c r="S27" s="25">
        <f t="shared" si="5"/>
        <v>0</v>
      </c>
      <c r="T27" s="25">
        <f t="shared" si="21"/>
        <v>2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/>
      <c r="AA27" s="32">
        <v>1</v>
      </c>
      <c r="AB27" s="32"/>
      <c r="AC27" s="24"/>
      <c r="AD27" s="25">
        <f t="shared" si="22"/>
        <v>0</v>
      </c>
      <c r="AE27" s="25">
        <f t="shared" si="9"/>
        <v>1</v>
      </c>
      <c r="AF27" s="25">
        <f t="shared" si="23"/>
        <v>0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>
        <v>1</v>
      </c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>
        <v>1</v>
      </c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>
        <v>1</v>
      </c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/>
      <c r="C29" s="32"/>
      <c r="D29" s="32">
        <v>1</v>
      </c>
      <c r="E29" s="24"/>
      <c r="F29" s="25">
        <f t="shared" si="18"/>
        <v>0</v>
      </c>
      <c r="G29" s="25">
        <f t="shared" si="1"/>
        <v>0</v>
      </c>
      <c r="H29" s="25">
        <f t="shared" si="19"/>
        <v>2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/>
      <c r="P29" s="32">
        <v>1</v>
      </c>
      <c r="Q29" s="24"/>
      <c r="R29" s="25">
        <f t="shared" si="20"/>
        <v>0</v>
      </c>
      <c r="S29" s="25">
        <f t="shared" si="5"/>
        <v>0</v>
      </c>
      <c r="T29" s="25">
        <f t="shared" si="21"/>
        <v>2</v>
      </c>
      <c r="U29" s="25">
        <f t="shared" si="7"/>
        <v>0</v>
      </c>
      <c r="V29" s="24"/>
      <c r="W29" s="107" t="s">
        <v>104</v>
      </c>
      <c r="Y29" s="25">
        <v>23</v>
      </c>
      <c r="Z29" s="32"/>
      <c r="AA29" s="32"/>
      <c r="AB29" s="32">
        <v>1</v>
      </c>
      <c r="AC29" s="24"/>
      <c r="AD29" s="25">
        <f t="shared" si="22"/>
        <v>0</v>
      </c>
      <c r="AE29" s="25">
        <f t="shared" si="9"/>
        <v>0</v>
      </c>
      <c r="AF29" s="25">
        <f t="shared" si="23"/>
        <v>2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/>
      <c r="C30" s="32">
        <v>1</v>
      </c>
      <c r="D30" s="32"/>
      <c r="E30" s="24"/>
      <c r="F30" s="25">
        <f t="shared" si="18"/>
        <v>0</v>
      </c>
      <c r="G30" s="25">
        <f t="shared" si="1"/>
        <v>1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/>
      <c r="O30" s="32">
        <v>1</v>
      </c>
      <c r="P30" s="32"/>
      <c r="Q30" s="24"/>
      <c r="R30" s="25">
        <f t="shared" si="20"/>
        <v>0</v>
      </c>
      <c r="S30" s="25">
        <f t="shared" si="5"/>
        <v>1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/>
      <c r="AA30" s="32">
        <v>1</v>
      </c>
      <c r="AB30" s="32"/>
      <c r="AC30" s="24"/>
      <c r="AD30" s="25">
        <f t="shared" si="22"/>
        <v>0</v>
      </c>
      <c r="AE30" s="25">
        <f t="shared" si="9"/>
        <v>1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/>
      <c r="D31" s="32">
        <v>1</v>
      </c>
      <c r="E31" s="24"/>
      <c r="F31" s="25">
        <f t="shared" si="18"/>
        <v>0</v>
      </c>
      <c r="G31" s="25">
        <f t="shared" si="1"/>
        <v>0</v>
      </c>
      <c r="H31" s="25">
        <f t="shared" si="19"/>
        <v>2</v>
      </c>
      <c r="I31" s="25">
        <f t="shared" si="3"/>
        <v>0</v>
      </c>
      <c r="J31" s="24"/>
      <c r="K31" s="108">
        <f>K7+K12+K17+K22</f>
        <v>4</v>
      </c>
      <c r="M31" s="25">
        <v>25</v>
      </c>
      <c r="N31" s="32"/>
      <c r="O31" s="32">
        <v>1</v>
      </c>
      <c r="P31" s="32"/>
      <c r="Q31" s="24"/>
      <c r="R31" s="25">
        <f t="shared" si="20"/>
        <v>0</v>
      </c>
      <c r="S31" s="25">
        <f t="shared" si="5"/>
        <v>1</v>
      </c>
      <c r="T31" s="25">
        <f t="shared" si="21"/>
        <v>0</v>
      </c>
      <c r="U31" s="25">
        <f t="shared" si="7"/>
        <v>0</v>
      </c>
      <c r="V31" s="24"/>
      <c r="W31" s="108">
        <f>W7+W12+W17+W22</f>
        <v>2</v>
      </c>
      <c r="Y31" s="25">
        <v>25</v>
      </c>
      <c r="Z31" s="32"/>
      <c r="AA31" s="32"/>
      <c r="AB31" s="32">
        <v>1</v>
      </c>
      <c r="AC31" s="24"/>
      <c r="AD31" s="25">
        <f t="shared" si="22"/>
        <v>0</v>
      </c>
      <c r="AE31" s="25">
        <f t="shared" si="9"/>
        <v>0</v>
      </c>
      <c r="AF31" s="25">
        <f t="shared" si="23"/>
        <v>2</v>
      </c>
      <c r="AG31" s="25">
        <f t="shared" si="11"/>
        <v>0</v>
      </c>
      <c r="AH31" s="24"/>
      <c r="AI31" s="108">
        <f>AI7+AI12+AI17+AI22</f>
        <v>0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/>
  </sheetPr>
  <dimension ref="A1:AI41"/>
  <sheetViews>
    <sheetView topLeftCell="W23" zoomScale="150" workbookViewId="0">
      <selection activeCell="AA31" sqref="AA31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 t="str">
        <f>รายชื่อ!B6</f>
        <v>เด็กชาย</v>
      </c>
      <c r="C3" s="110" t="str">
        <f>รายชื่อ!C6</f>
        <v>กฤษณพล</v>
      </c>
      <c r="D3" s="110" t="str">
        <f>รายชื่อ!D6</f>
        <v>สมศรี</v>
      </c>
      <c r="E3" s="60"/>
      <c r="F3" s="103"/>
      <c r="G3" s="165"/>
      <c r="H3" s="165"/>
      <c r="I3" s="165"/>
      <c r="J3" s="25"/>
      <c r="K3" s="106" t="s">
        <v>29</v>
      </c>
      <c r="M3" s="25" t="s">
        <v>85</v>
      </c>
      <c r="N3" s="110" t="str">
        <f>รายชื่อ!B6</f>
        <v>เด็กชาย</v>
      </c>
      <c r="O3" s="110" t="str">
        <f>รายชื่อ!C6</f>
        <v>กฤษณพล</v>
      </c>
      <c r="P3" s="110" t="str">
        <f>รายชื่อ!D6</f>
        <v>สมศรี</v>
      </c>
      <c r="Q3" s="60"/>
      <c r="R3" s="103"/>
      <c r="S3" s="165"/>
      <c r="T3" s="165"/>
      <c r="U3" s="165"/>
      <c r="V3" s="25"/>
      <c r="W3" s="106" t="s">
        <v>29</v>
      </c>
      <c r="Y3" s="25" t="s">
        <v>85</v>
      </c>
      <c r="Z3" s="110" t="str">
        <f>รายชื่อ!B6</f>
        <v>เด็กชาย</v>
      </c>
      <c r="AA3" s="110" t="str">
        <f>รายชื่อ!C6</f>
        <v>กฤษณพล</v>
      </c>
      <c r="AB3" s="110" t="str">
        <f>รายชื่อ!D6</f>
        <v>สมศรี</v>
      </c>
      <c r="AC3" s="60"/>
      <c r="AD3" s="103"/>
      <c r="AE3" s="165"/>
      <c r="AF3" s="165"/>
      <c r="AG3" s="165"/>
      <c r="AH3" s="25"/>
      <c r="AI3" s="106" t="s">
        <v>29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/>
      <c r="C7" s="32"/>
      <c r="D7" s="32">
        <v>1</v>
      </c>
      <c r="E7" s="24"/>
      <c r="F7" s="25">
        <f t="shared" ref="F7:F12" si="0">B7*0</f>
        <v>0</v>
      </c>
      <c r="G7" s="25">
        <f t="shared" ref="G7:G31" si="1">C7*1</f>
        <v>0</v>
      </c>
      <c r="H7" s="25">
        <f t="shared" ref="H7:H12" si="2">D7*2</f>
        <v>2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>
        <v>1</v>
      </c>
      <c r="O7" s="32"/>
      <c r="P7" s="32"/>
      <c r="Q7" s="24"/>
      <c r="R7" s="25">
        <f t="shared" ref="R7:R12" si="4">N7*0</f>
        <v>0</v>
      </c>
      <c r="S7" s="25">
        <f t="shared" ref="S7:S31" si="5">O7*1</f>
        <v>0</v>
      </c>
      <c r="T7" s="25">
        <f t="shared" ref="T7:T12" si="6">P7*2</f>
        <v>0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/>
      <c r="AB7" s="32">
        <v>1</v>
      </c>
      <c r="AC7" s="24"/>
      <c r="AD7" s="25">
        <f t="shared" ref="AD7:AD12" si="8">Z7*0</f>
        <v>0</v>
      </c>
      <c r="AE7" s="25">
        <f t="shared" ref="AE7:AE31" si="9">AA7*1</f>
        <v>0</v>
      </c>
      <c r="AF7" s="25">
        <f t="shared" ref="AF7:AF12" si="10">AB7*2</f>
        <v>2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/>
      <c r="C8" s="32">
        <v>1</v>
      </c>
      <c r="D8" s="32"/>
      <c r="E8" s="24"/>
      <c r="F8" s="25">
        <f t="shared" si="0"/>
        <v>0</v>
      </c>
      <c r="G8" s="25">
        <f t="shared" si="1"/>
        <v>1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/>
      <c r="O8" s="32"/>
      <c r="P8" s="32">
        <v>1</v>
      </c>
      <c r="Q8" s="24"/>
      <c r="R8" s="25">
        <f t="shared" si="4"/>
        <v>0</v>
      </c>
      <c r="S8" s="25">
        <f t="shared" si="5"/>
        <v>0</v>
      </c>
      <c r="T8" s="25">
        <f t="shared" si="6"/>
        <v>2</v>
      </c>
      <c r="U8" s="25">
        <f t="shared" si="7"/>
        <v>0</v>
      </c>
      <c r="V8" s="24"/>
      <c r="W8" s="25"/>
      <c r="Y8" s="25">
        <v>2</v>
      </c>
      <c r="Z8" s="32"/>
      <c r="AA8" s="32">
        <v>1</v>
      </c>
      <c r="AB8" s="32"/>
      <c r="AC8" s="24"/>
      <c r="AD8" s="25">
        <f t="shared" si="8"/>
        <v>0</v>
      </c>
      <c r="AE8" s="25">
        <f t="shared" si="9"/>
        <v>1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>
        <v>1</v>
      </c>
      <c r="C9" s="32"/>
      <c r="D9" s="32"/>
      <c r="E9" s="24"/>
      <c r="F9" s="25">
        <f t="shared" si="0"/>
        <v>0</v>
      </c>
      <c r="G9" s="25">
        <f t="shared" si="1"/>
        <v>0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/>
      <c r="O9" s="32">
        <v>1</v>
      </c>
      <c r="P9" s="32"/>
      <c r="Q9" s="24"/>
      <c r="R9" s="25">
        <f t="shared" si="4"/>
        <v>0</v>
      </c>
      <c r="S9" s="25">
        <f t="shared" si="5"/>
        <v>1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/>
      <c r="AA9" s="32"/>
      <c r="AB9" s="32">
        <v>1</v>
      </c>
      <c r="AC9" s="24"/>
      <c r="AD9" s="25">
        <f t="shared" si="8"/>
        <v>0</v>
      </c>
      <c r="AE9" s="25">
        <f t="shared" si="9"/>
        <v>0</v>
      </c>
      <c r="AF9" s="25">
        <f t="shared" si="10"/>
        <v>2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/>
      <c r="D10" s="32">
        <v>1</v>
      </c>
      <c r="E10" s="24"/>
      <c r="F10" s="25">
        <f t="shared" si="0"/>
        <v>0</v>
      </c>
      <c r="G10" s="25">
        <f t="shared" si="1"/>
        <v>0</v>
      </c>
      <c r="H10" s="25">
        <f t="shared" si="2"/>
        <v>2</v>
      </c>
      <c r="I10" s="25">
        <f t="shared" si="3"/>
        <v>0</v>
      </c>
      <c r="J10" s="24"/>
      <c r="K10" s="107" t="s">
        <v>96</v>
      </c>
      <c r="M10" s="25">
        <v>4</v>
      </c>
      <c r="N10" s="32">
        <v>1</v>
      </c>
      <c r="O10" s="32"/>
      <c r="P10" s="32"/>
      <c r="Q10" s="24"/>
      <c r="R10" s="25">
        <f t="shared" si="4"/>
        <v>0</v>
      </c>
      <c r="S10" s="25">
        <f t="shared" si="5"/>
        <v>0</v>
      </c>
      <c r="T10" s="25">
        <f t="shared" si="6"/>
        <v>0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/>
      <c r="AB10" s="32">
        <v>1</v>
      </c>
      <c r="AC10" s="24"/>
      <c r="AD10" s="25">
        <f t="shared" si="8"/>
        <v>0</v>
      </c>
      <c r="AE10" s="25">
        <f t="shared" si="9"/>
        <v>0</v>
      </c>
      <c r="AF10" s="25">
        <f t="shared" si="10"/>
        <v>2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/>
      <c r="C11" s="32"/>
      <c r="D11" s="32">
        <v>1</v>
      </c>
      <c r="E11" s="24"/>
      <c r="F11" s="25">
        <f t="shared" si="0"/>
        <v>0</v>
      </c>
      <c r="G11" s="25">
        <f t="shared" si="1"/>
        <v>0</v>
      </c>
      <c r="H11" s="25">
        <f t="shared" si="2"/>
        <v>2</v>
      </c>
      <c r="I11" s="25">
        <f t="shared" si="3"/>
        <v>0</v>
      </c>
      <c r="J11" s="24"/>
      <c r="K11" s="107" t="s">
        <v>97</v>
      </c>
      <c r="M11" s="25">
        <v>5</v>
      </c>
      <c r="N11" s="32"/>
      <c r="O11" s="32"/>
      <c r="P11" s="32">
        <v>1</v>
      </c>
      <c r="Q11" s="24"/>
      <c r="R11" s="25">
        <f t="shared" si="4"/>
        <v>0</v>
      </c>
      <c r="S11" s="25">
        <f t="shared" si="5"/>
        <v>0</v>
      </c>
      <c r="T11" s="25">
        <f t="shared" si="6"/>
        <v>2</v>
      </c>
      <c r="U11" s="25">
        <f t="shared" si="7"/>
        <v>0</v>
      </c>
      <c r="V11" s="24"/>
      <c r="W11" s="107" t="s">
        <v>97</v>
      </c>
      <c r="Y11" s="25">
        <v>5</v>
      </c>
      <c r="Z11" s="32"/>
      <c r="AA11" s="32"/>
      <c r="AB11" s="32">
        <v>1</v>
      </c>
      <c r="AC11" s="24"/>
      <c r="AD11" s="25">
        <f t="shared" si="8"/>
        <v>0</v>
      </c>
      <c r="AE11" s="25">
        <f t="shared" si="9"/>
        <v>0</v>
      </c>
      <c r="AF11" s="25">
        <f t="shared" si="10"/>
        <v>2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>
        <v>1</v>
      </c>
      <c r="C12" s="32"/>
      <c r="D12" s="32"/>
      <c r="E12" s="24"/>
      <c r="F12" s="25">
        <f t="shared" si="0"/>
        <v>0</v>
      </c>
      <c r="G12" s="25">
        <f t="shared" si="1"/>
        <v>0</v>
      </c>
      <c r="H12" s="25">
        <f t="shared" si="2"/>
        <v>0</v>
      </c>
      <c r="I12" s="25">
        <f t="shared" si="3"/>
        <v>0</v>
      </c>
      <c r="J12" s="105">
        <f>I11+I13+I18+I24+I28</f>
        <v>0</v>
      </c>
      <c r="K12" s="108">
        <f>J12</f>
        <v>0</v>
      </c>
      <c r="M12" s="25">
        <v>6</v>
      </c>
      <c r="N12" s="32">
        <v>1</v>
      </c>
      <c r="O12" s="32"/>
      <c r="P12" s="32"/>
      <c r="Q12" s="24"/>
      <c r="R12" s="25">
        <f t="shared" si="4"/>
        <v>0</v>
      </c>
      <c r="S12" s="25">
        <f t="shared" si="5"/>
        <v>0</v>
      </c>
      <c r="T12" s="25">
        <f t="shared" si="6"/>
        <v>0</v>
      </c>
      <c r="U12" s="25">
        <f t="shared" si="7"/>
        <v>0</v>
      </c>
      <c r="V12" s="105">
        <f>U11+U13+U18+U24+U28</f>
        <v>2</v>
      </c>
      <c r="W12" s="108">
        <f>V12</f>
        <v>2</v>
      </c>
      <c r="Y12" s="25">
        <v>6</v>
      </c>
      <c r="Z12" s="32">
        <v>1</v>
      </c>
      <c r="AA12" s="32"/>
      <c r="AB12" s="32"/>
      <c r="AC12" s="24"/>
      <c r="AD12" s="25">
        <f t="shared" si="8"/>
        <v>0</v>
      </c>
      <c r="AE12" s="25">
        <f t="shared" si="9"/>
        <v>0</v>
      </c>
      <c r="AF12" s="25">
        <f t="shared" si="10"/>
        <v>0</v>
      </c>
      <c r="AG12" s="25">
        <f t="shared" si="11"/>
        <v>0</v>
      </c>
      <c r="AH12" s="105">
        <f>AG11+AG13+AG18+AG24+AG28</f>
        <v>0</v>
      </c>
      <c r="AI12" s="108">
        <f>AH12</f>
        <v>0</v>
      </c>
    </row>
    <row r="13" spans="1:35" ht="21" customHeight="1">
      <c r="A13" s="25">
        <v>7</v>
      </c>
      <c r="B13" s="32"/>
      <c r="C13" s="32">
        <v>1</v>
      </c>
      <c r="D13" s="32"/>
      <c r="E13" s="24"/>
      <c r="F13" s="25">
        <f>B13*2</f>
        <v>0</v>
      </c>
      <c r="G13" s="25">
        <f t="shared" si="1"/>
        <v>1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>
        <v>1</v>
      </c>
      <c r="O13" s="32"/>
      <c r="P13" s="32"/>
      <c r="Q13" s="24"/>
      <c r="R13" s="25">
        <f>N13*2</f>
        <v>2</v>
      </c>
      <c r="S13" s="25">
        <f t="shared" si="5"/>
        <v>0</v>
      </c>
      <c r="T13" s="25">
        <f>P13*0</f>
        <v>0</v>
      </c>
      <c r="U13" s="25">
        <f t="shared" si="7"/>
        <v>2</v>
      </c>
      <c r="V13" s="24"/>
      <c r="W13" s="25"/>
      <c r="Y13" s="25">
        <v>7</v>
      </c>
      <c r="Z13" s="32"/>
      <c r="AA13" s="32">
        <v>1</v>
      </c>
      <c r="AB13" s="32"/>
      <c r="AC13" s="24"/>
      <c r="AD13" s="25">
        <f>Z13*2</f>
        <v>0</v>
      </c>
      <c r="AE13" s="25">
        <f t="shared" si="9"/>
        <v>1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/>
      <c r="C14" s="32">
        <v>1</v>
      </c>
      <c r="D14" s="32"/>
      <c r="E14" s="24"/>
      <c r="F14" s="25">
        <f t="shared" ref="F14:F19" si="12">B14*0</f>
        <v>0</v>
      </c>
      <c r="G14" s="25">
        <f t="shared" si="1"/>
        <v>1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/>
      <c r="O14" s="32"/>
      <c r="P14" s="32">
        <v>1</v>
      </c>
      <c r="Q14" s="24"/>
      <c r="R14" s="25">
        <f t="shared" ref="R14:R19" si="14">N14*0</f>
        <v>0</v>
      </c>
      <c r="S14" s="25">
        <f t="shared" si="5"/>
        <v>0</v>
      </c>
      <c r="T14" s="25">
        <f t="shared" ref="T14:T19" si="15">P14*2</f>
        <v>2</v>
      </c>
      <c r="U14" s="25">
        <f t="shared" si="7"/>
        <v>0</v>
      </c>
      <c r="V14" s="24"/>
      <c r="W14" s="25"/>
      <c r="Y14" s="25">
        <v>8</v>
      </c>
      <c r="Z14" s="32"/>
      <c r="AA14" s="32">
        <v>1</v>
      </c>
      <c r="AB14" s="32"/>
      <c r="AC14" s="24"/>
      <c r="AD14" s="25">
        <f t="shared" ref="AD14:AD19" si="16">Z14*0</f>
        <v>0</v>
      </c>
      <c r="AE14" s="25">
        <f t="shared" si="9"/>
        <v>1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/>
      <c r="D15" s="32">
        <v>1</v>
      </c>
      <c r="E15" s="24"/>
      <c r="F15" s="25">
        <f t="shared" si="12"/>
        <v>0</v>
      </c>
      <c r="G15" s="25">
        <f t="shared" si="1"/>
        <v>0</v>
      </c>
      <c r="H15" s="25">
        <f t="shared" si="13"/>
        <v>2</v>
      </c>
      <c r="I15" s="25">
        <f t="shared" si="3"/>
        <v>0</v>
      </c>
      <c r="J15" s="24"/>
      <c r="K15" s="107" t="s">
        <v>98</v>
      </c>
      <c r="M15" s="25">
        <v>9</v>
      </c>
      <c r="N15" s="32">
        <v>1</v>
      </c>
      <c r="O15" s="32"/>
      <c r="P15" s="32"/>
      <c r="Q15" s="24"/>
      <c r="R15" s="25">
        <f t="shared" si="14"/>
        <v>0</v>
      </c>
      <c r="S15" s="25">
        <f t="shared" si="5"/>
        <v>0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/>
      <c r="AA15" s="32"/>
      <c r="AB15" s="32">
        <v>1</v>
      </c>
      <c r="AC15" s="24"/>
      <c r="AD15" s="25">
        <f t="shared" si="16"/>
        <v>0</v>
      </c>
      <c r="AE15" s="25">
        <f t="shared" si="9"/>
        <v>0</v>
      </c>
      <c r="AF15" s="25">
        <f t="shared" si="17"/>
        <v>2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/>
      <c r="C16" s="32"/>
      <c r="D16" s="32">
        <v>1</v>
      </c>
      <c r="E16" s="24"/>
      <c r="F16" s="25">
        <f t="shared" si="12"/>
        <v>0</v>
      </c>
      <c r="G16" s="25">
        <f t="shared" si="1"/>
        <v>0</v>
      </c>
      <c r="H16" s="25">
        <f t="shared" si="13"/>
        <v>2</v>
      </c>
      <c r="I16" s="25">
        <f t="shared" si="3"/>
        <v>0</v>
      </c>
      <c r="J16" s="24"/>
      <c r="K16" s="107" t="s">
        <v>99</v>
      </c>
      <c r="M16" s="25">
        <v>10</v>
      </c>
      <c r="N16" s="32"/>
      <c r="O16" s="32"/>
      <c r="P16" s="32">
        <v>1</v>
      </c>
      <c r="Q16" s="24"/>
      <c r="R16" s="25">
        <f t="shared" si="14"/>
        <v>0</v>
      </c>
      <c r="S16" s="25">
        <f t="shared" si="5"/>
        <v>0</v>
      </c>
      <c r="T16" s="25">
        <f t="shared" si="15"/>
        <v>2</v>
      </c>
      <c r="U16" s="25">
        <f t="shared" si="7"/>
        <v>0</v>
      </c>
      <c r="V16" s="24"/>
      <c r="W16" s="107" t="s">
        <v>99</v>
      </c>
      <c r="Y16" s="25">
        <v>10</v>
      </c>
      <c r="Z16" s="32"/>
      <c r="AA16" s="32"/>
      <c r="AB16" s="32">
        <v>1</v>
      </c>
      <c r="AC16" s="24"/>
      <c r="AD16" s="25">
        <f t="shared" si="16"/>
        <v>0</v>
      </c>
      <c r="AE16" s="25">
        <f t="shared" si="9"/>
        <v>0</v>
      </c>
      <c r="AF16" s="25">
        <f t="shared" si="17"/>
        <v>2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/>
      <c r="D17" s="32">
        <v>1</v>
      </c>
      <c r="E17" s="24"/>
      <c r="F17" s="25">
        <f t="shared" si="12"/>
        <v>0</v>
      </c>
      <c r="G17" s="25">
        <f t="shared" si="1"/>
        <v>0</v>
      </c>
      <c r="H17" s="25">
        <f t="shared" si="13"/>
        <v>2</v>
      </c>
      <c r="I17" s="25">
        <f t="shared" si="3"/>
        <v>0</v>
      </c>
      <c r="J17" s="105">
        <f>I8+I16+I21+I27+I31</f>
        <v>0</v>
      </c>
      <c r="K17" s="108">
        <f>J17</f>
        <v>0</v>
      </c>
      <c r="M17" s="25">
        <v>11</v>
      </c>
      <c r="N17" s="32"/>
      <c r="O17" s="32"/>
      <c r="P17" s="32">
        <v>1</v>
      </c>
      <c r="Q17" s="24"/>
      <c r="R17" s="25">
        <f t="shared" si="14"/>
        <v>0</v>
      </c>
      <c r="S17" s="25">
        <f t="shared" si="5"/>
        <v>0</v>
      </c>
      <c r="T17" s="25">
        <f t="shared" si="15"/>
        <v>2</v>
      </c>
      <c r="U17" s="25">
        <f t="shared" si="7"/>
        <v>0</v>
      </c>
      <c r="V17" s="105">
        <f>U8+U16+U21+U27+U31</f>
        <v>0</v>
      </c>
      <c r="W17" s="108">
        <f>V17</f>
        <v>0</v>
      </c>
      <c r="Y17" s="25">
        <v>11</v>
      </c>
      <c r="Z17" s="32"/>
      <c r="AA17" s="32">
        <v>1</v>
      </c>
      <c r="AB17" s="32"/>
      <c r="AC17" s="24"/>
      <c r="AD17" s="25">
        <f t="shared" si="16"/>
        <v>0</v>
      </c>
      <c r="AE17" s="25">
        <f t="shared" si="9"/>
        <v>1</v>
      </c>
      <c r="AF17" s="25">
        <f t="shared" si="17"/>
        <v>0</v>
      </c>
      <c r="AG17" s="25">
        <f t="shared" si="11"/>
        <v>0</v>
      </c>
      <c r="AH17" s="105">
        <f>AG8+AG16+AG21+AG27+AG31</f>
        <v>0</v>
      </c>
      <c r="AI17" s="108">
        <f>AH17</f>
        <v>0</v>
      </c>
    </row>
    <row r="18" spans="1:35" ht="21" customHeight="1">
      <c r="A18" s="25">
        <v>12</v>
      </c>
      <c r="B18" s="32"/>
      <c r="C18" s="32">
        <v>1</v>
      </c>
      <c r="D18" s="32"/>
      <c r="E18" s="24"/>
      <c r="F18" s="25">
        <f t="shared" si="12"/>
        <v>0</v>
      </c>
      <c r="G18" s="25">
        <f t="shared" si="1"/>
        <v>1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/>
      <c r="O18" s="32"/>
      <c r="P18" s="32">
        <v>1</v>
      </c>
      <c r="Q18" s="24"/>
      <c r="R18" s="25">
        <f t="shared" si="14"/>
        <v>0</v>
      </c>
      <c r="S18" s="25">
        <f t="shared" si="5"/>
        <v>0</v>
      </c>
      <c r="T18" s="25">
        <f t="shared" si="15"/>
        <v>2</v>
      </c>
      <c r="U18" s="25">
        <f t="shared" si="7"/>
        <v>0</v>
      </c>
      <c r="V18" s="24"/>
      <c r="W18" s="25"/>
      <c r="Y18" s="25">
        <v>12</v>
      </c>
      <c r="Z18" s="32"/>
      <c r="AA18" s="32"/>
      <c r="AB18" s="32">
        <v>1</v>
      </c>
      <c r="AC18" s="24"/>
      <c r="AD18" s="25">
        <f t="shared" si="16"/>
        <v>0</v>
      </c>
      <c r="AE18" s="25">
        <f t="shared" si="9"/>
        <v>0</v>
      </c>
      <c r="AF18" s="25">
        <f t="shared" si="17"/>
        <v>2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>
        <v>1</v>
      </c>
      <c r="C19" s="32"/>
      <c r="D19" s="32"/>
      <c r="E19" s="24"/>
      <c r="F19" s="25">
        <f t="shared" si="12"/>
        <v>0</v>
      </c>
      <c r="G19" s="25">
        <f t="shared" si="1"/>
        <v>0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>
        <v>1</v>
      </c>
      <c r="O19" s="32"/>
      <c r="P19" s="32"/>
      <c r="Q19" s="24"/>
      <c r="R19" s="25">
        <f t="shared" si="14"/>
        <v>0</v>
      </c>
      <c r="S19" s="25">
        <f t="shared" si="5"/>
        <v>0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/>
      <c r="AA19" s="32">
        <v>1</v>
      </c>
      <c r="AB19" s="32"/>
      <c r="AC19" s="24"/>
      <c r="AD19" s="25">
        <f t="shared" si="16"/>
        <v>0</v>
      </c>
      <c r="AE19" s="25">
        <f t="shared" si="9"/>
        <v>1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/>
      <c r="C20" s="32">
        <v>1</v>
      </c>
      <c r="D20" s="32"/>
      <c r="E20" s="24"/>
      <c r="F20" s="25">
        <f>B20*2</f>
        <v>0</v>
      </c>
      <c r="G20" s="25">
        <f t="shared" si="1"/>
        <v>1</v>
      </c>
      <c r="H20" s="25">
        <f>D20*0</f>
        <v>0</v>
      </c>
      <c r="I20" s="25">
        <f t="shared" si="3"/>
        <v>0</v>
      </c>
      <c r="J20" s="24"/>
      <c r="K20" s="107" t="s">
        <v>100</v>
      </c>
      <c r="M20" s="25">
        <v>14</v>
      </c>
      <c r="N20" s="32">
        <v>1</v>
      </c>
      <c r="O20" s="32"/>
      <c r="P20" s="32"/>
      <c r="Q20" s="24"/>
      <c r="R20" s="25">
        <f>N20*2</f>
        <v>2</v>
      </c>
      <c r="S20" s="25">
        <f t="shared" si="5"/>
        <v>0</v>
      </c>
      <c r="T20" s="25">
        <f>P20*0</f>
        <v>0</v>
      </c>
      <c r="U20" s="25">
        <f t="shared" si="7"/>
        <v>2</v>
      </c>
      <c r="V20" s="24"/>
      <c r="W20" s="107" t="s">
        <v>100</v>
      </c>
      <c r="Y20" s="25">
        <v>14</v>
      </c>
      <c r="Z20" s="32"/>
      <c r="AA20" s="32"/>
      <c r="AB20" s="32">
        <v>1</v>
      </c>
      <c r="AC20" s="24"/>
      <c r="AD20" s="25">
        <f>Z20*2</f>
        <v>0</v>
      </c>
      <c r="AE20" s="25">
        <f t="shared" si="9"/>
        <v>0</v>
      </c>
      <c r="AF20" s="25">
        <f>AB20*0</f>
        <v>0</v>
      </c>
      <c r="AG20" s="25">
        <f t="shared" si="11"/>
        <v>0</v>
      </c>
      <c r="AH20" s="24"/>
      <c r="AI20" s="107" t="s">
        <v>100</v>
      </c>
    </row>
    <row r="21" spans="1:35" ht="21" customHeight="1">
      <c r="A21" s="25">
        <v>15</v>
      </c>
      <c r="B21" s="32"/>
      <c r="C21" s="32"/>
      <c r="D21" s="32">
        <v>1</v>
      </c>
      <c r="E21" s="24"/>
      <c r="F21" s="25">
        <f>B21*2</f>
        <v>0</v>
      </c>
      <c r="G21" s="25">
        <f t="shared" si="1"/>
        <v>0</v>
      </c>
      <c r="H21" s="25">
        <f>D21*0</f>
        <v>0</v>
      </c>
      <c r="I21" s="25">
        <f t="shared" si="3"/>
        <v>0</v>
      </c>
      <c r="J21" s="24"/>
      <c r="K21" s="107" t="s">
        <v>101</v>
      </c>
      <c r="M21" s="25">
        <v>15</v>
      </c>
      <c r="N21" s="32"/>
      <c r="O21" s="32"/>
      <c r="P21" s="32">
        <v>1</v>
      </c>
      <c r="Q21" s="24"/>
      <c r="R21" s="25">
        <f>N21*2</f>
        <v>0</v>
      </c>
      <c r="S21" s="25">
        <f t="shared" si="5"/>
        <v>0</v>
      </c>
      <c r="T21" s="25">
        <f>P21*0</f>
        <v>0</v>
      </c>
      <c r="U21" s="25">
        <f t="shared" si="7"/>
        <v>0</v>
      </c>
      <c r="V21" s="24"/>
      <c r="W21" s="107" t="s">
        <v>101</v>
      </c>
      <c r="Y21" s="25">
        <v>15</v>
      </c>
      <c r="Z21" s="32"/>
      <c r="AA21" s="32"/>
      <c r="AB21" s="32">
        <v>1</v>
      </c>
      <c r="AC21" s="24"/>
      <c r="AD21" s="25">
        <f>Z21*2</f>
        <v>0</v>
      </c>
      <c r="AE21" s="25">
        <f t="shared" si="9"/>
        <v>0</v>
      </c>
      <c r="AF21" s="25">
        <f>AB21*0</f>
        <v>0</v>
      </c>
      <c r="AG21" s="25">
        <f t="shared" si="11"/>
        <v>0</v>
      </c>
      <c r="AH21" s="24"/>
      <c r="AI21" s="107" t="s">
        <v>101</v>
      </c>
    </row>
    <row r="22" spans="1:35" ht="21" customHeight="1">
      <c r="A22" s="25">
        <v>16</v>
      </c>
      <c r="B22" s="32">
        <v>1</v>
      </c>
      <c r="C22" s="32"/>
      <c r="D22" s="32"/>
      <c r="E22" s="24"/>
      <c r="F22" s="25">
        <f>B22*0</f>
        <v>0</v>
      </c>
      <c r="G22" s="25">
        <f t="shared" si="1"/>
        <v>0</v>
      </c>
      <c r="H22" s="25">
        <f>D22*2</f>
        <v>0</v>
      </c>
      <c r="I22" s="25">
        <f t="shared" si="3"/>
        <v>0</v>
      </c>
      <c r="J22" s="105">
        <f>I12+I17+I20+I25+I29</f>
        <v>0</v>
      </c>
      <c r="K22" s="108">
        <f>J22</f>
        <v>0</v>
      </c>
      <c r="M22" s="25">
        <v>16</v>
      </c>
      <c r="N22" s="32"/>
      <c r="O22" s="32">
        <v>1</v>
      </c>
      <c r="P22" s="32"/>
      <c r="Q22" s="24"/>
      <c r="R22" s="25">
        <f>N22*0</f>
        <v>0</v>
      </c>
      <c r="S22" s="25">
        <f t="shared" si="5"/>
        <v>1</v>
      </c>
      <c r="T22" s="25">
        <f>P22*2</f>
        <v>0</v>
      </c>
      <c r="U22" s="25">
        <f t="shared" si="7"/>
        <v>0</v>
      </c>
      <c r="V22" s="105">
        <f>U12+U17+U20+U25+U29</f>
        <v>2</v>
      </c>
      <c r="W22" s="108">
        <f>V22</f>
        <v>2</v>
      </c>
      <c r="Y22" s="25">
        <v>16</v>
      </c>
      <c r="Z22" s="32">
        <v>1</v>
      </c>
      <c r="AA22" s="32"/>
      <c r="AB22" s="32"/>
      <c r="AC22" s="24"/>
      <c r="AD22" s="25">
        <f>Z22*0</f>
        <v>0</v>
      </c>
      <c r="AE22" s="25">
        <f t="shared" si="9"/>
        <v>0</v>
      </c>
      <c r="AF22" s="25">
        <f>AB22*2</f>
        <v>0</v>
      </c>
      <c r="AG22" s="25">
        <f t="shared" si="11"/>
        <v>0</v>
      </c>
      <c r="AH22" s="105">
        <f>AG12+AG17+AG20+AG25+AG29</f>
        <v>0</v>
      </c>
      <c r="AI22" s="108">
        <f>AH22</f>
        <v>0</v>
      </c>
    </row>
    <row r="23" spans="1:35" ht="21" customHeight="1">
      <c r="A23" s="25">
        <v>17</v>
      </c>
      <c r="B23" s="32"/>
      <c r="C23" s="32"/>
      <c r="D23" s="32">
        <v>1</v>
      </c>
      <c r="E23" s="24"/>
      <c r="F23" s="25">
        <f>B23*2</f>
        <v>0</v>
      </c>
      <c r="G23" s="25">
        <f t="shared" si="1"/>
        <v>0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/>
      <c r="O23" s="32">
        <v>1</v>
      </c>
      <c r="P23" s="32"/>
      <c r="Q23" s="24"/>
      <c r="R23" s="25">
        <f>N23*2</f>
        <v>0</v>
      </c>
      <c r="S23" s="25">
        <f t="shared" si="5"/>
        <v>1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/>
      <c r="AA23" s="32"/>
      <c r="AB23" s="32">
        <v>1</v>
      </c>
      <c r="AC23" s="24"/>
      <c r="AD23" s="25">
        <f>Z23*2</f>
        <v>0</v>
      </c>
      <c r="AE23" s="25">
        <f t="shared" si="9"/>
        <v>0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/>
      <c r="C24" s="32">
        <v>1</v>
      </c>
      <c r="D24" s="32"/>
      <c r="E24" s="24"/>
      <c r="F24" s="25">
        <f>B24*2</f>
        <v>0</v>
      </c>
      <c r="G24" s="25">
        <f t="shared" si="1"/>
        <v>1</v>
      </c>
      <c r="H24" s="25">
        <f>D24*0</f>
        <v>0</v>
      </c>
      <c r="I24" s="25">
        <f t="shared" si="3"/>
        <v>0</v>
      </c>
      <c r="J24" s="24"/>
      <c r="K24" s="25"/>
      <c r="M24" s="25">
        <v>18</v>
      </c>
      <c r="N24" s="32"/>
      <c r="O24" s="32">
        <v>1</v>
      </c>
      <c r="P24" s="32"/>
      <c r="Q24" s="24"/>
      <c r="R24" s="25">
        <f>N24*2</f>
        <v>0</v>
      </c>
      <c r="S24" s="25">
        <f t="shared" si="5"/>
        <v>1</v>
      </c>
      <c r="T24" s="25">
        <f>P24*0</f>
        <v>0</v>
      </c>
      <c r="U24" s="25">
        <f t="shared" si="7"/>
        <v>0</v>
      </c>
      <c r="V24" s="24"/>
      <c r="W24" s="25"/>
      <c r="Y24" s="25">
        <v>18</v>
      </c>
      <c r="Z24" s="32"/>
      <c r="AA24" s="32">
        <v>1</v>
      </c>
      <c r="AB24" s="32"/>
      <c r="AC24" s="24"/>
      <c r="AD24" s="25">
        <f>Z24*2</f>
        <v>0</v>
      </c>
      <c r="AE24" s="25">
        <f t="shared" si="9"/>
        <v>1</v>
      </c>
      <c r="AF24" s="25">
        <f>AB24*0</f>
        <v>0</v>
      </c>
      <c r="AG24" s="25">
        <f t="shared" si="11"/>
        <v>0</v>
      </c>
      <c r="AH24" s="24"/>
      <c r="AI24" s="25"/>
    </row>
    <row r="25" spans="1:35" ht="21" customHeight="1">
      <c r="A25" s="25">
        <v>19</v>
      </c>
      <c r="B25" s="32"/>
      <c r="C25" s="32">
        <v>1</v>
      </c>
      <c r="D25" s="32"/>
      <c r="E25" s="24"/>
      <c r="F25" s="25">
        <f t="shared" ref="F25:F31" si="18">B25*0</f>
        <v>0</v>
      </c>
      <c r="G25" s="25">
        <f t="shared" si="1"/>
        <v>1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/>
      <c r="O25" s="32">
        <v>1</v>
      </c>
      <c r="P25" s="32"/>
      <c r="Q25" s="24"/>
      <c r="R25" s="25">
        <f t="shared" ref="R25:R31" si="20">N25*0</f>
        <v>0</v>
      </c>
      <c r="S25" s="25">
        <f t="shared" si="5"/>
        <v>1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/>
      <c r="AA25" s="32">
        <v>1</v>
      </c>
      <c r="AB25" s="32"/>
      <c r="AC25" s="24"/>
      <c r="AD25" s="25">
        <f t="shared" ref="AD25:AD31" si="22">Z25*0</f>
        <v>0</v>
      </c>
      <c r="AE25" s="25">
        <f t="shared" si="9"/>
        <v>1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/>
      <c r="D26" s="32">
        <v>1</v>
      </c>
      <c r="E26" s="24"/>
      <c r="F26" s="25">
        <f t="shared" si="18"/>
        <v>0</v>
      </c>
      <c r="G26" s="25">
        <f t="shared" si="1"/>
        <v>0</v>
      </c>
      <c r="H26" s="25">
        <f t="shared" si="19"/>
        <v>2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>
        <v>1</v>
      </c>
      <c r="P26" s="32"/>
      <c r="Q26" s="24"/>
      <c r="R26" s="25">
        <f t="shared" si="20"/>
        <v>0</v>
      </c>
      <c r="S26" s="25">
        <f t="shared" si="5"/>
        <v>1</v>
      </c>
      <c r="T26" s="25">
        <f t="shared" si="21"/>
        <v>0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/>
      <c r="AB26" s="32">
        <v>1</v>
      </c>
      <c r="AC26" s="24"/>
      <c r="AD26" s="25">
        <f t="shared" si="22"/>
        <v>0</v>
      </c>
      <c r="AE26" s="25">
        <f t="shared" si="9"/>
        <v>0</v>
      </c>
      <c r="AF26" s="25">
        <f t="shared" si="23"/>
        <v>2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>
        <v>1</v>
      </c>
      <c r="D27" s="32"/>
      <c r="E27" s="24"/>
      <c r="F27" s="25">
        <f t="shared" si="18"/>
        <v>0</v>
      </c>
      <c r="G27" s="25">
        <f t="shared" si="1"/>
        <v>1</v>
      </c>
      <c r="H27" s="25">
        <f t="shared" si="19"/>
        <v>0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>
        <v>1</v>
      </c>
      <c r="O27" s="32"/>
      <c r="P27" s="32"/>
      <c r="Q27" s="24"/>
      <c r="R27" s="25">
        <f t="shared" si="20"/>
        <v>0</v>
      </c>
      <c r="S27" s="25">
        <f t="shared" si="5"/>
        <v>0</v>
      </c>
      <c r="T27" s="25">
        <f t="shared" si="21"/>
        <v>0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/>
      <c r="AA27" s="32">
        <v>1</v>
      </c>
      <c r="AB27" s="32"/>
      <c r="AC27" s="24"/>
      <c r="AD27" s="25">
        <f t="shared" si="22"/>
        <v>0</v>
      </c>
      <c r="AE27" s="25">
        <f t="shared" si="9"/>
        <v>1</v>
      </c>
      <c r="AF27" s="25">
        <f t="shared" si="23"/>
        <v>0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>
        <v>1</v>
      </c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>
        <v>1</v>
      </c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>
        <v>1</v>
      </c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/>
      <c r="C29" s="32"/>
      <c r="D29" s="32">
        <v>1</v>
      </c>
      <c r="E29" s="24"/>
      <c r="F29" s="25">
        <f t="shared" si="18"/>
        <v>0</v>
      </c>
      <c r="G29" s="25">
        <f t="shared" si="1"/>
        <v>0</v>
      </c>
      <c r="H29" s="25">
        <f t="shared" si="19"/>
        <v>2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>
        <v>1</v>
      </c>
      <c r="P29" s="32"/>
      <c r="Q29" s="24"/>
      <c r="R29" s="25">
        <f t="shared" si="20"/>
        <v>0</v>
      </c>
      <c r="S29" s="25">
        <f t="shared" si="5"/>
        <v>1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/>
      <c r="AA29" s="32"/>
      <c r="AB29" s="32">
        <v>1</v>
      </c>
      <c r="AC29" s="24"/>
      <c r="AD29" s="25">
        <f t="shared" si="22"/>
        <v>0</v>
      </c>
      <c r="AE29" s="25">
        <f t="shared" si="9"/>
        <v>0</v>
      </c>
      <c r="AF29" s="25">
        <f t="shared" si="23"/>
        <v>2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>
        <v>1</v>
      </c>
      <c r="C30" s="32"/>
      <c r="D30" s="32"/>
      <c r="E30" s="24"/>
      <c r="F30" s="25">
        <f t="shared" si="18"/>
        <v>0</v>
      </c>
      <c r="G30" s="25">
        <f t="shared" si="1"/>
        <v>0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>
        <v>1</v>
      </c>
      <c r="O30" s="32"/>
      <c r="P30" s="32"/>
      <c r="Q30" s="24"/>
      <c r="R30" s="25">
        <f t="shared" si="20"/>
        <v>0</v>
      </c>
      <c r="S30" s="25">
        <f t="shared" si="5"/>
        <v>0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>
        <v>1</v>
      </c>
      <c r="AA30" s="32"/>
      <c r="AB30" s="32"/>
      <c r="AC30" s="24"/>
      <c r="AD30" s="25">
        <f t="shared" si="22"/>
        <v>0</v>
      </c>
      <c r="AE30" s="25">
        <f t="shared" si="9"/>
        <v>0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>
        <v>1</v>
      </c>
      <c r="D31" s="32"/>
      <c r="E31" s="24"/>
      <c r="F31" s="25">
        <f t="shared" si="18"/>
        <v>0</v>
      </c>
      <c r="G31" s="25">
        <f t="shared" si="1"/>
        <v>1</v>
      </c>
      <c r="H31" s="25">
        <f t="shared" si="19"/>
        <v>0</v>
      </c>
      <c r="I31" s="25">
        <f t="shared" si="3"/>
        <v>0</v>
      </c>
      <c r="J31" s="24"/>
      <c r="K31" s="108">
        <f>K7+K12+K17+K22</f>
        <v>0</v>
      </c>
      <c r="M31" s="25">
        <v>25</v>
      </c>
      <c r="N31" s="32">
        <v>1</v>
      </c>
      <c r="O31" s="32"/>
      <c r="P31" s="32"/>
      <c r="Q31" s="24"/>
      <c r="R31" s="25">
        <f t="shared" si="20"/>
        <v>0</v>
      </c>
      <c r="S31" s="25">
        <f t="shared" si="5"/>
        <v>0</v>
      </c>
      <c r="T31" s="25">
        <f t="shared" si="21"/>
        <v>0</v>
      </c>
      <c r="U31" s="25">
        <f t="shared" si="7"/>
        <v>0</v>
      </c>
      <c r="V31" s="24"/>
      <c r="W31" s="108">
        <f>W7+W12+W17+W22</f>
        <v>4</v>
      </c>
      <c r="Y31" s="25">
        <v>25</v>
      </c>
      <c r="Z31" s="32"/>
      <c r="AA31" s="32">
        <v>1</v>
      </c>
      <c r="AB31" s="32"/>
      <c r="AC31" s="24"/>
      <c r="AD31" s="25">
        <f t="shared" si="22"/>
        <v>0</v>
      </c>
      <c r="AE31" s="25">
        <f t="shared" si="9"/>
        <v>1</v>
      </c>
      <c r="AF31" s="25">
        <f t="shared" si="23"/>
        <v>0</v>
      </c>
      <c r="AG31" s="25">
        <f t="shared" si="11"/>
        <v>0</v>
      </c>
      <c r="AH31" s="24"/>
      <c r="AI31" s="108">
        <f>AI7+AI12+AI17+AI22</f>
        <v>0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/>
  </sheetPr>
  <dimension ref="A1:AI41"/>
  <sheetViews>
    <sheetView topLeftCell="W23" zoomScale="150" workbookViewId="0">
      <selection activeCell="AB31" sqref="AB31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 t="str">
        <f>รายชื่อ!B7</f>
        <v>เด็กชาย</v>
      </c>
      <c r="C3" s="110" t="str">
        <f>รายชื่อ!C7</f>
        <v>จักรภัทร</v>
      </c>
      <c r="D3" s="110" t="str">
        <f>รายชื่อ!D7</f>
        <v>วิเศษสุวรรณภูมิ</v>
      </c>
      <c r="E3" s="60"/>
      <c r="F3" s="103"/>
      <c r="G3" s="165"/>
      <c r="H3" s="165"/>
      <c r="I3" s="165"/>
      <c r="J3" s="25"/>
      <c r="K3" s="106" t="s">
        <v>30</v>
      </c>
      <c r="M3" s="25" t="s">
        <v>85</v>
      </c>
      <c r="N3" s="110" t="str">
        <f>รายชื่อ!B7</f>
        <v>เด็กชาย</v>
      </c>
      <c r="O3" s="110" t="str">
        <f>รายชื่อ!C7</f>
        <v>จักรภัทร</v>
      </c>
      <c r="P3" s="110" t="str">
        <f>รายชื่อ!D7</f>
        <v>วิเศษสุวรรณภูมิ</v>
      </c>
      <c r="Q3" s="60"/>
      <c r="R3" s="103"/>
      <c r="S3" s="165"/>
      <c r="T3" s="165"/>
      <c r="U3" s="165"/>
      <c r="V3" s="25"/>
      <c r="W3" s="106" t="s">
        <v>30</v>
      </c>
      <c r="Y3" s="25" t="s">
        <v>85</v>
      </c>
      <c r="Z3" s="110" t="str">
        <f>รายชื่อ!B7</f>
        <v>เด็กชาย</v>
      </c>
      <c r="AA3" s="110" t="str">
        <f>รายชื่อ!C7</f>
        <v>จักรภัทร</v>
      </c>
      <c r="AB3" s="110" t="str">
        <f>รายชื่อ!D7</f>
        <v>วิเศษสุวรรณภูมิ</v>
      </c>
      <c r="AC3" s="60"/>
      <c r="AD3" s="103"/>
      <c r="AE3" s="165"/>
      <c r="AF3" s="165"/>
      <c r="AG3" s="165"/>
      <c r="AH3" s="25"/>
      <c r="AI3" s="106" t="s">
        <v>30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/>
      <c r="C7" s="32">
        <v>1</v>
      </c>
      <c r="D7" s="32"/>
      <c r="E7" s="24"/>
      <c r="F7" s="25">
        <f t="shared" ref="F7:F12" si="0">B7*0</f>
        <v>0</v>
      </c>
      <c r="G7" s="25">
        <f t="shared" ref="G7:G31" si="1">C7*1</f>
        <v>1</v>
      </c>
      <c r="H7" s="25">
        <f t="shared" ref="H7:H12" si="2">D7*2</f>
        <v>0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/>
      <c r="O7" s="32"/>
      <c r="P7" s="32">
        <v>1</v>
      </c>
      <c r="Q7" s="24"/>
      <c r="R7" s="25">
        <f t="shared" ref="R7:R12" si="4">N7*0</f>
        <v>0</v>
      </c>
      <c r="S7" s="25">
        <f t="shared" ref="S7:S31" si="5">O7*1</f>
        <v>0</v>
      </c>
      <c r="T7" s="25">
        <f t="shared" ref="T7:T12" si="6">P7*2</f>
        <v>2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>
        <v>1</v>
      </c>
      <c r="AB7" s="32"/>
      <c r="AC7" s="24"/>
      <c r="AD7" s="25">
        <f t="shared" ref="AD7:AD12" si="8">Z7*0</f>
        <v>0</v>
      </c>
      <c r="AE7" s="25">
        <f t="shared" ref="AE7:AE31" si="9">AA7*1</f>
        <v>1</v>
      </c>
      <c r="AF7" s="25">
        <f t="shared" ref="AF7:AF12" si="10">AB7*2</f>
        <v>0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>
        <v>1</v>
      </c>
      <c r="C8" s="32"/>
      <c r="D8" s="32"/>
      <c r="E8" s="24"/>
      <c r="F8" s="25">
        <f t="shared" si="0"/>
        <v>0</v>
      </c>
      <c r="G8" s="25">
        <f t="shared" si="1"/>
        <v>0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/>
      <c r="O8" s="32">
        <v>1</v>
      </c>
      <c r="P8" s="32"/>
      <c r="Q8" s="24"/>
      <c r="R8" s="25">
        <f t="shared" si="4"/>
        <v>0</v>
      </c>
      <c r="S8" s="25">
        <f t="shared" si="5"/>
        <v>1</v>
      </c>
      <c r="T8" s="25">
        <f t="shared" si="6"/>
        <v>0</v>
      </c>
      <c r="U8" s="25">
        <f t="shared" si="7"/>
        <v>0</v>
      </c>
      <c r="V8" s="24"/>
      <c r="W8" s="25"/>
      <c r="Y8" s="25">
        <v>2</v>
      </c>
      <c r="Z8" s="32">
        <v>1</v>
      </c>
      <c r="AA8" s="32"/>
      <c r="AB8" s="32"/>
      <c r="AC8" s="24"/>
      <c r="AD8" s="25">
        <f t="shared" si="8"/>
        <v>0</v>
      </c>
      <c r="AE8" s="25">
        <f t="shared" si="9"/>
        <v>0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>
        <v>1</v>
      </c>
      <c r="C9" s="32"/>
      <c r="D9" s="32"/>
      <c r="E9" s="24"/>
      <c r="F9" s="25">
        <f t="shared" si="0"/>
        <v>0</v>
      </c>
      <c r="G9" s="25">
        <f t="shared" si="1"/>
        <v>0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>
        <v>1</v>
      </c>
      <c r="O9" s="32"/>
      <c r="P9" s="32"/>
      <c r="Q9" s="24"/>
      <c r="R9" s="25">
        <f t="shared" si="4"/>
        <v>0</v>
      </c>
      <c r="S9" s="25">
        <f t="shared" si="5"/>
        <v>0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>
        <v>1</v>
      </c>
      <c r="AA9" s="32"/>
      <c r="AB9" s="32"/>
      <c r="AC9" s="24"/>
      <c r="AD9" s="25">
        <f t="shared" si="8"/>
        <v>0</v>
      </c>
      <c r="AE9" s="25">
        <f t="shared" si="9"/>
        <v>0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/>
      <c r="D10" s="32">
        <v>1</v>
      </c>
      <c r="E10" s="24"/>
      <c r="F10" s="25">
        <f t="shared" si="0"/>
        <v>0</v>
      </c>
      <c r="G10" s="25">
        <f t="shared" si="1"/>
        <v>0</v>
      </c>
      <c r="H10" s="25">
        <f t="shared" si="2"/>
        <v>2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/>
      <c r="P10" s="32">
        <v>1</v>
      </c>
      <c r="Q10" s="24"/>
      <c r="R10" s="25">
        <f t="shared" si="4"/>
        <v>0</v>
      </c>
      <c r="S10" s="25">
        <f t="shared" si="5"/>
        <v>0</v>
      </c>
      <c r="T10" s="25">
        <f t="shared" si="6"/>
        <v>2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>
        <v>1</v>
      </c>
      <c r="AB10" s="32"/>
      <c r="AC10" s="24"/>
      <c r="AD10" s="25">
        <f t="shared" si="8"/>
        <v>0</v>
      </c>
      <c r="AE10" s="25">
        <f t="shared" si="9"/>
        <v>1</v>
      </c>
      <c r="AF10" s="25">
        <f t="shared" si="10"/>
        <v>0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>
        <v>1</v>
      </c>
      <c r="C11" s="32"/>
      <c r="D11" s="32"/>
      <c r="E11" s="24"/>
      <c r="F11" s="25">
        <f t="shared" si="0"/>
        <v>0</v>
      </c>
      <c r="G11" s="25">
        <f t="shared" si="1"/>
        <v>0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>
        <v>1</v>
      </c>
      <c r="O11" s="32"/>
      <c r="P11" s="32"/>
      <c r="Q11" s="24"/>
      <c r="R11" s="25">
        <f t="shared" si="4"/>
        <v>0</v>
      </c>
      <c r="S11" s="25">
        <f t="shared" si="5"/>
        <v>0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>
        <v>1</v>
      </c>
      <c r="AA11" s="32"/>
      <c r="AB11" s="32"/>
      <c r="AC11" s="24"/>
      <c r="AD11" s="25">
        <f t="shared" si="8"/>
        <v>0</v>
      </c>
      <c r="AE11" s="25">
        <f t="shared" si="9"/>
        <v>0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/>
      <c r="C12" s="32">
        <v>1</v>
      </c>
      <c r="D12" s="32"/>
      <c r="E12" s="24"/>
      <c r="F12" s="25">
        <f t="shared" si="0"/>
        <v>0</v>
      </c>
      <c r="G12" s="25">
        <f t="shared" si="1"/>
        <v>1</v>
      </c>
      <c r="H12" s="25">
        <f t="shared" si="2"/>
        <v>0</v>
      </c>
      <c r="I12" s="25">
        <f t="shared" si="3"/>
        <v>0</v>
      </c>
      <c r="J12" s="105">
        <f>I11+I13+I18+I24+I28</f>
        <v>2</v>
      </c>
      <c r="K12" s="108">
        <f>J12</f>
        <v>2</v>
      </c>
      <c r="M12" s="25">
        <v>6</v>
      </c>
      <c r="N12" s="32">
        <v>1</v>
      </c>
      <c r="O12" s="32"/>
      <c r="P12" s="32"/>
      <c r="Q12" s="24"/>
      <c r="R12" s="25">
        <f t="shared" si="4"/>
        <v>0</v>
      </c>
      <c r="S12" s="25">
        <f t="shared" si="5"/>
        <v>0</v>
      </c>
      <c r="T12" s="25">
        <f t="shared" si="6"/>
        <v>0</v>
      </c>
      <c r="U12" s="25">
        <f t="shared" si="7"/>
        <v>0</v>
      </c>
      <c r="V12" s="105">
        <f>U11+U13+U18+U24+U28</f>
        <v>2</v>
      </c>
      <c r="W12" s="108">
        <f>V12</f>
        <v>2</v>
      </c>
      <c r="Y12" s="25">
        <v>6</v>
      </c>
      <c r="Z12" s="32">
        <v>1</v>
      </c>
      <c r="AA12" s="32"/>
      <c r="AB12" s="32"/>
      <c r="AC12" s="24"/>
      <c r="AD12" s="25">
        <f t="shared" si="8"/>
        <v>0</v>
      </c>
      <c r="AE12" s="25">
        <f t="shared" si="9"/>
        <v>0</v>
      </c>
      <c r="AF12" s="25">
        <f t="shared" si="10"/>
        <v>0</v>
      </c>
      <c r="AG12" s="25">
        <f t="shared" si="11"/>
        <v>0</v>
      </c>
      <c r="AH12" s="105">
        <f>AG11+AG13+AG18+AG24+AG28</f>
        <v>0</v>
      </c>
      <c r="AI12" s="108">
        <f>AH12</f>
        <v>0</v>
      </c>
    </row>
    <row r="13" spans="1:35" ht="21" customHeight="1">
      <c r="A13" s="25">
        <v>7</v>
      </c>
      <c r="B13" s="32"/>
      <c r="C13" s="32"/>
      <c r="D13" s="32">
        <v>1</v>
      </c>
      <c r="E13" s="24"/>
      <c r="F13" s="25">
        <f>B13*2</f>
        <v>0</v>
      </c>
      <c r="G13" s="25">
        <f t="shared" si="1"/>
        <v>0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/>
      <c r="P13" s="32">
        <v>1</v>
      </c>
      <c r="Q13" s="24"/>
      <c r="R13" s="25">
        <f>N13*2</f>
        <v>0</v>
      </c>
      <c r="S13" s="25">
        <f t="shared" si="5"/>
        <v>0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/>
      <c r="AA13" s="32">
        <v>1</v>
      </c>
      <c r="AB13" s="32"/>
      <c r="AC13" s="24"/>
      <c r="AD13" s="25">
        <f>Z13*2</f>
        <v>0</v>
      </c>
      <c r="AE13" s="25">
        <f t="shared" si="9"/>
        <v>1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>
        <v>1</v>
      </c>
      <c r="C14" s="32"/>
      <c r="D14" s="32"/>
      <c r="E14" s="24"/>
      <c r="F14" s="25">
        <f t="shared" ref="F14:F19" si="12">B14*0</f>
        <v>0</v>
      </c>
      <c r="G14" s="25">
        <f t="shared" si="1"/>
        <v>0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>
        <v>1</v>
      </c>
      <c r="O14" s="32"/>
      <c r="P14" s="32"/>
      <c r="Q14" s="24"/>
      <c r="R14" s="25">
        <f t="shared" ref="R14:R19" si="14">N14*0</f>
        <v>0</v>
      </c>
      <c r="S14" s="25">
        <f t="shared" si="5"/>
        <v>0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>
        <v>1</v>
      </c>
      <c r="AA14" s="32"/>
      <c r="AB14" s="32"/>
      <c r="AC14" s="24"/>
      <c r="AD14" s="25">
        <f t="shared" ref="AD14:AD19" si="16">Z14*0</f>
        <v>0</v>
      </c>
      <c r="AE14" s="25">
        <f t="shared" si="9"/>
        <v>0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>
        <v>1</v>
      </c>
      <c r="D15" s="32"/>
      <c r="E15" s="24"/>
      <c r="F15" s="25">
        <f t="shared" si="12"/>
        <v>0</v>
      </c>
      <c r="G15" s="25">
        <f t="shared" si="1"/>
        <v>1</v>
      </c>
      <c r="H15" s="25">
        <f t="shared" si="13"/>
        <v>0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>
        <v>1</v>
      </c>
      <c r="P15" s="32"/>
      <c r="Q15" s="24"/>
      <c r="R15" s="25">
        <f t="shared" si="14"/>
        <v>0</v>
      </c>
      <c r="S15" s="25">
        <f t="shared" si="5"/>
        <v>1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/>
      <c r="AA15" s="32">
        <v>1</v>
      </c>
      <c r="AB15" s="32"/>
      <c r="AC15" s="24"/>
      <c r="AD15" s="25">
        <f t="shared" si="16"/>
        <v>0</v>
      </c>
      <c r="AE15" s="25">
        <f t="shared" si="9"/>
        <v>1</v>
      </c>
      <c r="AF15" s="25">
        <f t="shared" si="17"/>
        <v>0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>
        <v>1</v>
      </c>
      <c r="C16" s="32"/>
      <c r="D16" s="32"/>
      <c r="E16" s="24"/>
      <c r="F16" s="25">
        <f t="shared" si="12"/>
        <v>0</v>
      </c>
      <c r="G16" s="25">
        <f t="shared" si="1"/>
        <v>0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>
        <v>1</v>
      </c>
      <c r="O16" s="32"/>
      <c r="P16" s="32"/>
      <c r="Q16" s="24"/>
      <c r="R16" s="25">
        <f t="shared" si="14"/>
        <v>0</v>
      </c>
      <c r="S16" s="25">
        <f t="shared" si="5"/>
        <v>0</v>
      </c>
      <c r="T16" s="25">
        <f t="shared" si="15"/>
        <v>0</v>
      </c>
      <c r="U16" s="25">
        <f t="shared" si="7"/>
        <v>0</v>
      </c>
      <c r="V16" s="24"/>
      <c r="W16" s="107" t="s">
        <v>99</v>
      </c>
      <c r="Y16" s="25">
        <v>10</v>
      </c>
      <c r="Z16" s="32">
        <v>1</v>
      </c>
      <c r="AA16" s="32"/>
      <c r="AB16" s="32"/>
      <c r="AC16" s="24"/>
      <c r="AD16" s="25">
        <f t="shared" si="16"/>
        <v>0</v>
      </c>
      <c r="AE16" s="25">
        <f t="shared" si="9"/>
        <v>0</v>
      </c>
      <c r="AF16" s="25">
        <f t="shared" si="17"/>
        <v>0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/>
      <c r="D17" s="32">
        <v>1</v>
      </c>
      <c r="E17" s="24"/>
      <c r="F17" s="25">
        <f t="shared" si="12"/>
        <v>0</v>
      </c>
      <c r="G17" s="25">
        <f t="shared" si="1"/>
        <v>0</v>
      </c>
      <c r="H17" s="25">
        <f t="shared" si="13"/>
        <v>2</v>
      </c>
      <c r="I17" s="25">
        <f t="shared" si="3"/>
        <v>0</v>
      </c>
      <c r="J17" s="105">
        <f>I8+I16+I21+I27+I31</f>
        <v>2</v>
      </c>
      <c r="K17" s="108">
        <f>J17</f>
        <v>2</v>
      </c>
      <c r="M17" s="25">
        <v>11</v>
      </c>
      <c r="N17" s="32"/>
      <c r="O17" s="32"/>
      <c r="P17" s="32">
        <v>1</v>
      </c>
      <c r="Q17" s="24"/>
      <c r="R17" s="25">
        <f t="shared" si="14"/>
        <v>0</v>
      </c>
      <c r="S17" s="25">
        <f t="shared" si="5"/>
        <v>0</v>
      </c>
      <c r="T17" s="25">
        <f t="shared" si="15"/>
        <v>2</v>
      </c>
      <c r="U17" s="25">
        <f t="shared" si="7"/>
        <v>0</v>
      </c>
      <c r="V17" s="105">
        <f>U8+U16+U21+U27+U31</f>
        <v>2</v>
      </c>
      <c r="W17" s="108">
        <f>V17</f>
        <v>2</v>
      </c>
      <c r="Y17" s="25">
        <v>11</v>
      </c>
      <c r="Z17" s="32"/>
      <c r="AA17" s="32"/>
      <c r="AB17" s="32">
        <v>1</v>
      </c>
      <c r="AC17" s="24"/>
      <c r="AD17" s="25">
        <f t="shared" si="16"/>
        <v>0</v>
      </c>
      <c r="AE17" s="25">
        <f t="shared" si="9"/>
        <v>0</v>
      </c>
      <c r="AF17" s="25">
        <f t="shared" si="17"/>
        <v>2</v>
      </c>
      <c r="AG17" s="25">
        <f t="shared" si="11"/>
        <v>0</v>
      </c>
      <c r="AH17" s="105">
        <f>AG8+AG16+AG21+AG27+AG31</f>
        <v>2</v>
      </c>
      <c r="AI17" s="108">
        <f>AH17</f>
        <v>2</v>
      </c>
    </row>
    <row r="18" spans="1:35" ht="21" customHeight="1">
      <c r="A18" s="25">
        <v>12</v>
      </c>
      <c r="B18" s="32">
        <v>1</v>
      </c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>
        <v>1</v>
      </c>
      <c r="O18" s="32"/>
      <c r="P18" s="32"/>
      <c r="Q18" s="24"/>
      <c r="R18" s="25">
        <f t="shared" si="14"/>
        <v>0</v>
      </c>
      <c r="S18" s="25">
        <f t="shared" si="5"/>
        <v>0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>
        <v>1</v>
      </c>
      <c r="AA18" s="32"/>
      <c r="AB18" s="32"/>
      <c r="AC18" s="24"/>
      <c r="AD18" s="25">
        <f t="shared" si="16"/>
        <v>0</v>
      </c>
      <c r="AE18" s="25">
        <f t="shared" si="9"/>
        <v>0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>
        <v>1</v>
      </c>
      <c r="C19" s="32"/>
      <c r="D19" s="32"/>
      <c r="E19" s="24"/>
      <c r="F19" s="25">
        <f t="shared" si="12"/>
        <v>0</v>
      </c>
      <c r="G19" s="25">
        <f t="shared" si="1"/>
        <v>0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>
        <v>1</v>
      </c>
      <c r="O19" s="32"/>
      <c r="P19" s="32"/>
      <c r="Q19" s="24"/>
      <c r="R19" s="25">
        <f t="shared" si="14"/>
        <v>0</v>
      </c>
      <c r="S19" s="25">
        <f t="shared" si="5"/>
        <v>0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>
        <v>1</v>
      </c>
      <c r="AA19" s="32"/>
      <c r="AB19" s="32"/>
      <c r="AC19" s="24"/>
      <c r="AD19" s="25">
        <f t="shared" si="16"/>
        <v>0</v>
      </c>
      <c r="AE19" s="25">
        <f t="shared" si="9"/>
        <v>0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/>
      <c r="C20" s="32"/>
      <c r="D20" s="32">
        <v>1</v>
      </c>
      <c r="E20" s="24"/>
      <c r="F20" s="25">
        <f>B20*2</f>
        <v>0</v>
      </c>
      <c r="G20" s="25">
        <f t="shared" si="1"/>
        <v>0</v>
      </c>
      <c r="H20" s="25">
        <f>D20*0</f>
        <v>0</v>
      </c>
      <c r="I20" s="25">
        <f t="shared" si="3"/>
        <v>0</v>
      </c>
      <c r="J20" s="24"/>
      <c r="K20" s="107" t="s">
        <v>100</v>
      </c>
      <c r="M20" s="25">
        <v>14</v>
      </c>
      <c r="N20" s="32"/>
      <c r="O20" s="32"/>
      <c r="P20" s="32">
        <v>1</v>
      </c>
      <c r="Q20" s="24"/>
      <c r="R20" s="25">
        <f>N20*2</f>
        <v>0</v>
      </c>
      <c r="S20" s="25">
        <f t="shared" si="5"/>
        <v>0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/>
      <c r="AA20" s="32">
        <v>1</v>
      </c>
      <c r="AB20" s="32"/>
      <c r="AC20" s="24"/>
      <c r="AD20" s="25">
        <f>Z20*2</f>
        <v>0</v>
      </c>
      <c r="AE20" s="25">
        <f t="shared" si="9"/>
        <v>1</v>
      </c>
      <c r="AF20" s="25">
        <f>AB20*0</f>
        <v>0</v>
      </c>
      <c r="AG20" s="25">
        <f t="shared" si="11"/>
        <v>0</v>
      </c>
      <c r="AH20" s="24"/>
      <c r="AI20" s="107" t="s">
        <v>100</v>
      </c>
    </row>
    <row r="21" spans="1:35" ht="21" customHeight="1">
      <c r="A21" s="25">
        <v>15</v>
      </c>
      <c r="B21" s="32">
        <v>1</v>
      </c>
      <c r="C21" s="32"/>
      <c r="D21" s="32"/>
      <c r="E21" s="24"/>
      <c r="F21" s="25">
        <f>B21*2</f>
        <v>2</v>
      </c>
      <c r="G21" s="25">
        <f t="shared" si="1"/>
        <v>0</v>
      </c>
      <c r="H21" s="25">
        <f>D21*0</f>
        <v>0</v>
      </c>
      <c r="I21" s="25">
        <f t="shared" si="3"/>
        <v>2</v>
      </c>
      <c r="J21" s="24"/>
      <c r="K21" s="107" t="s">
        <v>101</v>
      </c>
      <c r="M21" s="25">
        <v>15</v>
      </c>
      <c r="N21" s="32">
        <v>1</v>
      </c>
      <c r="O21" s="32"/>
      <c r="P21" s="32"/>
      <c r="Q21" s="24"/>
      <c r="R21" s="25">
        <f>N21*2</f>
        <v>2</v>
      </c>
      <c r="S21" s="25">
        <f t="shared" si="5"/>
        <v>0</v>
      </c>
      <c r="T21" s="25">
        <f>P21*0</f>
        <v>0</v>
      </c>
      <c r="U21" s="25">
        <f t="shared" si="7"/>
        <v>2</v>
      </c>
      <c r="V21" s="24"/>
      <c r="W21" s="107" t="s">
        <v>101</v>
      </c>
      <c r="Y21" s="25">
        <v>15</v>
      </c>
      <c r="Z21" s="32">
        <v>1</v>
      </c>
      <c r="AA21" s="32"/>
      <c r="AB21" s="32"/>
      <c r="AC21" s="24"/>
      <c r="AD21" s="25">
        <f>Z21*2</f>
        <v>2</v>
      </c>
      <c r="AE21" s="25">
        <f t="shared" si="9"/>
        <v>0</v>
      </c>
      <c r="AF21" s="25">
        <f>AB21*0</f>
        <v>0</v>
      </c>
      <c r="AG21" s="25">
        <f t="shared" si="11"/>
        <v>2</v>
      </c>
      <c r="AH21" s="24"/>
      <c r="AI21" s="107" t="s">
        <v>101</v>
      </c>
    </row>
    <row r="22" spans="1:35" ht="21" customHeight="1">
      <c r="A22" s="25">
        <v>16</v>
      </c>
      <c r="B22" s="32">
        <v>1</v>
      </c>
      <c r="C22" s="32"/>
      <c r="D22" s="32"/>
      <c r="E22" s="24"/>
      <c r="F22" s="25">
        <f>B22*0</f>
        <v>0</v>
      </c>
      <c r="G22" s="25">
        <f t="shared" si="1"/>
        <v>0</v>
      </c>
      <c r="H22" s="25">
        <f>D22*2</f>
        <v>0</v>
      </c>
      <c r="I22" s="25">
        <f t="shared" si="3"/>
        <v>0</v>
      </c>
      <c r="J22" s="105">
        <f>I12+I17+I20+I25+I29</f>
        <v>0</v>
      </c>
      <c r="K22" s="108">
        <f>J22</f>
        <v>0</v>
      </c>
      <c r="M22" s="25">
        <v>16</v>
      </c>
      <c r="N22" s="32">
        <v>1</v>
      </c>
      <c r="O22" s="32"/>
      <c r="P22" s="32"/>
      <c r="Q22" s="24"/>
      <c r="R22" s="25">
        <f>N22*0</f>
        <v>0</v>
      </c>
      <c r="S22" s="25">
        <f t="shared" si="5"/>
        <v>0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>
        <v>1</v>
      </c>
      <c r="AA22" s="32"/>
      <c r="AB22" s="32"/>
      <c r="AC22" s="24"/>
      <c r="AD22" s="25">
        <f>Z22*0</f>
        <v>0</v>
      </c>
      <c r="AE22" s="25">
        <f t="shared" si="9"/>
        <v>0</v>
      </c>
      <c r="AF22" s="25">
        <f>AB22*2</f>
        <v>0</v>
      </c>
      <c r="AG22" s="25">
        <f t="shared" si="11"/>
        <v>0</v>
      </c>
      <c r="AH22" s="105">
        <f>AG12+AG17+AG20+AG25+AG29</f>
        <v>0</v>
      </c>
      <c r="AI22" s="108">
        <f>AH22</f>
        <v>0</v>
      </c>
    </row>
    <row r="23" spans="1:35" ht="21" customHeight="1">
      <c r="A23" s="25">
        <v>17</v>
      </c>
      <c r="B23" s="32"/>
      <c r="C23" s="32">
        <v>1</v>
      </c>
      <c r="D23" s="32"/>
      <c r="E23" s="24"/>
      <c r="F23" s="25">
        <f>B23*2</f>
        <v>0</v>
      </c>
      <c r="G23" s="25">
        <f t="shared" si="1"/>
        <v>1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/>
      <c r="O23" s="32">
        <v>1</v>
      </c>
      <c r="P23" s="32"/>
      <c r="Q23" s="24"/>
      <c r="R23" s="25">
        <f>N23*2</f>
        <v>0</v>
      </c>
      <c r="S23" s="25">
        <f t="shared" si="5"/>
        <v>1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/>
      <c r="AA23" s="32"/>
      <c r="AB23" s="32">
        <v>1</v>
      </c>
      <c r="AC23" s="24"/>
      <c r="AD23" s="25">
        <f>Z23*2</f>
        <v>0</v>
      </c>
      <c r="AE23" s="25">
        <f t="shared" si="9"/>
        <v>0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>
        <v>1</v>
      </c>
      <c r="C24" s="32"/>
      <c r="D24" s="32"/>
      <c r="E24" s="24"/>
      <c r="F24" s="25">
        <f>B24*2</f>
        <v>2</v>
      </c>
      <c r="G24" s="25">
        <f t="shared" si="1"/>
        <v>0</v>
      </c>
      <c r="H24" s="25">
        <f>D24*0</f>
        <v>0</v>
      </c>
      <c r="I24" s="25">
        <f t="shared" si="3"/>
        <v>2</v>
      </c>
      <c r="J24" s="24"/>
      <c r="K24" s="25"/>
      <c r="M24" s="25">
        <v>18</v>
      </c>
      <c r="N24" s="32">
        <v>1</v>
      </c>
      <c r="O24" s="32"/>
      <c r="P24" s="32"/>
      <c r="Q24" s="24"/>
      <c r="R24" s="25">
        <f>N24*2</f>
        <v>2</v>
      </c>
      <c r="S24" s="25">
        <f t="shared" si="5"/>
        <v>0</v>
      </c>
      <c r="T24" s="25">
        <f>P24*0</f>
        <v>0</v>
      </c>
      <c r="U24" s="25">
        <f t="shared" si="7"/>
        <v>2</v>
      </c>
      <c r="V24" s="24"/>
      <c r="W24" s="25"/>
      <c r="Y24" s="25">
        <v>18</v>
      </c>
      <c r="Z24" s="32"/>
      <c r="AA24" s="32">
        <v>1</v>
      </c>
      <c r="AB24" s="32"/>
      <c r="AC24" s="24"/>
      <c r="AD24" s="25">
        <f>Z24*2</f>
        <v>0</v>
      </c>
      <c r="AE24" s="25">
        <f t="shared" si="9"/>
        <v>1</v>
      </c>
      <c r="AF24" s="25">
        <f>AB24*0</f>
        <v>0</v>
      </c>
      <c r="AG24" s="25">
        <f t="shared" si="11"/>
        <v>0</v>
      </c>
      <c r="AH24" s="24"/>
      <c r="AI24" s="25"/>
    </row>
    <row r="25" spans="1:35" ht="21" customHeight="1">
      <c r="A25" s="25">
        <v>19</v>
      </c>
      <c r="B25" s="32">
        <v>1</v>
      </c>
      <c r="C25" s="32"/>
      <c r="D25" s="32"/>
      <c r="E25" s="24"/>
      <c r="F25" s="25">
        <f t="shared" ref="F25:F31" si="18">B25*0</f>
        <v>0</v>
      </c>
      <c r="G25" s="25">
        <f t="shared" si="1"/>
        <v>0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>
        <v>1</v>
      </c>
      <c r="O25" s="32"/>
      <c r="P25" s="32"/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>
        <v>1</v>
      </c>
      <c r="AA25" s="32"/>
      <c r="AB25" s="32"/>
      <c r="AC25" s="24"/>
      <c r="AD25" s="25">
        <f t="shared" ref="AD25:AD31" si="22">Z25*0</f>
        <v>0</v>
      </c>
      <c r="AE25" s="25">
        <f t="shared" si="9"/>
        <v>0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>
        <v>1</v>
      </c>
      <c r="D26" s="32"/>
      <c r="E26" s="24"/>
      <c r="F26" s="25">
        <f t="shared" si="18"/>
        <v>0</v>
      </c>
      <c r="G26" s="25">
        <f t="shared" si="1"/>
        <v>1</v>
      </c>
      <c r="H26" s="25">
        <f t="shared" si="19"/>
        <v>0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/>
      <c r="P26" s="32">
        <v>1</v>
      </c>
      <c r="Q26" s="24"/>
      <c r="R26" s="25">
        <f t="shared" si="20"/>
        <v>0</v>
      </c>
      <c r="S26" s="25">
        <f t="shared" si="5"/>
        <v>0</v>
      </c>
      <c r="T26" s="25">
        <f t="shared" si="21"/>
        <v>2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>
        <v>1</v>
      </c>
      <c r="AB26" s="32"/>
      <c r="AC26" s="24"/>
      <c r="AD26" s="25">
        <f t="shared" si="22"/>
        <v>0</v>
      </c>
      <c r="AE26" s="25">
        <f t="shared" si="9"/>
        <v>1</v>
      </c>
      <c r="AF26" s="25">
        <f t="shared" si="23"/>
        <v>0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>
        <v>1</v>
      </c>
      <c r="D27" s="32"/>
      <c r="E27" s="24"/>
      <c r="F27" s="25">
        <f t="shared" si="18"/>
        <v>0</v>
      </c>
      <c r="G27" s="25">
        <f t="shared" si="1"/>
        <v>1</v>
      </c>
      <c r="H27" s="25">
        <f t="shared" si="19"/>
        <v>0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/>
      <c r="O27" s="32">
        <v>1</v>
      </c>
      <c r="P27" s="32"/>
      <c r="Q27" s="24"/>
      <c r="R27" s="25">
        <f t="shared" si="20"/>
        <v>0</v>
      </c>
      <c r="S27" s="25">
        <f t="shared" si="5"/>
        <v>1</v>
      </c>
      <c r="T27" s="25">
        <f t="shared" si="21"/>
        <v>0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/>
      <c r="AA27" s="32">
        <v>1</v>
      </c>
      <c r="AB27" s="32"/>
      <c r="AC27" s="24"/>
      <c r="AD27" s="25">
        <f t="shared" si="22"/>
        <v>0</v>
      </c>
      <c r="AE27" s="25">
        <f t="shared" si="9"/>
        <v>1</v>
      </c>
      <c r="AF27" s="25">
        <f t="shared" si="23"/>
        <v>0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>
        <v>1</v>
      </c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>
        <v>1</v>
      </c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>
        <v>1</v>
      </c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/>
      <c r="C29" s="32">
        <v>1</v>
      </c>
      <c r="D29" s="32"/>
      <c r="E29" s="24"/>
      <c r="F29" s="25">
        <f t="shared" si="18"/>
        <v>0</v>
      </c>
      <c r="G29" s="25">
        <f t="shared" si="1"/>
        <v>1</v>
      </c>
      <c r="H29" s="25">
        <f t="shared" si="19"/>
        <v>0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>
        <v>1</v>
      </c>
      <c r="P29" s="32"/>
      <c r="Q29" s="24"/>
      <c r="R29" s="25">
        <f t="shared" si="20"/>
        <v>0</v>
      </c>
      <c r="S29" s="25">
        <f t="shared" si="5"/>
        <v>1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/>
      <c r="AA29" s="32"/>
      <c r="AB29" s="32">
        <v>1</v>
      </c>
      <c r="AC29" s="24"/>
      <c r="AD29" s="25">
        <f t="shared" si="22"/>
        <v>0</v>
      </c>
      <c r="AE29" s="25">
        <f t="shared" si="9"/>
        <v>0</v>
      </c>
      <c r="AF29" s="25">
        <f t="shared" si="23"/>
        <v>2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>
        <v>1</v>
      </c>
      <c r="C30" s="32"/>
      <c r="D30" s="32"/>
      <c r="E30" s="24"/>
      <c r="F30" s="25">
        <f t="shared" si="18"/>
        <v>0</v>
      </c>
      <c r="G30" s="25">
        <f t="shared" si="1"/>
        <v>0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>
        <v>1</v>
      </c>
      <c r="O30" s="32"/>
      <c r="P30" s="32"/>
      <c r="Q30" s="24"/>
      <c r="R30" s="25">
        <f t="shared" si="20"/>
        <v>0</v>
      </c>
      <c r="S30" s="25">
        <f t="shared" si="5"/>
        <v>0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>
        <v>1</v>
      </c>
      <c r="AA30" s="32"/>
      <c r="AB30" s="32"/>
      <c r="AC30" s="24"/>
      <c r="AD30" s="25">
        <f t="shared" si="22"/>
        <v>0</v>
      </c>
      <c r="AE30" s="25">
        <f t="shared" si="9"/>
        <v>0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/>
      <c r="D31" s="32">
        <v>1</v>
      </c>
      <c r="E31" s="24"/>
      <c r="F31" s="25">
        <f t="shared" si="18"/>
        <v>0</v>
      </c>
      <c r="G31" s="25">
        <f t="shared" si="1"/>
        <v>0</v>
      </c>
      <c r="H31" s="25">
        <f t="shared" si="19"/>
        <v>2</v>
      </c>
      <c r="I31" s="25">
        <f t="shared" si="3"/>
        <v>0</v>
      </c>
      <c r="J31" s="24"/>
      <c r="K31" s="108">
        <f>K7+K12+K17+K22</f>
        <v>4</v>
      </c>
      <c r="M31" s="25">
        <v>25</v>
      </c>
      <c r="N31" s="32"/>
      <c r="O31" s="32">
        <v>1</v>
      </c>
      <c r="P31" s="32"/>
      <c r="Q31" s="24"/>
      <c r="R31" s="25">
        <f t="shared" si="20"/>
        <v>0</v>
      </c>
      <c r="S31" s="25">
        <f t="shared" si="5"/>
        <v>1</v>
      </c>
      <c r="T31" s="25">
        <f t="shared" si="21"/>
        <v>0</v>
      </c>
      <c r="U31" s="25">
        <f t="shared" si="7"/>
        <v>0</v>
      </c>
      <c r="V31" s="24"/>
      <c r="W31" s="108">
        <f>W7+W12+W17+W22</f>
        <v>4</v>
      </c>
      <c r="Y31" s="25">
        <v>25</v>
      </c>
      <c r="Z31" s="32"/>
      <c r="AA31" s="32">
        <v>1</v>
      </c>
      <c r="AB31" s="32"/>
      <c r="AC31" s="24"/>
      <c r="AD31" s="25">
        <f t="shared" si="22"/>
        <v>0</v>
      </c>
      <c r="AE31" s="25">
        <f t="shared" si="9"/>
        <v>1</v>
      </c>
      <c r="AF31" s="25">
        <f t="shared" si="23"/>
        <v>0</v>
      </c>
      <c r="AG31" s="25">
        <f t="shared" si="11"/>
        <v>0</v>
      </c>
      <c r="AH31" s="24"/>
      <c r="AI31" s="108">
        <f>AI7+AI12+AI17+AI22</f>
        <v>2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/>
  </sheetPr>
  <dimension ref="A1:AI41"/>
  <sheetViews>
    <sheetView topLeftCell="W23" zoomScale="150" workbookViewId="0">
      <selection activeCell="AB31" sqref="AB31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 t="str">
        <f>รายชื่อ!B8</f>
        <v>เด็กชาย</v>
      </c>
      <c r="C3" s="110" t="str">
        <f>รายชื่อ!C8</f>
        <v>จิรายุ</v>
      </c>
      <c r="D3" s="110" t="str">
        <f>รายชื่อ!D8</f>
        <v>บุญเนตร</v>
      </c>
      <c r="E3" s="60"/>
      <c r="F3" s="103"/>
      <c r="G3" s="165"/>
      <c r="H3" s="165"/>
      <c r="I3" s="165"/>
      <c r="J3" s="25"/>
      <c r="K3" s="106" t="s">
        <v>31</v>
      </c>
      <c r="M3" s="25" t="s">
        <v>85</v>
      </c>
      <c r="N3" s="110" t="str">
        <f>รายชื่อ!B8</f>
        <v>เด็กชาย</v>
      </c>
      <c r="O3" s="110" t="str">
        <f>รายชื่อ!C8</f>
        <v>จิรายุ</v>
      </c>
      <c r="P3" s="110" t="str">
        <f>รายชื่อ!D8</f>
        <v>บุญเนตร</v>
      </c>
      <c r="Q3" s="60"/>
      <c r="R3" s="103"/>
      <c r="S3" s="165"/>
      <c r="T3" s="165"/>
      <c r="U3" s="165"/>
      <c r="V3" s="25"/>
      <c r="W3" s="106" t="s">
        <v>31</v>
      </c>
      <c r="Y3" s="25" t="s">
        <v>85</v>
      </c>
      <c r="Z3" s="110" t="str">
        <f>รายชื่อ!B8</f>
        <v>เด็กชาย</v>
      </c>
      <c r="AA3" s="110" t="str">
        <f>รายชื่อ!C8</f>
        <v>จิรายุ</v>
      </c>
      <c r="AB3" s="110" t="str">
        <f>รายชื่อ!D8</f>
        <v>บุญเนตร</v>
      </c>
      <c r="AC3" s="60"/>
      <c r="AD3" s="103"/>
      <c r="AE3" s="165"/>
      <c r="AF3" s="165"/>
      <c r="AG3" s="165"/>
      <c r="AH3" s="25"/>
      <c r="AI3" s="106" t="s">
        <v>31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/>
      <c r="C7" s="32">
        <v>1</v>
      </c>
      <c r="D7" s="32"/>
      <c r="E7" s="24"/>
      <c r="F7" s="25">
        <f t="shared" ref="F7:F12" si="0">B7*0</f>
        <v>0</v>
      </c>
      <c r="G7" s="25">
        <f t="shared" ref="G7:G31" si="1">C7*1</f>
        <v>1</v>
      </c>
      <c r="H7" s="25">
        <f t="shared" ref="H7:H12" si="2">D7*2</f>
        <v>0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/>
      <c r="O7" s="32">
        <v>1</v>
      </c>
      <c r="P7" s="32"/>
      <c r="Q7" s="24"/>
      <c r="R7" s="25">
        <f t="shared" ref="R7:R12" si="4">N7*0</f>
        <v>0</v>
      </c>
      <c r="S7" s="25">
        <f t="shared" ref="S7:S31" si="5">O7*1</f>
        <v>1</v>
      </c>
      <c r="T7" s="25">
        <f t="shared" ref="T7:T12" si="6">P7*2</f>
        <v>0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>
        <v>1</v>
      </c>
      <c r="AB7" s="32"/>
      <c r="AC7" s="24"/>
      <c r="AD7" s="25">
        <f t="shared" ref="AD7:AD12" si="8">Z7*0</f>
        <v>0</v>
      </c>
      <c r="AE7" s="25">
        <f t="shared" ref="AE7:AE31" si="9">AA7*1</f>
        <v>1</v>
      </c>
      <c r="AF7" s="25">
        <f t="shared" ref="AF7:AF12" si="10">AB7*2</f>
        <v>0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>
        <v>1</v>
      </c>
      <c r="C8" s="32"/>
      <c r="D8" s="32"/>
      <c r="E8" s="24"/>
      <c r="F8" s="25">
        <f t="shared" si="0"/>
        <v>0</v>
      </c>
      <c r="G8" s="25">
        <f t="shared" si="1"/>
        <v>0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/>
      <c r="O8" s="32"/>
      <c r="P8" s="32">
        <v>1</v>
      </c>
      <c r="Q8" s="24"/>
      <c r="R8" s="25">
        <f t="shared" si="4"/>
        <v>0</v>
      </c>
      <c r="S8" s="25">
        <f t="shared" si="5"/>
        <v>0</v>
      </c>
      <c r="T8" s="25">
        <f t="shared" si="6"/>
        <v>2</v>
      </c>
      <c r="U8" s="25">
        <f t="shared" si="7"/>
        <v>0</v>
      </c>
      <c r="V8" s="24"/>
      <c r="W8" s="25"/>
      <c r="Y8" s="25">
        <v>2</v>
      </c>
      <c r="Z8" s="32">
        <v>1</v>
      </c>
      <c r="AA8" s="32"/>
      <c r="AB8" s="32"/>
      <c r="AC8" s="24"/>
      <c r="AD8" s="25">
        <f t="shared" si="8"/>
        <v>0</v>
      </c>
      <c r="AE8" s="25">
        <f t="shared" si="9"/>
        <v>0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>
        <v>1</v>
      </c>
      <c r="C9" s="32"/>
      <c r="D9" s="32"/>
      <c r="E9" s="24"/>
      <c r="F9" s="25">
        <f t="shared" si="0"/>
        <v>0</v>
      </c>
      <c r="G9" s="25">
        <f t="shared" si="1"/>
        <v>0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>
        <v>1</v>
      </c>
      <c r="O9" s="32"/>
      <c r="P9" s="32"/>
      <c r="Q9" s="24"/>
      <c r="R9" s="25">
        <f t="shared" si="4"/>
        <v>0</v>
      </c>
      <c r="S9" s="25">
        <f t="shared" si="5"/>
        <v>0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>
        <v>1</v>
      </c>
      <c r="AA9" s="32"/>
      <c r="AB9" s="32"/>
      <c r="AC9" s="24"/>
      <c r="AD9" s="25">
        <f t="shared" si="8"/>
        <v>0</v>
      </c>
      <c r="AE9" s="25">
        <f t="shared" si="9"/>
        <v>0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>
        <v>2</v>
      </c>
      <c r="D10" s="32"/>
      <c r="E10" s="24"/>
      <c r="F10" s="25">
        <f t="shared" si="0"/>
        <v>0</v>
      </c>
      <c r="G10" s="25">
        <f t="shared" si="1"/>
        <v>2</v>
      </c>
      <c r="H10" s="25">
        <f t="shared" si="2"/>
        <v>0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>
        <v>1</v>
      </c>
      <c r="P10" s="32"/>
      <c r="Q10" s="24"/>
      <c r="R10" s="25">
        <f t="shared" si="4"/>
        <v>0</v>
      </c>
      <c r="S10" s="25">
        <f t="shared" si="5"/>
        <v>1</v>
      </c>
      <c r="T10" s="25">
        <f t="shared" si="6"/>
        <v>0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>
        <v>1</v>
      </c>
      <c r="AB10" s="32"/>
      <c r="AC10" s="24"/>
      <c r="AD10" s="25">
        <f t="shared" si="8"/>
        <v>0</v>
      </c>
      <c r="AE10" s="25">
        <f t="shared" si="9"/>
        <v>1</v>
      </c>
      <c r="AF10" s="25">
        <f t="shared" si="10"/>
        <v>0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>
        <v>1</v>
      </c>
      <c r="C11" s="32"/>
      <c r="D11" s="32"/>
      <c r="E11" s="24"/>
      <c r="F11" s="25">
        <f t="shared" si="0"/>
        <v>0</v>
      </c>
      <c r="G11" s="25">
        <f t="shared" si="1"/>
        <v>0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>
        <v>1</v>
      </c>
      <c r="O11" s="32"/>
      <c r="P11" s="32"/>
      <c r="Q11" s="24"/>
      <c r="R11" s="25">
        <f t="shared" si="4"/>
        <v>0</v>
      </c>
      <c r="S11" s="25">
        <f t="shared" si="5"/>
        <v>0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>
        <v>1</v>
      </c>
      <c r="AA11" s="32"/>
      <c r="AB11" s="32"/>
      <c r="AC11" s="24"/>
      <c r="AD11" s="25">
        <f t="shared" si="8"/>
        <v>0</v>
      </c>
      <c r="AE11" s="25">
        <f t="shared" si="9"/>
        <v>0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>
        <v>1</v>
      </c>
      <c r="C12" s="32"/>
      <c r="D12" s="32"/>
      <c r="E12" s="24"/>
      <c r="F12" s="25">
        <f t="shared" si="0"/>
        <v>0</v>
      </c>
      <c r="G12" s="25">
        <f t="shared" si="1"/>
        <v>0</v>
      </c>
      <c r="H12" s="25">
        <f t="shared" si="2"/>
        <v>0</v>
      </c>
      <c r="I12" s="25">
        <f t="shared" si="3"/>
        <v>0</v>
      </c>
      <c r="J12" s="105">
        <f>I11+I13+I18+I24+I28</f>
        <v>2</v>
      </c>
      <c r="K12" s="108">
        <f>J12</f>
        <v>2</v>
      </c>
      <c r="M12" s="25">
        <v>6</v>
      </c>
      <c r="N12" s="32">
        <v>1</v>
      </c>
      <c r="O12" s="32"/>
      <c r="P12" s="32"/>
      <c r="Q12" s="24"/>
      <c r="R12" s="25">
        <f t="shared" si="4"/>
        <v>0</v>
      </c>
      <c r="S12" s="25">
        <f t="shared" si="5"/>
        <v>0</v>
      </c>
      <c r="T12" s="25">
        <f t="shared" si="6"/>
        <v>0</v>
      </c>
      <c r="U12" s="25">
        <f t="shared" si="7"/>
        <v>0</v>
      </c>
      <c r="V12" s="105">
        <f>U11+U13+U18+U24+U28</f>
        <v>2</v>
      </c>
      <c r="W12" s="108">
        <f>V12</f>
        <v>2</v>
      </c>
      <c r="Y12" s="25">
        <v>6</v>
      </c>
      <c r="Z12" s="32">
        <v>1</v>
      </c>
      <c r="AA12" s="32"/>
      <c r="AB12" s="32"/>
      <c r="AC12" s="24"/>
      <c r="AD12" s="25">
        <f t="shared" si="8"/>
        <v>0</v>
      </c>
      <c r="AE12" s="25">
        <f t="shared" si="9"/>
        <v>0</v>
      </c>
      <c r="AF12" s="25">
        <f t="shared" si="10"/>
        <v>0</v>
      </c>
      <c r="AG12" s="25">
        <f t="shared" si="11"/>
        <v>0</v>
      </c>
      <c r="AH12" s="105">
        <f>AG11+AG13+AG18+AG24+AG28</f>
        <v>2</v>
      </c>
      <c r="AI12" s="108">
        <f>AH12</f>
        <v>2</v>
      </c>
    </row>
    <row r="13" spans="1:35" ht="21" customHeight="1">
      <c r="A13" s="25">
        <v>7</v>
      </c>
      <c r="B13" s="32"/>
      <c r="C13" s="32">
        <v>1</v>
      </c>
      <c r="D13" s="32"/>
      <c r="E13" s="24"/>
      <c r="F13" s="25">
        <f>B13*2</f>
        <v>0</v>
      </c>
      <c r="G13" s="25">
        <f t="shared" si="1"/>
        <v>1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>
        <v>1</v>
      </c>
      <c r="P13" s="32"/>
      <c r="Q13" s="24"/>
      <c r="R13" s="25">
        <f>N13*2</f>
        <v>0</v>
      </c>
      <c r="S13" s="25">
        <f t="shared" si="5"/>
        <v>1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/>
      <c r="AA13" s="32">
        <v>1</v>
      </c>
      <c r="AB13" s="32"/>
      <c r="AC13" s="24"/>
      <c r="AD13" s="25">
        <f>Z13*2</f>
        <v>0</v>
      </c>
      <c r="AE13" s="25">
        <f t="shared" si="9"/>
        <v>1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>
        <v>1</v>
      </c>
      <c r="C14" s="32"/>
      <c r="D14" s="32"/>
      <c r="E14" s="24"/>
      <c r="F14" s="25">
        <f t="shared" ref="F14:F19" si="12">B14*0</f>
        <v>0</v>
      </c>
      <c r="G14" s="25">
        <f t="shared" si="1"/>
        <v>0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>
        <v>1</v>
      </c>
      <c r="O14" s="32"/>
      <c r="P14" s="32"/>
      <c r="Q14" s="24"/>
      <c r="R14" s="25">
        <f t="shared" ref="R14:R19" si="14">N14*0</f>
        <v>0</v>
      </c>
      <c r="S14" s="25">
        <f t="shared" si="5"/>
        <v>0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>
        <v>1</v>
      </c>
      <c r="AA14" s="32"/>
      <c r="AB14" s="32"/>
      <c r="AC14" s="24"/>
      <c r="AD14" s="25">
        <f t="shared" ref="AD14:AD19" si="16">Z14*0</f>
        <v>0</v>
      </c>
      <c r="AE14" s="25">
        <f t="shared" si="9"/>
        <v>0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>
        <v>1</v>
      </c>
      <c r="C15" s="32"/>
      <c r="D15" s="32"/>
      <c r="E15" s="24"/>
      <c r="F15" s="25">
        <f t="shared" si="12"/>
        <v>0</v>
      </c>
      <c r="G15" s="25">
        <f t="shared" si="1"/>
        <v>0</v>
      </c>
      <c r="H15" s="25">
        <f t="shared" si="13"/>
        <v>0</v>
      </c>
      <c r="I15" s="25">
        <f t="shared" si="3"/>
        <v>0</v>
      </c>
      <c r="J15" s="24"/>
      <c r="K15" s="107" t="s">
        <v>98</v>
      </c>
      <c r="M15" s="25">
        <v>9</v>
      </c>
      <c r="N15" s="32">
        <v>1</v>
      </c>
      <c r="O15" s="32"/>
      <c r="P15" s="32"/>
      <c r="Q15" s="24"/>
      <c r="R15" s="25">
        <f t="shared" si="14"/>
        <v>0</v>
      </c>
      <c r="S15" s="25">
        <f t="shared" si="5"/>
        <v>0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>
        <v>1</v>
      </c>
      <c r="AA15" s="32"/>
      <c r="AB15" s="32"/>
      <c r="AC15" s="24"/>
      <c r="AD15" s="25">
        <f t="shared" si="16"/>
        <v>0</v>
      </c>
      <c r="AE15" s="25">
        <f t="shared" si="9"/>
        <v>0</v>
      </c>
      <c r="AF15" s="25">
        <f t="shared" si="17"/>
        <v>0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>
        <v>1</v>
      </c>
      <c r="C16" s="32"/>
      <c r="D16" s="32"/>
      <c r="E16" s="24"/>
      <c r="F16" s="25">
        <f t="shared" si="12"/>
        <v>0</v>
      </c>
      <c r="G16" s="25">
        <f t="shared" si="1"/>
        <v>0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/>
      <c r="O16" s="32"/>
      <c r="P16" s="32">
        <v>1</v>
      </c>
      <c r="Q16" s="24"/>
      <c r="R16" s="25">
        <f t="shared" si="14"/>
        <v>0</v>
      </c>
      <c r="S16" s="25">
        <f t="shared" si="5"/>
        <v>0</v>
      </c>
      <c r="T16" s="25">
        <f t="shared" si="15"/>
        <v>2</v>
      </c>
      <c r="U16" s="25">
        <f t="shared" si="7"/>
        <v>0</v>
      </c>
      <c r="V16" s="24"/>
      <c r="W16" s="107" t="s">
        <v>99</v>
      </c>
      <c r="Y16" s="25">
        <v>10</v>
      </c>
      <c r="Z16" s="32">
        <v>1</v>
      </c>
      <c r="AA16" s="32"/>
      <c r="AB16" s="32"/>
      <c r="AC16" s="24"/>
      <c r="AD16" s="25">
        <f t="shared" si="16"/>
        <v>0</v>
      </c>
      <c r="AE16" s="25">
        <f t="shared" si="9"/>
        <v>0</v>
      </c>
      <c r="AF16" s="25">
        <f t="shared" si="17"/>
        <v>0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/>
      <c r="D17" s="32">
        <v>1</v>
      </c>
      <c r="E17" s="24"/>
      <c r="F17" s="25">
        <f t="shared" si="12"/>
        <v>0</v>
      </c>
      <c r="G17" s="25">
        <f t="shared" si="1"/>
        <v>0</v>
      </c>
      <c r="H17" s="25">
        <f t="shared" si="13"/>
        <v>2</v>
      </c>
      <c r="I17" s="25">
        <f t="shared" si="3"/>
        <v>0</v>
      </c>
      <c r="J17" s="105">
        <f>I8+I16+I21+I27+I31</f>
        <v>2</v>
      </c>
      <c r="K17" s="108">
        <f>J17</f>
        <v>2</v>
      </c>
      <c r="M17" s="25">
        <v>11</v>
      </c>
      <c r="N17" s="32"/>
      <c r="O17" s="32"/>
      <c r="P17" s="32">
        <v>1</v>
      </c>
      <c r="Q17" s="24"/>
      <c r="R17" s="25">
        <f t="shared" si="14"/>
        <v>0</v>
      </c>
      <c r="S17" s="25">
        <f t="shared" si="5"/>
        <v>0</v>
      </c>
      <c r="T17" s="25">
        <f t="shared" si="15"/>
        <v>2</v>
      </c>
      <c r="U17" s="25">
        <f t="shared" si="7"/>
        <v>0</v>
      </c>
      <c r="V17" s="105">
        <f>U8+U16+U21+U27+U31</f>
        <v>0</v>
      </c>
      <c r="W17" s="108">
        <f>V17</f>
        <v>0</v>
      </c>
      <c r="Y17" s="25">
        <v>11</v>
      </c>
      <c r="Z17" s="32"/>
      <c r="AA17" s="32"/>
      <c r="AB17" s="32">
        <v>1</v>
      </c>
      <c r="AC17" s="24"/>
      <c r="AD17" s="25">
        <f t="shared" si="16"/>
        <v>0</v>
      </c>
      <c r="AE17" s="25">
        <f t="shared" si="9"/>
        <v>0</v>
      </c>
      <c r="AF17" s="25">
        <f t="shared" si="17"/>
        <v>2</v>
      </c>
      <c r="AG17" s="25">
        <f t="shared" si="11"/>
        <v>0</v>
      </c>
      <c r="AH17" s="105">
        <f>AG8+AG16+AG21+AG27+AG31</f>
        <v>2</v>
      </c>
      <c r="AI17" s="108">
        <f>AH17</f>
        <v>2</v>
      </c>
    </row>
    <row r="18" spans="1:35" ht="21" customHeight="1">
      <c r="A18" s="25">
        <v>12</v>
      </c>
      <c r="B18" s="32">
        <v>1</v>
      </c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/>
      <c r="O18" s="32">
        <v>1</v>
      </c>
      <c r="P18" s="32"/>
      <c r="Q18" s="24"/>
      <c r="R18" s="25">
        <f t="shared" si="14"/>
        <v>0</v>
      </c>
      <c r="S18" s="25">
        <f t="shared" si="5"/>
        <v>1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>
        <v>1</v>
      </c>
      <c r="AA18" s="32"/>
      <c r="AB18" s="32"/>
      <c r="AC18" s="24"/>
      <c r="AD18" s="25">
        <f t="shared" si="16"/>
        <v>0</v>
      </c>
      <c r="AE18" s="25">
        <f t="shared" si="9"/>
        <v>0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>
        <v>1</v>
      </c>
      <c r="C19" s="32"/>
      <c r="D19" s="32"/>
      <c r="E19" s="24"/>
      <c r="F19" s="25">
        <f t="shared" si="12"/>
        <v>0</v>
      </c>
      <c r="G19" s="25">
        <f t="shared" si="1"/>
        <v>0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>
        <v>1</v>
      </c>
      <c r="O19" s="32"/>
      <c r="P19" s="32"/>
      <c r="Q19" s="24"/>
      <c r="R19" s="25">
        <f t="shared" si="14"/>
        <v>0</v>
      </c>
      <c r="S19" s="25">
        <f t="shared" si="5"/>
        <v>0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>
        <v>1</v>
      </c>
      <c r="AA19" s="32"/>
      <c r="AB19" s="32"/>
      <c r="AC19" s="24"/>
      <c r="AD19" s="25">
        <f t="shared" si="16"/>
        <v>0</v>
      </c>
      <c r="AE19" s="25">
        <f t="shared" si="9"/>
        <v>0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>
        <v>1</v>
      </c>
      <c r="C20" s="32"/>
      <c r="D20" s="32"/>
      <c r="E20" s="24"/>
      <c r="F20" s="25">
        <f>B20*2</f>
        <v>2</v>
      </c>
      <c r="G20" s="25">
        <f t="shared" si="1"/>
        <v>0</v>
      </c>
      <c r="H20" s="25">
        <f>D20*0</f>
        <v>0</v>
      </c>
      <c r="I20" s="25">
        <f t="shared" si="3"/>
        <v>2</v>
      </c>
      <c r="J20" s="24"/>
      <c r="K20" s="107" t="s">
        <v>100</v>
      </c>
      <c r="M20" s="25">
        <v>14</v>
      </c>
      <c r="N20" s="32"/>
      <c r="O20" s="32">
        <v>1</v>
      </c>
      <c r="P20" s="32"/>
      <c r="Q20" s="24"/>
      <c r="R20" s="25">
        <f>N20*2</f>
        <v>0</v>
      </c>
      <c r="S20" s="25">
        <f t="shared" si="5"/>
        <v>1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>
        <v>1</v>
      </c>
      <c r="AA20" s="32"/>
      <c r="AB20" s="32"/>
      <c r="AC20" s="24"/>
      <c r="AD20" s="25">
        <f>Z20*2</f>
        <v>2</v>
      </c>
      <c r="AE20" s="25">
        <f t="shared" si="9"/>
        <v>0</v>
      </c>
      <c r="AF20" s="25">
        <f>AB20*0</f>
        <v>0</v>
      </c>
      <c r="AG20" s="25">
        <f t="shared" si="11"/>
        <v>2</v>
      </c>
      <c r="AH20" s="24"/>
      <c r="AI20" s="107" t="s">
        <v>100</v>
      </c>
    </row>
    <row r="21" spans="1:35" ht="21" customHeight="1">
      <c r="A21" s="25">
        <v>15</v>
      </c>
      <c r="B21" s="32">
        <v>1</v>
      </c>
      <c r="C21" s="32"/>
      <c r="D21" s="32"/>
      <c r="E21" s="24"/>
      <c r="F21" s="25">
        <f>B21*2</f>
        <v>2</v>
      </c>
      <c r="G21" s="25">
        <f t="shared" si="1"/>
        <v>0</v>
      </c>
      <c r="H21" s="25">
        <f>D21*0</f>
        <v>0</v>
      </c>
      <c r="I21" s="25">
        <f t="shared" si="3"/>
        <v>2</v>
      </c>
      <c r="J21" s="24"/>
      <c r="K21" s="107" t="s">
        <v>101</v>
      </c>
      <c r="M21" s="25">
        <v>15</v>
      </c>
      <c r="N21" s="32"/>
      <c r="O21" s="32"/>
      <c r="P21" s="32">
        <v>1</v>
      </c>
      <c r="Q21" s="24"/>
      <c r="R21" s="25">
        <f>N21*2</f>
        <v>0</v>
      </c>
      <c r="S21" s="25">
        <f t="shared" si="5"/>
        <v>0</v>
      </c>
      <c r="T21" s="25">
        <f>P21*0</f>
        <v>0</v>
      </c>
      <c r="U21" s="25">
        <f t="shared" si="7"/>
        <v>0</v>
      </c>
      <c r="V21" s="24"/>
      <c r="W21" s="107" t="s">
        <v>101</v>
      </c>
      <c r="Y21" s="25">
        <v>15</v>
      </c>
      <c r="Z21" s="32">
        <v>1</v>
      </c>
      <c r="AA21" s="32"/>
      <c r="AB21" s="32"/>
      <c r="AC21" s="24"/>
      <c r="AD21" s="25">
        <f>Z21*2</f>
        <v>2</v>
      </c>
      <c r="AE21" s="25">
        <f t="shared" si="9"/>
        <v>0</v>
      </c>
      <c r="AF21" s="25">
        <f>AB21*0</f>
        <v>0</v>
      </c>
      <c r="AG21" s="25">
        <f t="shared" si="11"/>
        <v>2</v>
      </c>
      <c r="AH21" s="24"/>
      <c r="AI21" s="107" t="s">
        <v>101</v>
      </c>
    </row>
    <row r="22" spans="1:35" ht="21" customHeight="1">
      <c r="A22" s="25">
        <v>16</v>
      </c>
      <c r="B22" s="32">
        <v>1</v>
      </c>
      <c r="C22" s="32"/>
      <c r="D22" s="32"/>
      <c r="E22" s="24"/>
      <c r="F22" s="25">
        <f>B22*0</f>
        <v>0</v>
      </c>
      <c r="G22" s="25">
        <f t="shared" si="1"/>
        <v>0</v>
      </c>
      <c r="H22" s="25">
        <f>D22*2</f>
        <v>0</v>
      </c>
      <c r="I22" s="25">
        <f t="shared" si="3"/>
        <v>0</v>
      </c>
      <c r="J22" s="105">
        <f>I12+I17+I20+I25+I29</f>
        <v>2</v>
      </c>
      <c r="K22" s="108">
        <f>J22</f>
        <v>2</v>
      </c>
      <c r="M22" s="25">
        <v>16</v>
      </c>
      <c r="N22" s="32"/>
      <c r="O22" s="32">
        <v>1</v>
      </c>
      <c r="P22" s="32"/>
      <c r="Q22" s="24"/>
      <c r="R22" s="25">
        <f>N22*0</f>
        <v>0</v>
      </c>
      <c r="S22" s="25">
        <f t="shared" si="5"/>
        <v>1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>
        <v>1</v>
      </c>
      <c r="AA22" s="32"/>
      <c r="AB22" s="32"/>
      <c r="AC22" s="24"/>
      <c r="AD22" s="25">
        <f>Z22*0</f>
        <v>0</v>
      </c>
      <c r="AE22" s="25">
        <f t="shared" si="9"/>
        <v>0</v>
      </c>
      <c r="AF22" s="25">
        <f>AB22*2</f>
        <v>0</v>
      </c>
      <c r="AG22" s="25">
        <f t="shared" si="11"/>
        <v>0</v>
      </c>
      <c r="AH22" s="105">
        <f>AG12+AG17+AG20+AG25+AG29</f>
        <v>2</v>
      </c>
      <c r="AI22" s="108">
        <f>AH22</f>
        <v>2</v>
      </c>
    </row>
    <row r="23" spans="1:35" ht="21" customHeight="1">
      <c r="A23" s="25">
        <v>17</v>
      </c>
      <c r="B23" s="32"/>
      <c r="C23" s="32">
        <v>1</v>
      </c>
      <c r="D23" s="32"/>
      <c r="E23" s="24"/>
      <c r="F23" s="25">
        <f>B23*2</f>
        <v>0</v>
      </c>
      <c r="G23" s="25">
        <f t="shared" si="1"/>
        <v>1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/>
      <c r="O23" s="32">
        <v>1</v>
      </c>
      <c r="P23" s="32"/>
      <c r="Q23" s="24"/>
      <c r="R23" s="25">
        <f>N23*2</f>
        <v>0</v>
      </c>
      <c r="S23" s="25">
        <f t="shared" si="5"/>
        <v>1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/>
      <c r="AA23" s="32">
        <v>1</v>
      </c>
      <c r="AB23" s="32"/>
      <c r="AC23" s="24"/>
      <c r="AD23" s="25">
        <f>Z23*2</f>
        <v>0</v>
      </c>
      <c r="AE23" s="25">
        <f t="shared" si="9"/>
        <v>1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>
        <v>1</v>
      </c>
      <c r="C24" s="32"/>
      <c r="D24" s="32"/>
      <c r="E24" s="24"/>
      <c r="F24" s="25">
        <f>B24*2</f>
        <v>2</v>
      </c>
      <c r="G24" s="25">
        <f t="shared" si="1"/>
        <v>0</v>
      </c>
      <c r="H24" s="25">
        <f>D24*0</f>
        <v>0</v>
      </c>
      <c r="I24" s="25">
        <f t="shared" si="3"/>
        <v>2</v>
      </c>
      <c r="J24" s="24"/>
      <c r="K24" s="25"/>
      <c r="M24" s="25">
        <v>18</v>
      </c>
      <c r="N24" s="32">
        <v>1</v>
      </c>
      <c r="O24" s="32"/>
      <c r="P24" s="32"/>
      <c r="Q24" s="24"/>
      <c r="R24" s="25">
        <f>N24*2</f>
        <v>2</v>
      </c>
      <c r="S24" s="25">
        <f t="shared" si="5"/>
        <v>0</v>
      </c>
      <c r="T24" s="25">
        <f>P24*0</f>
        <v>0</v>
      </c>
      <c r="U24" s="25">
        <f t="shared" si="7"/>
        <v>2</v>
      </c>
      <c r="V24" s="24"/>
      <c r="W24" s="25"/>
      <c r="Y24" s="25">
        <v>18</v>
      </c>
      <c r="Z24" s="32">
        <v>1</v>
      </c>
      <c r="AA24" s="32"/>
      <c r="AB24" s="32"/>
      <c r="AC24" s="24"/>
      <c r="AD24" s="25">
        <f>Z24*2</f>
        <v>2</v>
      </c>
      <c r="AE24" s="25">
        <f t="shared" si="9"/>
        <v>0</v>
      </c>
      <c r="AF24" s="25">
        <f>AB24*0</f>
        <v>0</v>
      </c>
      <c r="AG24" s="25">
        <f t="shared" si="11"/>
        <v>2</v>
      </c>
      <c r="AH24" s="24"/>
      <c r="AI24" s="25"/>
    </row>
    <row r="25" spans="1:35" ht="21" customHeight="1">
      <c r="A25" s="25">
        <v>19</v>
      </c>
      <c r="B25" s="32">
        <v>1</v>
      </c>
      <c r="C25" s="32"/>
      <c r="D25" s="32"/>
      <c r="E25" s="24"/>
      <c r="F25" s="25">
        <f t="shared" ref="F25:F31" si="18">B25*0</f>
        <v>0</v>
      </c>
      <c r="G25" s="25">
        <f t="shared" si="1"/>
        <v>0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>
        <v>1</v>
      </c>
      <c r="O25" s="32"/>
      <c r="P25" s="32"/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>
        <v>1</v>
      </c>
      <c r="AA25" s="32"/>
      <c r="AB25" s="32"/>
      <c r="AC25" s="24"/>
      <c r="AD25" s="25">
        <f t="shared" ref="AD25:AD31" si="22">Z25*0</f>
        <v>0</v>
      </c>
      <c r="AE25" s="25">
        <f t="shared" si="9"/>
        <v>0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/>
      <c r="D26" s="32">
        <v>1</v>
      </c>
      <c r="E26" s="24"/>
      <c r="F26" s="25">
        <f t="shared" si="18"/>
        <v>0</v>
      </c>
      <c r="G26" s="25">
        <f t="shared" si="1"/>
        <v>0</v>
      </c>
      <c r="H26" s="25">
        <f t="shared" si="19"/>
        <v>2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>
        <v>1</v>
      </c>
      <c r="P26" s="32"/>
      <c r="Q26" s="24"/>
      <c r="R26" s="25">
        <f t="shared" si="20"/>
        <v>0</v>
      </c>
      <c r="S26" s="25">
        <f t="shared" si="5"/>
        <v>1</v>
      </c>
      <c r="T26" s="25">
        <f t="shared" si="21"/>
        <v>0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>
        <v>1</v>
      </c>
      <c r="AB26" s="32"/>
      <c r="AC26" s="24"/>
      <c r="AD26" s="25">
        <f t="shared" si="22"/>
        <v>0</v>
      </c>
      <c r="AE26" s="25">
        <f t="shared" si="9"/>
        <v>1</v>
      </c>
      <c r="AF26" s="25">
        <f t="shared" si="23"/>
        <v>0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>
        <v>1</v>
      </c>
      <c r="D27" s="32"/>
      <c r="E27" s="24"/>
      <c r="F27" s="25">
        <f t="shared" si="18"/>
        <v>0</v>
      </c>
      <c r="G27" s="25">
        <f t="shared" si="1"/>
        <v>1</v>
      </c>
      <c r="H27" s="25">
        <f t="shared" si="19"/>
        <v>0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>
        <v>1</v>
      </c>
      <c r="O27" s="32"/>
      <c r="P27" s="32"/>
      <c r="Q27" s="24"/>
      <c r="R27" s="25">
        <f t="shared" si="20"/>
        <v>0</v>
      </c>
      <c r="S27" s="25">
        <f t="shared" si="5"/>
        <v>0</v>
      </c>
      <c r="T27" s="25">
        <f t="shared" si="21"/>
        <v>0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/>
      <c r="AA27" s="32">
        <v>1</v>
      </c>
      <c r="AB27" s="32"/>
      <c r="AC27" s="24"/>
      <c r="AD27" s="25">
        <f t="shared" si="22"/>
        <v>0</v>
      </c>
      <c r="AE27" s="25">
        <f t="shared" si="9"/>
        <v>1</v>
      </c>
      <c r="AF27" s="25">
        <f t="shared" si="23"/>
        <v>0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>
        <v>1</v>
      </c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>
        <v>1</v>
      </c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>
        <v>1</v>
      </c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/>
      <c r="C29" s="32">
        <v>1</v>
      </c>
      <c r="D29" s="32"/>
      <c r="E29" s="24"/>
      <c r="F29" s="25">
        <f t="shared" si="18"/>
        <v>0</v>
      </c>
      <c r="G29" s="25">
        <f t="shared" si="1"/>
        <v>1</v>
      </c>
      <c r="H29" s="25">
        <f t="shared" si="19"/>
        <v>0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>
        <v>1</v>
      </c>
      <c r="P29" s="32"/>
      <c r="Q29" s="24"/>
      <c r="R29" s="25">
        <f t="shared" si="20"/>
        <v>0</v>
      </c>
      <c r="S29" s="25">
        <f t="shared" si="5"/>
        <v>1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/>
      <c r="AA29" s="32">
        <v>1</v>
      </c>
      <c r="AB29" s="32"/>
      <c r="AC29" s="24"/>
      <c r="AD29" s="25">
        <f t="shared" si="22"/>
        <v>0</v>
      </c>
      <c r="AE29" s="25">
        <f t="shared" si="9"/>
        <v>1</v>
      </c>
      <c r="AF29" s="25">
        <f t="shared" si="23"/>
        <v>0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>
        <v>1</v>
      </c>
      <c r="C30" s="32"/>
      <c r="D30" s="32"/>
      <c r="E30" s="24"/>
      <c r="F30" s="25">
        <f t="shared" si="18"/>
        <v>0</v>
      </c>
      <c r="G30" s="25">
        <f t="shared" si="1"/>
        <v>0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/>
      <c r="O30" s="32">
        <v>1</v>
      </c>
      <c r="P30" s="32"/>
      <c r="Q30" s="24"/>
      <c r="R30" s="25">
        <f t="shared" si="20"/>
        <v>0</v>
      </c>
      <c r="S30" s="25">
        <f t="shared" si="5"/>
        <v>1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>
        <v>1</v>
      </c>
      <c r="AA30" s="32"/>
      <c r="AB30" s="32"/>
      <c r="AC30" s="24"/>
      <c r="AD30" s="25">
        <f t="shared" si="22"/>
        <v>0</v>
      </c>
      <c r="AE30" s="25">
        <f t="shared" si="9"/>
        <v>0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>
        <v>1</v>
      </c>
      <c r="D31" s="32"/>
      <c r="E31" s="24"/>
      <c r="F31" s="25">
        <f t="shared" si="18"/>
        <v>0</v>
      </c>
      <c r="G31" s="25">
        <f t="shared" si="1"/>
        <v>1</v>
      </c>
      <c r="H31" s="25">
        <f t="shared" si="19"/>
        <v>0</v>
      </c>
      <c r="I31" s="25">
        <f t="shared" si="3"/>
        <v>0</v>
      </c>
      <c r="J31" s="24"/>
      <c r="K31" s="108">
        <f>K7+K12+K17+K22</f>
        <v>6</v>
      </c>
      <c r="M31" s="25">
        <v>25</v>
      </c>
      <c r="N31" s="32">
        <v>1</v>
      </c>
      <c r="O31" s="32"/>
      <c r="P31" s="32"/>
      <c r="Q31" s="24"/>
      <c r="R31" s="25">
        <f t="shared" si="20"/>
        <v>0</v>
      </c>
      <c r="S31" s="25">
        <f t="shared" si="5"/>
        <v>0</v>
      </c>
      <c r="T31" s="25">
        <f t="shared" si="21"/>
        <v>0</v>
      </c>
      <c r="U31" s="25">
        <f t="shared" si="7"/>
        <v>0</v>
      </c>
      <c r="V31" s="24"/>
      <c r="W31" s="108">
        <f>W7+W12+W17+W22</f>
        <v>2</v>
      </c>
      <c r="Y31" s="25">
        <v>25</v>
      </c>
      <c r="Z31" s="32"/>
      <c r="AA31" s="32">
        <v>1</v>
      </c>
      <c r="AB31" s="32"/>
      <c r="AC31" s="24"/>
      <c r="AD31" s="25">
        <f t="shared" si="22"/>
        <v>0</v>
      </c>
      <c r="AE31" s="25">
        <f t="shared" si="9"/>
        <v>1</v>
      </c>
      <c r="AF31" s="25">
        <f t="shared" si="23"/>
        <v>0</v>
      </c>
      <c r="AG31" s="25">
        <f t="shared" si="11"/>
        <v>0</v>
      </c>
      <c r="AH31" s="24"/>
      <c r="AI31" s="108">
        <f>AI7+AI12+AI17+AI22</f>
        <v>6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7"/>
  </sheetPr>
  <dimension ref="A1:AI41"/>
  <sheetViews>
    <sheetView topLeftCell="W23" zoomScale="150" workbookViewId="0">
      <selection activeCell="AB31" sqref="AB31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 t="str">
        <f>รายชื่อ!B9</f>
        <v>เด็กชาย</v>
      </c>
      <c r="C3" s="110" t="str">
        <f>รายชื่อ!C9</f>
        <v>สรศักดิ์</v>
      </c>
      <c r="D3" s="110" t="str">
        <f>รายชื่อ!D9</f>
        <v>เกิดสา</v>
      </c>
      <c r="E3" s="60"/>
      <c r="F3" s="103"/>
      <c r="G3" s="165"/>
      <c r="H3" s="165"/>
      <c r="I3" s="165"/>
      <c r="J3" s="25"/>
      <c r="K3" s="106" t="s">
        <v>32</v>
      </c>
      <c r="M3" s="25" t="s">
        <v>85</v>
      </c>
      <c r="N3" s="110" t="str">
        <f>รายชื่อ!B9</f>
        <v>เด็กชาย</v>
      </c>
      <c r="O3" s="110" t="str">
        <f>รายชื่อ!C9</f>
        <v>สรศักดิ์</v>
      </c>
      <c r="P3" s="110" t="str">
        <f>รายชื่อ!D9</f>
        <v>เกิดสา</v>
      </c>
      <c r="Q3" s="60"/>
      <c r="R3" s="103"/>
      <c r="S3" s="165"/>
      <c r="T3" s="165"/>
      <c r="U3" s="165"/>
      <c r="V3" s="25"/>
      <c r="W3" s="106" t="s">
        <v>32</v>
      </c>
      <c r="Y3" s="25" t="s">
        <v>85</v>
      </c>
      <c r="Z3" s="110" t="str">
        <f>รายชื่อ!B9</f>
        <v>เด็กชาย</v>
      </c>
      <c r="AA3" s="110" t="str">
        <f>รายชื่อ!C9</f>
        <v>สรศักดิ์</v>
      </c>
      <c r="AB3" s="110" t="str">
        <f>รายชื่อ!D9</f>
        <v>เกิดสา</v>
      </c>
      <c r="AC3" s="60"/>
      <c r="AD3" s="103"/>
      <c r="AE3" s="165"/>
      <c r="AF3" s="165"/>
      <c r="AG3" s="165"/>
      <c r="AH3" s="25"/>
      <c r="AI3" s="106" t="s">
        <v>32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/>
      <c r="C7" s="32">
        <v>1</v>
      </c>
      <c r="D7" s="32"/>
      <c r="E7" s="24"/>
      <c r="F7" s="25">
        <f t="shared" ref="F7:F12" si="0">B7*0</f>
        <v>0</v>
      </c>
      <c r="G7" s="25">
        <f t="shared" ref="G7:G31" si="1">C7*1</f>
        <v>1</v>
      </c>
      <c r="H7" s="25">
        <f t="shared" ref="H7:H12" si="2">D7*2</f>
        <v>0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/>
      <c r="O7" s="32"/>
      <c r="P7" s="32">
        <v>1</v>
      </c>
      <c r="Q7" s="24"/>
      <c r="R7" s="25">
        <f t="shared" ref="R7:R12" si="4">N7*0</f>
        <v>0</v>
      </c>
      <c r="S7" s="25">
        <f t="shared" ref="S7:S31" si="5">O7*1</f>
        <v>0</v>
      </c>
      <c r="T7" s="25">
        <f t="shared" ref="T7:T12" si="6">P7*2</f>
        <v>2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>
        <v>1</v>
      </c>
      <c r="AB7" s="32"/>
      <c r="AC7" s="24"/>
      <c r="AD7" s="25">
        <f t="shared" ref="AD7:AD12" si="8">Z7*0</f>
        <v>0</v>
      </c>
      <c r="AE7" s="25">
        <f t="shared" ref="AE7:AE31" si="9">AA7*1</f>
        <v>1</v>
      </c>
      <c r="AF7" s="25">
        <f t="shared" ref="AF7:AF12" si="10">AB7*2</f>
        <v>0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>
        <v>1</v>
      </c>
      <c r="C8" s="32"/>
      <c r="D8" s="32"/>
      <c r="E8" s="24"/>
      <c r="F8" s="25">
        <f t="shared" si="0"/>
        <v>0</v>
      </c>
      <c r="G8" s="25">
        <f t="shared" si="1"/>
        <v>0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>
        <v>1</v>
      </c>
      <c r="O8" s="32"/>
      <c r="P8" s="32"/>
      <c r="Q8" s="24"/>
      <c r="R8" s="25">
        <f t="shared" si="4"/>
        <v>0</v>
      </c>
      <c r="S8" s="25">
        <f t="shared" si="5"/>
        <v>0</v>
      </c>
      <c r="T8" s="25">
        <f t="shared" si="6"/>
        <v>0</v>
      </c>
      <c r="U8" s="25">
        <f t="shared" si="7"/>
        <v>0</v>
      </c>
      <c r="V8" s="24"/>
      <c r="W8" s="25"/>
      <c r="Y8" s="25">
        <v>2</v>
      </c>
      <c r="Z8" s="32">
        <v>1</v>
      </c>
      <c r="AA8" s="32"/>
      <c r="AB8" s="32"/>
      <c r="AC8" s="24"/>
      <c r="AD8" s="25">
        <f t="shared" si="8"/>
        <v>0</v>
      </c>
      <c r="AE8" s="25">
        <f t="shared" si="9"/>
        <v>0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>
        <v>1</v>
      </c>
      <c r="C9" s="32"/>
      <c r="D9" s="32"/>
      <c r="E9" s="24"/>
      <c r="F9" s="25">
        <f t="shared" si="0"/>
        <v>0</v>
      </c>
      <c r="G9" s="25">
        <f t="shared" si="1"/>
        <v>0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>
        <v>1</v>
      </c>
      <c r="O9" s="32"/>
      <c r="P9" s="32"/>
      <c r="Q9" s="24"/>
      <c r="R9" s="25">
        <f t="shared" si="4"/>
        <v>0</v>
      </c>
      <c r="S9" s="25">
        <f t="shared" si="5"/>
        <v>0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/>
      <c r="AA9" s="32">
        <v>1</v>
      </c>
      <c r="AB9" s="32"/>
      <c r="AC9" s="24"/>
      <c r="AD9" s="25">
        <f t="shared" si="8"/>
        <v>0</v>
      </c>
      <c r="AE9" s="25">
        <f t="shared" si="9"/>
        <v>1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/>
      <c r="D10" s="32">
        <v>1</v>
      </c>
      <c r="E10" s="24"/>
      <c r="F10" s="25">
        <f t="shared" si="0"/>
        <v>0</v>
      </c>
      <c r="G10" s="25">
        <f t="shared" si="1"/>
        <v>0</v>
      </c>
      <c r="H10" s="25">
        <f t="shared" si="2"/>
        <v>2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/>
      <c r="P10" s="32">
        <v>1</v>
      </c>
      <c r="Q10" s="24"/>
      <c r="R10" s="25">
        <f t="shared" si="4"/>
        <v>0</v>
      </c>
      <c r="S10" s="25">
        <f t="shared" si="5"/>
        <v>0</v>
      </c>
      <c r="T10" s="25">
        <f t="shared" si="6"/>
        <v>2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/>
      <c r="AB10" s="32">
        <v>1</v>
      </c>
      <c r="AC10" s="24"/>
      <c r="AD10" s="25">
        <f t="shared" si="8"/>
        <v>0</v>
      </c>
      <c r="AE10" s="25">
        <f t="shared" si="9"/>
        <v>0</v>
      </c>
      <c r="AF10" s="25">
        <f t="shared" si="10"/>
        <v>2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>
        <v>1</v>
      </c>
      <c r="C11" s="32"/>
      <c r="D11" s="32"/>
      <c r="E11" s="24"/>
      <c r="F11" s="25">
        <f t="shared" si="0"/>
        <v>0</v>
      </c>
      <c r="G11" s="25">
        <f t="shared" si="1"/>
        <v>0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>
        <v>1</v>
      </c>
      <c r="O11" s="32"/>
      <c r="P11" s="32"/>
      <c r="Q11" s="24"/>
      <c r="R11" s="25">
        <f t="shared" si="4"/>
        <v>0</v>
      </c>
      <c r="S11" s="25">
        <f t="shared" si="5"/>
        <v>0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>
        <v>1</v>
      </c>
      <c r="AA11" s="32"/>
      <c r="AB11" s="32"/>
      <c r="AC11" s="24"/>
      <c r="AD11" s="25">
        <f t="shared" si="8"/>
        <v>0</v>
      </c>
      <c r="AE11" s="25">
        <f t="shared" si="9"/>
        <v>0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>
        <v>1</v>
      </c>
      <c r="C12" s="32"/>
      <c r="D12" s="32"/>
      <c r="E12" s="24"/>
      <c r="F12" s="25">
        <f t="shared" si="0"/>
        <v>0</v>
      </c>
      <c r="G12" s="25">
        <f t="shared" si="1"/>
        <v>0</v>
      </c>
      <c r="H12" s="25">
        <f t="shared" si="2"/>
        <v>0</v>
      </c>
      <c r="I12" s="25">
        <f t="shared" si="3"/>
        <v>0</v>
      </c>
      <c r="J12" s="105">
        <f>I11+I13+I18+I24+I28</f>
        <v>2</v>
      </c>
      <c r="K12" s="108">
        <f>J12</f>
        <v>2</v>
      </c>
      <c r="M12" s="25">
        <v>6</v>
      </c>
      <c r="N12" s="32">
        <v>1</v>
      </c>
      <c r="O12" s="32"/>
      <c r="P12" s="32"/>
      <c r="Q12" s="24"/>
      <c r="R12" s="25">
        <f t="shared" si="4"/>
        <v>0</v>
      </c>
      <c r="S12" s="25">
        <f t="shared" si="5"/>
        <v>0</v>
      </c>
      <c r="T12" s="25">
        <f t="shared" si="6"/>
        <v>0</v>
      </c>
      <c r="U12" s="25">
        <f t="shared" si="7"/>
        <v>0</v>
      </c>
      <c r="V12" s="105">
        <f>U11+U13+U18+U24+U28</f>
        <v>2</v>
      </c>
      <c r="W12" s="108">
        <f>V12</f>
        <v>2</v>
      </c>
      <c r="Y12" s="25">
        <v>6</v>
      </c>
      <c r="Z12" s="32">
        <v>1</v>
      </c>
      <c r="AA12" s="32"/>
      <c r="AB12" s="32"/>
      <c r="AC12" s="24"/>
      <c r="AD12" s="25">
        <f t="shared" si="8"/>
        <v>0</v>
      </c>
      <c r="AE12" s="25">
        <f t="shared" si="9"/>
        <v>0</v>
      </c>
      <c r="AF12" s="25">
        <f t="shared" si="10"/>
        <v>0</v>
      </c>
      <c r="AG12" s="25">
        <f t="shared" si="11"/>
        <v>0</v>
      </c>
      <c r="AH12" s="105">
        <f>AG11+AG13+AG18+AG24+AG28</f>
        <v>2</v>
      </c>
      <c r="AI12" s="108">
        <f>AH12</f>
        <v>2</v>
      </c>
    </row>
    <row r="13" spans="1:35" ht="21" customHeight="1">
      <c r="A13" s="25">
        <v>7</v>
      </c>
      <c r="B13" s="32"/>
      <c r="C13" s="32">
        <v>1</v>
      </c>
      <c r="D13" s="32"/>
      <c r="E13" s="24"/>
      <c r="F13" s="25">
        <f>B13*2</f>
        <v>0</v>
      </c>
      <c r="G13" s="25">
        <f t="shared" si="1"/>
        <v>1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/>
      <c r="P13" s="32">
        <v>1</v>
      </c>
      <c r="Q13" s="24"/>
      <c r="R13" s="25">
        <f>N13*2</f>
        <v>0</v>
      </c>
      <c r="S13" s="25">
        <f t="shared" si="5"/>
        <v>0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/>
      <c r="AA13" s="32">
        <v>1</v>
      </c>
      <c r="AB13" s="32"/>
      <c r="AC13" s="24"/>
      <c r="AD13" s="25">
        <f>Z13*2</f>
        <v>0</v>
      </c>
      <c r="AE13" s="25">
        <f t="shared" si="9"/>
        <v>1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>
        <v>1</v>
      </c>
      <c r="C14" s="32"/>
      <c r="D14" s="32"/>
      <c r="E14" s="24"/>
      <c r="F14" s="25">
        <f t="shared" ref="F14:F19" si="12">B14*0</f>
        <v>0</v>
      </c>
      <c r="G14" s="25">
        <f t="shared" si="1"/>
        <v>0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>
        <v>1</v>
      </c>
      <c r="O14" s="32"/>
      <c r="P14" s="32"/>
      <c r="Q14" s="24"/>
      <c r="R14" s="25">
        <f t="shared" ref="R14:R19" si="14">N14*0</f>
        <v>0</v>
      </c>
      <c r="S14" s="25">
        <f t="shared" si="5"/>
        <v>0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>
        <v>1</v>
      </c>
      <c r="AA14" s="32"/>
      <c r="AB14" s="32"/>
      <c r="AC14" s="24"/>
      <c r="AD14" s="25">
        <f t="shared" ref="AD14:AD19" si="16">Z14*0</f>
        <v>0</v>
      </c>
      <c r="AE14" s="25">
        <f t="shared" si="9"/>
        <v>0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/>
      <c r="D15" s="32">
        <v>1</v>
      </c>
      <c r="E15" s="24"/>
      <c r="F15" s="25">
        <f t="shared" si="12"/>
        <v>0</v>
      </c>
      <c r="G15" s="25">
        <f t="shared" si="1"/>
        <v>0</v>
      </c>
      <c r="H15" s="25">
        <f t="shared" si="13"/>
        <v>2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/>
      <c r="P15" s="32">
        <v>1</v>
      </c>
      <c r="Q15" s="24"/>
      <c r="R15" s="25">
        <f t="shared" si="14"/>
        <v>0</v>
      </c>
      <c r="S15" s="25">
        <f t="shared" si="5"/>
        <v>0</v>
      </c>
      <c r="T15" s="25">
        <f t="shared" si="15"/>
        <v>2</v>
      </c>
      <c r="U15" s="25">
        <f t="shared" si="7"/>
        <v>0</v>
      </c>
      <c r="V15" s="24"/>
      <c r="W15" s="107" t="s">
        <v>98</v>
      </c>
      <c r="Y15" s="25">
        <v>9</v>
      </c>
      <c r="Z15" s="32"/>
      <c r="AA15" s="32">
        <v>1</v>
      </c>
      <c r="AB15" s="32"/>
      <c r="AC15" s="24"/>
      <c r="AD15" s="25">
        <f t="shared" si="16"/>
        <v>0</v>
      </c>
      <c r="AE15" s="25">
        <f t="shared" si="9"/>
        <v>1</v>
      </c>
      <c r="AF15" s="25">
        <f t="shared" si="17"/>
        <v>0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>
        <v>1</v>
      </c>
      <c r="C16" s="32"/>
      <c r="D16" s="32"/>
      <c r="E16" s="24"/>
      <c r="F16" s="25">
        <f t="shared" si="12"/>
        <v>0</v>
      </c>
      <c r="G16" s="25">
        <f t="shared" si="1"/>
        <v>0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>
        <v>1</v>
      </c>
      <c r="O16" s="32"/>
      <c r="P16" s="32"/>
      <c r="Q16" s="24"/>
      <c r="R16" s="25">
        <f t="shared" si="14"/>
        <v>0</v>
      </c>
      <c r="S16" s="25">
        <f t="shared" si="5"/>
        <v>0</v>
      </c>
      <c r="T16" s="25">
        <f t="shared" si="15"/>
        <v>0</v>
      </c>
      <c r="U16" s="25">
        <f t="shared" si="7"/>
        <v>0</v>
      </c>
      <c r="V16" s="24"/>
      <c r="W16" s="107" t="s">
        <v>99</v>
      </c>
      <c r="Y16" s="25">
        <v>10</v>
      </c>
      <c r="Z16" s="32">
        <v>1</v>
      </c>
      <c r="AA16" s="32"/>
      <c r="AB16" s="32"/>
      <c r="AC16" s="24"/>
      <c r="AD16" s="25">
        <f t="shared" si="16"/>
        <v>0</v>
      </c>
      <c r="AE16" s="25">
        <f t="shared" si="9"/>
        <v>0</v>
      </c>
      <c r="AF16" s="25">
        <f t="shared" si="17"/>
        <v>0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/>
      <c r="D17" s="32">
        <v>1</v>
      </c>
      <c r="E17" s="24"/>
      <c r="F17" s="25">
        <f t="shared" si="12"/>
        <v>0</v>
      </c>
      <c r="G17" s="25">
        <f t="shared" si="1"/>
        <v>0</v>
      </c>
      <c r="H17" s="25">
        <f t="shared" si="13"/>
        <v>2</v>
      </c>
      <c r="I17" s="25">
        <f t="shared" si="3"/>
        <v>0</v>
      </c>
      <c r="J17" s="105">
        <f>I8+I16+I21+I27+I31</f>
        <v>2</v>
      </c>
      <c r="K17" s="108">
        <f>J17</f>
        <v>2</v>
      </c>
      <c r="M17" s="25">
        <v>11</v>
      </c>
      <c r="N17" s="32"/>
      <c r="O17" s="32"/>
      <c r="P17" s="32">
        <v>1</v>
      </c>
      <c r="Q17" s="24"/>
      <c r="R17" s="25">
        <f t="shared" si="14"/>
        <v>0</v>
      </c>
      <c r="S17" s="25">
        <f t="shared" si="5"/>
        <v>0</v>
      </c>
      <c r="T17" s="25">
        <f t="shared" si="15"/>
        <v>2</v>
      </c>
      <c r="U17" s="25">
        <f t="shared" si="7"/>
        <v>0</v>
      </c>
      <c r="V17" s="105">
        <f>U8+U16+U21+U27+U31</f>
        <v>2</v>
      </c>
      <c r="W17" s="108">
        <f>V17</f>
        <v>2</v>
      </c>
      <c r="Y17" s="25">
        <v>11</v>
      </c>
      <c r="Z17" s="32"/>
      <c r="AA17" s="32"/>
      <c r="AB17" s="32">
        <v>1</v>
      </c>
      <c r="AC17" s="24"/>
      <c r="AD17" s="25">
        <f t="shared" si="16"/>
        <v>0</v>
      </c>
      <c r="AE17" s="25">
        <f t="shared" si="9"/>
        <v>0</v>
      </c>
      <c r="AF17" s="25">
        <f t="shared" si="17"/>
        <v>2</v>
      </c>
      <c r="AG17" s="25">
        <f t="shared" si="11"/>
        <v>0</v>
      </c>
      <c r="AH17" s="105">
        <f>AG8+AG16+AG21+AG27+AG31</f>
        <v>2</v>
      </c>
      <c r="AI17" s="108">
        <f>AH17</f>
        <v>2</v>
      </c>
    </row>
    <row r="18" spans="1:35" ht="21" customHeight="1">
      <c r="A18" s="25">
        <v>12</v>
      </c>
      <c r="B18" s="32">
        <v>1</v>
      </c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>
        <v>1</v>
      </c>
      <c r="O18" s="32"/>
      <c r="P18" s="32"/>
      <c r="Q18" s="24"/>
      <c r="R18" s="25">
        <f t="shared" si="14"/>
        <v>0</v>
      </c>
      <c r="S18" s="25">
        <f t="shared" si="5"/>
        <v>0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>
        <v>1</v>
      </c>
      <c r="AA18" s="32"/>
      <c r="AB18" s="32"/>
      <c r="AC18" s="24"/>
      <c r="AD18" s="25">
        <f t="shared" si="16"/>
        <v>0</v>
      </c>
      <c r="AE18" s="25">
        <f t="shared" si="9"/>
        <v>0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>
        <v>1</v>
      </c>
      <c r="C19" s="32"/>
      <c r="D19" s="32"/>
      <c r="E19" s="24"/>
      <c r="F19" s="25">
        <f t="shared" si="12"/>
        <v>0</v>
      </c>
      <c r="G19" s="25">
        <f t="shared" si="1"/>
        <v>0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>
        <v>1</v>
      </c>
      <c r="O19" s="32"/>
      <c r="P19" s="32"/>
      <c r="Q19" s="24"/>
      <c r="R19" s="25">
        <f t="shared" si="14"/>
        <v>0</v>
      </c>
      <c r="S19" s="25">
        <f t="shared" si="5"/>
        <v>0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>
        <v>1</v>
      </c>
      <c r="AA19" s="32"/>
      <c r="AB19" s="32"/>
      <c r="AC19" s="24"/>
      <c r="AD19" s="25">
        <f t="shared" si="16"/>
        <v>0</v>
      </c>
      <c r="AE19" s="25">
        <f t="shared" si="9"/>
        <v>0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/>
      <c r="C20" s="32">
        <v>1</v>
      </c>
      <c r="D20" s="32"/>
      <c r="E20" s="24"/>
      <c r="F20" s="25">
        <f>B20*2</f>
        <v>0</v>
      </c>
      <c r="G20" s="25">
        <f t="shared" si="1"/>
        <v>1</v>
      </c>
      <c r="H20" s="25">
        <f>D20*0</f>
        <v>0</v>
      </c>
      <c r="I20" s="25">
        <f t="shared" si="3"/>
        <v>0</v>
      </c>
      <c r="J20" s="24"/>
      <c r="K20" s="107" t="s">
        <v>100</v>
      </c>
      <c r="M20" s="25">
        <v>14</v>
      </c>
      <c r="N20" s="32"/>
      <c r="O20" s="32">
        <v>1</v>
      </c>
      <c r="P20" s="32"/>
      <c r="Q20" s="24"/>
      <c r="R20" s="25">
        <f>N20*2</f>
        <v>0</v>
      </c>
      <c r="S20" s="25">
        <f t="shared" si="5"/>
        <v>1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/>
      <c r="AA20" s="32">
        <v>1</v>
      </c>
      <c r="AB20" s="32"/>
      <c r="AC20" s="24"/>
      <c r="AD20" s="25">
        <f>Z20*2</f>
        <v>0</v>
      </c>
      <c r="AE20" s="25">
        <f t="shared" si="9"/>
        <v>1</v>
      </c>
      <c r="AF20" s="25">
        <f>AB20*0</f>
        <v>0</v>
      </c>
      <c r="AG20" s="25">
        <f t="shared" si="11"/>
        <v>0</v>
      </c>
      <c r="AH20" s="24"/>
      <c r="AI20" s="107" t="s">
        <v>100</v>
      </c>
    </row>
    <row r="21" spans="1:35" ht="21" customHeight="1">
      <c r="A21" s="25">
        <v>15</v>
      </c>
      <c r="B21" s="32">
        <v>1</v>
      </c>
      <c r="C21" s="32"/>
      <c r="D21" s="32"/>
      <c r="E21" s="24"/>
      <c r="F21" s="25">
        <f>B21*2</f>
        <v>2</v>
      </c>
      <c r="G21" s="25">
        <f t="shared" si="1"/>
        <v>0</v>
      </c>
      <c r="H21" s="25">
        <f>D21*0</f>
        <v>0</v>
      </c>
      <c r="I21" s="25">
        <f t="shared" si="3"/>
        <v>2</v>
      </c>
      <c r="J21" s="24"/>
      <c r="K21" s="107" t="s">
        <v>101</v>
      </c>
      <c r="M21" s="25">
        <v>15</v>
      </c>
      <c r="N21" s="32">
        <v>1</v>
      </c>
      <c r="O21" s="32"/>
      <c r="P21" s="32"/>
      <c r="Q21" s="24"/>
      <c r="R21" s="25">
        <f>N21*2</f>
        <v>2</v>
      </c>
      <c r="S21" s="25">
        <f t="shared" si="5"/>
        <v>0</v>
      </c>
      <c r="T21" s="25">
        <f>P21*0</f>
        <v>0</v>
      </c>
      <c r="U21" s="25">
        <f t="shared" si="7"/>
        <v>2</v>
      </c>
      <c r="V21" s="24"/>
      <c r="W21" s="107" t="s">
        <v>101</v>
      </c>
      <c r="Y21" s="25">
        <v>15</v>
      </c>
      <c r="Z21" s="32">
        <v>1</v>
      </c>
      <c r="AA21" s="32"/>
      <c r="AB21" s="32"/>
      <c r="AC21" s="24"/>
      <c r="AD21" s="25">
        <f>Z21*2</f>
        <v>2</v>
      </c>
      <c r="AE21" s="25">
        <f t="shared" si="9"/>
        <v>0</v>
      </c>
      <c r="AF21" s="25">
        <f>AB21*0</f>
        <v>0</v>
      </c>
      <c r="AG21" s="25">
        <f t="shared" si="11"/>
        <v>2</v>
      </c>
      <c r="AH21" s="24"/>
      <c r="AI21" s="107" t="s">
        <v>101</v>
      </c>
    </row>
    <row r="22" spans="1:35" ht="21" customHeight="1">
      <c r="A22" s="25">
        <v>16</v>
      </c>
      <c r="B22" s="32"/>
      <c r="C22" s="32">
        <v>1</v>
      </c>
      <c r="D22" s="32"/>
      <c r="E22" s="24"/>
      <c r="F22" s="25">
        <f>B22*0</f>
        <v>0</v>
      </c>
      <c r="G22" s="25">
        <f t="shared" si="1"/>
        <v>1</v>
      </c>
      <c r="H22" s="25">
        <f>D22*2</f>
        <v>0</v>
      </c>
      <c r="I22" s="25">
        <f t="shared" si="3"/>
        <v>0</v>
      </c>
      <c r="J22" s="105">
        <f>I12+I17+I20+I25+I29</f>
        <v>0</v>
      </c>
      <c r="K22" s="108">
        <f>J22</f>
        <v>0</v>
      </c>
      <c r="M22" s="25">
        <v>16</v>
      </c>
      <c r="N22" s="32">
        <v>1</v>
      </c>
      <c r="O22" s="32"/>
      <c r="P22" s="32"/>
      <c r="Q22" s="24"/>
      <c r="R22" s="25">
        <f>N22*0</f>
        <v>0</v>
      </c>
      <c r="S22" s="25">
        <f t="shared" si="5"/>
        <v>0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/>
      <c r="AA22" s="32">
        <v>1</v>
      </c>
      <c r="AB22" s="32"/>
      <c r="AC22" s="24"/>
      <c r="AD22" s="25">
        <f>Z22*0</f>
        <v>0</v>
      </c>
      <c r="AE22" s="25">
        <f t="shared" si="9"/>
        <v>1</v>
      </c>
      <c r="AF22" s="25">
        <f>AB22*2</f>
        <v>0</v>
      </c>
      <c r="AG22" s="25">
        <f t="shared" si="11"/>
        <v>0</v>
      </c>
      <c r="AH22" s="105">
        <f>AG12+AG17+AG20+AG25+AG29</f>
        <v>0</v>
      </c>
      <c r="AI22" s="108">
        <f>AH22</f>
        <v>0</v>
      </c>
    </row>
    <row r="23" spans="1:35" ht="21" customHeight="1">
      <c r="A23" s="25">
        <v>17</v>
      </c>
      <c r="B23" s="32"/>
      <c r="C23" s="32"/>
      <c r="D23" s="32">
        <v>1</v>
      </c>
      <c r="E23" s="24"/>
      <c r="F23" s="25">
        <f>B23*2</f>
        <v>0</v>
      </c>
      <c r="G23" s="25">
        <f t="shared" si="1"/>
        <v>0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/>
      <c r="O23" s="32">
        <v>1</v>
      </c>
      <c r="P23" s="32"/>
      <c r="Q23" s="24"/>
      <c r="R23" s="25">
        <f>N23*2</f>
        <v>0</v>
      </c>
      <c r="S23" s="25">
        <f t="shared" si="5"/>
        <v>1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/>
      <c r="AA23" s="32"/>
      <c r="AB23" s="32">
        <v>1</v>
      </c>
      <c r="AC23" s="24"/>
      <c r="AD23" s="25">
        <f>Z23*2</f>
        <v>0</v>
      </c>
      <c r="AE23" s="25">
        <f t="shared" si="9"/>
        <v>0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>
        <v>1</v>
      </c>
      <c r="C24" s="32"/>
      <c r="D24" s="32"/>
      <c r="E24" s="24"/>
      <c r="F24" s="25">
        <f>B24*2</f>
        <v>2</v>
      </c>
      <c r="G24" s="25">
        <f t="shared" si="1"/>
        <v>0</v>
      </c>
      <c r="H24" s="25">
        <f>D24*0</f>
        <v>0</v>
      </c>
      <c r="I24" s="25">
        <f t="shared" si="3"/>
        <v>2</v>
      </c>
      <c r="J24" s="24"/>
      <c r="K24" s="25"/>
      <c r="M24" s="25">
        <v>18</v>
      </c>
      <c r="N24" s="32">
        <v>1</v>
      </c>
      <c r="O24" s="32"/>
      <c r="P24" s="32"/>
      <c r="Q24" s="24"/>
      <c r="R24" s="25">
        <f>N24*2</f>
        <v>2</v>
      </c>
      <c r="S24" s="25">
        <f t="shared" si="5"/>
        <v>0</v>
      </c>
      <c r="T24" s="25">
        <f>P24*0</f>
        <v>0</v>
      </c>
      <c r="U24" s="25">
        <f t="shared" si="7"/>
        <v>2</v>
      </c>
      <c r="V24" s="24"/>
      <c r="W24" s="25"/>
      <c r="Y24" s="25">
        <v>18</v>
      </c>
      <c r="Z24" s="32">
        <v>1</v>
      </c>
      <c r="AA24" s="32"/>
      <c r="AB24" s="32"/>
      <c r="AC24" s="24"/>
      <c r="AD24" s="25">
        <f>Z24*2</f>
        <v>2</v>
      </c>
      <c r="AE24" s="25">
        <f t="shared" si="9"/>
        <v>0</v>
      </c>
      <c r="AF24" s="25">
        <f>AB24*0</f>
        <v>0</v>
      </c>
      <c r="AG24" s="25">
        <f t="shared" si="11"/>
        <v>2</v>
      </c>
      <c r="AH24" s="24"/>
      <c r="AI24" s="25"/>
    </row>
    <row r="25" spans="1:35" ht="21" customHeight="1">
      <c r="A25" s="25">
        <v>19</v>
      </c>
      <c r="B25" s="32">
        <v>1</v>
      </c>
      <c r="C25" s="32"/>
      <c r="D25" s="32"/>
      <c r="E25" s="24"/>
      <c r="F25" s="25">
        <f t="shared" ref="F25:F31" si="18">B25*0</f>
        <v>0</v>
      </c>
      <c r="G25" s="25">
        <f t="shared" si="1"/>
        <v>0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>
        <v>1</v>
      </c>
      <c r="O25" s="32"/>
      <c r="P25" s="32"/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>
        <v>1</v>
      </c>
      <c r="AA25" s="32"/>
      <c r="AB25" s="32"/>
      <c r="AC25" s="24"/>
      <c r="AD25" s="25">
        <f t="shared" ref="AD25:AD31" si="22">Z25*0</f>
        <v>0</v>
      </c>
      <c r="AE25" s="25">
        <f t="shared" si="9"/>
        <v>0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/>
      <c r="D26" s="32">
        <v>1</v>
      </c>
      <c r="E26" s="24"/>
      <c r="F26" s="25">
        <f t="shared" si="18"/>
        <v>0</v>
      </c>
      <c r="G26" s="25">
        <f t="shared" si="1"/>
        <v>0</v>
      </c>
      <c r="H26" s="25">
        <f t="shared" si="19"/>
        <v>2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/>
      <c r="P26" s="32">
        <v>1</v>
      </c>
      <c r="Q26" s="24"/>
      <c r="R26" s="25">
        <f t="shared" si="20"/>
        <v>0</v>
      </c>
      <c r="S26" s="25">
        <f t="shared" si="5"/>
        <v>0</v>
      </c>
      <c r="T26" s="25">
        <f t="shared" si="21"/>
        <v>2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/>
      <c r="AB26" s="32">
        <v>1</v>
      </c>
      <c r="AC26" s="24"/>
      <c r="AD26" s="25">
        <f t="shared" si="22"/>
        <v>0</v>
      </c>
      <c r="AE26" s="25">
        <f t="shared" si="9"/>
        <v>0</v>
      </c>
      <c r="AF26" s="25">
        <f t="shared" si="23"/>
        <v>2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/>
      <c r="D27" s="32">
        <v>1</v>
      </c>
      <c r="E27" s="24"/>
      <c r="F27" s="25">
        <f t="shared" si="18"/>
        <v>0</v>
      </c>
      <c r="G27" s="25">
        <f t="shared" si="1"/>
        <v>0</v>
      </c>
      <c r="H27" s="25">
        <f t="shared" si="19"/>
        <v>2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/>
      <c r="O27" s="32"/>
      <c r="P27" s="32">
        <v>1</v>
      </c>
      <c r="Q27" s="24"/>
      <c r="R27" s="25">
        <f t="shared" si="20"/>
        <v>0</v>
      </c>
      <c r="S27" s="25">
        <f t="shared" si="5"/>
        <v>0</v>
      </c>
      <c r="T27" s="25">
        <f t="shared" si="21"/>
        <v>2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/>
      <c r="AA27" s="32"/>
      <c r="AB27" s="32">
        <v>1</v>
      </c>
      <c r="AC27" s="24"/>
      <c r="AD27" s="25">
        <f t="shared" si="22"/>
        <v>0</v>
      </c>
      <c r="AE27" s="25">
        <f t="shared" si="9"/>
        <v>0</v>
      </c>
      <c r="AF27" s="25">
        <f t="shared" si="23"/>
        <v>2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>
        <v>1</v>
      </c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>
        <v>1</v>
      </c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>
        <v>1</v>
      </c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>
        <v>1</v>
      </c>
      <c r="C29" s="32"/>
      <c r="D29" s="32"/>
      <c r="E29" s="24"/>
      <c r="F29" s="25">
        <f t="shared" si="18"/>
        <v>0</v>
      </c>
      <c r="G29" s="25">
        <f t="shared" si="1"/>
        <v>0</v>
      </c>
      <c r="H29" s="25">
        <f t="shared" si="19"/>
        <v>0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>
        <v>1</v>
      </c>
      <c r="P29" s="32"/>
      <c r="Q29" s="24"/>
      <c r="R29" s="25">
        <f t="shared" si="20"/>
        <v>0</v>
      </c>
      <c r="S29" s="25">
        <f t="shared" si="5"/>
        <v>1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>
        <v>1</v>
      </c>
      <c r="AA29" s="32"/>
      <c r="AB29" s="32"/>
      <c r="AC29" s="24"/>
      <c r="AD29" s="25">
        <f t="shared" si="22"/>
        <v>0</v>
      </c>
      <c r="AE29" s="25">
        <f t="shared" si="9"/>
        <v>0</v>
      </c>
      <c r="AF29" s="25">
        <f t="shared" si="23"/>
        <v>0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>
        <v>1</v>
      </c>
      <c r="C30" s="32"/>
      <c r="D30" s="32"/>
      <c r="E30" s="24"/>
      <c r="F30" s="25">
        <f t="shared" si="18"/>
        <v>0</v>
      </c>
      <c r="G30" s="25">
        <f t="shared" si="1"/>
        <v>0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>
        <v>1</v>
      </c>
      <c r="O30" s="32"/>
      <c r="P30" s="32"/>
      <c r="Q30" s="24"/>
      <c r="R30" s="25">
        <f t="shared" si="20"/>
        <v>0</v>
      </c>
      <c r="S30" s="25">
        <f t="shared" si="5"/>
        <v>0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>
        <v>1</v>
      </c>
      <c r="AA30" s="32"/>
      <c r="AB30" s="32"/>
      <c r="AC30" s="24"/>
      <c r="AD30" s="25">
        <f t="shared" si="22"/>
        <v>0</v>
      </c>
      <c r="AE30" s="25">
        <f t="shared" si="9"/>
        <v>0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/>
      <c r="D31" s="32">
        <v>1</v>
      </c>
      <c r="E31" s="24"/>
      <c r="F31" s="25">
        <f t="shared" si="18"/>
        <v>0</v>
      </c>
      <c r="G31" s="25">
        <f t="shared" si="1"/>
        <v>0</v>
      </c>
      <c r="H31" s="25">
        <f t="shared" si="19"/>
        <v>2</v>
      </c>
      <c r="I31" s="25">
        <f t="shared" si="3"/>
        <v>0</v>
      </c>
      <c r="J31" s="24"/>
      <c r="K31" s="108">
        <f>K7+K12+K17+K22</f>
        <v>4</v>
      </c>
      <c r="M31" s="25">
        <v>25</v>
      </c>
      <c r="N31" s="32"/>
      <c r="O31" s="32">
        <v>1</v>
      </c>
      <c r="P31" s="32"/>
      <c r="Q31" s="24"/>
      <c r="R31" s="25">
        <f t="shared" si="20"/>
        <v>0</v>
      </c>
      <c r="S31" s="25">
        <f t="shared" si="5"/>
        <v>1</v>
      </c>
      <c r="T31" s="25">
        <f t="shared" si="21"/>
        <v>0</v>
      </c>
      <c r="U31" s="25">
        <f t="shared" si="7"/>
        <v>0</v>
      </c>
      <c r="V31" s="24"/>
      <c r="W31" s="108">
        <f>W7+W12+W17+W22</f>
        <v>4</v>
      </c>
      <c r="Y31" s="25">
        <v>25</v>
      </c>
      <c r="Z31" s="32"/>
      <c r="AA31" s="32"/>
      <c r="AB31" s="32">
        <v>1</v>
      </c>
      <c r="AC31" s="24"/>
      <c r="AD31" s="25">
        <f t="shared" si="22"/>
        <v>0</v>
      </c>
      <c r="AE31" s="25">
        <f t="shared" si="9"/>
        <v>0</v>
      </c>
      <c r="AF31" s="25">
        <f t="shared" si="23"/>
        <v>2</v>
      </c>
      <c r="AG31" s="25">
        <f t="shared" si="11"/>
        <v>0</v>
      </c>
      <c r="AH31" s="24"/>
      <c r="AI31" s="108">
        <f>AI7+AI12+AI17+AI22</f>
        <v>4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7"/>
  </sheetPr>
  <dimension ref="A1:AI41"/>
  <sheetViews>
    <sheetView topLeftCell="A28" zoomScale="150" workbookViewId="0">
      <selection activeCell="AC34" sqref="AC34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 t="str">
        <f>รายชื่อ!B10</f>
        <v>เด็กชาย</v>
      </c>
      <c r="C3" s="110" t="str">
        <f>รายชื่อ!C10</f>
        <v>ธีรภัทร</v>
      </c>
      <c r="D3" s="110" t="str">
        <f>รายชื่อ!D10</f>
        <v>ทวีชัยการ</v>
      </c>
      <c r="E3" s="60"/>
      <c r="F3" s="103"/>
      <c r="G3" s="165"/>
      <c r="H3" s="165"/>
      <c r="I3" s="165"/>
      <c r="J3" s="25"/>
      <c r="K3" s="106" t="s">
        <v>33</v>
      </c>
      <c r="M3" s="25" t="s">
        <v>85</v>
      </c>
      <c r="N3" s="110" t="str">
        <f>รายชื่อ!B10</f>
        <v>เด็กชาย</v>
      </c>
      <c r="O3" s="110" t="str">
        <f>รายชื่อ!C10</f>
        <v>ธีรภัทร</v>
      </c>
      <c r="P3" s="110" t="str">
        <f>รายชื่อ!D10</f>
        <v>ทวีชัยการ</v>
      </c>
      <c r="Q3" s="60"/>
      <c r="R3" s="103"/>
      <c r="S3" s="165"/>
      <c r="T3" s="165"/>
      <c r="U3" s="165"/>
      <c r="V3" s="25"/>
      <c r="W3" s="106" t="s">
        <v>33</v>
      </c>
      <c r="Y3" s="25" t="s">
        <v>85</v>
      </c>
      <c r="Z3" s="110" t="str">
        <f>รายชื่อ!B10</f>
        <v>เด็กชาย</v>
      </c>
      <c r="AA3" s="110" t="str">
        <f>รายชื่อ!C10</f>
        <v>ธีรภัทร</v>
      </c>
      <c r="AB3" s="110" t="str">
        <f>รายชื่อ!D10</f>
        <v>ทวีชัยการ</v>
      </c>
      <c r="AC3" s="60"/>
      <c r="AD3" s="103"/>
      <c r="AE3" s="165"/>
      <c r="AF3" s="165"/>
      <c r="AG3" s="165"/>
      <c r="AH3" s="25"/>
      <c r="AI3" s="106" t="s">
        <v>33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/>
      <c r="C7" s="32">
        <v>1</v>
      </c>
      <c r="D7" s="32"/>
      <c r="E7" s="24"/>
      <c r="F7" s="25">
        <f t="shared" ref="F7:F12" si="0">B7*0</f>
        <v>0</v>
      </c>
      <c r="G7" s="25">
        <f t="shared" ref="G7:G31" si="1">C7*1</f>
        <v>1</v>
      </c>
      <c r="H7" s="25">
        <f t="shared" ref="H7:H12" si="2">D7*2</f>
        <v>0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/>
      <c r="O7" s="32">
        <v>1</v>
      </c>
      <c r="P7" s="32"/>
      <c r="Q7" s="24"/>
      <c r="R7" s="25">
        <f t="shared" ref="R7:R12" si="4">N7*0</f>
        <v>0</v>
      </c>
      <c r="S7" s="25">
        <f t="shared" ref="S7:S31" si="5">O7*1</f>
        <v>1</v>
      </c>
      <c r="T7" s="25">
        <f t="shared" ref="T7:T12" si="6">P7*2</f>
        <v>0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>
        <v>1</v>
      </c>
      <c r="AB7" s="32"/>
      <c r="AC7" s="24"/>
      <c r="AD7" s="25">
        <f t="shared" ref="AD7:AD12" si="8">Z7*0</f>
        <v>0</v>
      </c>
      <c r="AE7" s="25">
        <f t="shared" ref="AE7:AE31" si="9">AA7*1</f>
        <v>1</v>
      </c>
      <c r="AF7" s="25">
        <f t="shared" ref="AF7:AF12" si="10">AB7*2</f>
        <v>0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/>
      <c r="C8" s="32">
        <v>1</v>
      </c>
      <c r="D8" s="32"/>
      <c r="E8" s="24"/>
      <c r="F8" s="25">
        <f t="shared" si="0"/>
        <v>0</v>
      </c>
      <c r="G8" s="25">
        <f t="shared" si="1"/>
        <v>1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/>
      <c r="O8" s="32"/>
      <c r="P8" s="32">
        <v>1</v>
      </c>
      <c r="Q8" s="24"/>
      <c r="R8" s="25">
        <f t="shared" si="4"/>
        <v>0</v>
      </c>
      <c r="S8" s="25">
        <f t="shared" si="5"/>
        <v>0</v>
      </c>
      <c r="T8" s="25">
        <f t="shared" si="6"/>
        <v>2</v>
      </c>
      <c r="U8" s="25">
        <f t="shared" si="7"/>
        <v>0</v>
      </c>
      <c r="V8" s="24"/>
      <c r="W8" s="25"/>
      <c r="Y8" s="25">
        <v>2</v>
      </c>
      <c r="Z8" s="32"/>
      <c r="AA8" s="32"/>
      <c r="AB8" s="32">
        <v>1</v>
      </c>
      <c r="AC8" s="24"/>
      <c r="AD8" s="25">
        <f t="shared" si="8"/>
        <v>0</v>
      </c>
      <c r="AE8" s="25">
        <f t="shared" si="9"/>
        <v>0</v>
      </c>
      <c r="AF8" s="25">
        <f t="shared" si="10"/>
        <v>2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>
        <v>1</v>
      </c>
      <c r="C9" s="32"/>
      <c r="D9" s="32"/>
      <c r="E9" s="24"/>
      <c r="F9" s="25">
        <f t="shared" si="0"/>
        <v>0</v>
      </c>
      <c r="G9" s="25">
        <f t="shared" si="1"/>
        <v>0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>
        <v>1</v>
      </c>
      <c r="O9" s="32"/>
      <c r="P9" s="32"/>
      <c r="Q9" s="24"/>
      <c r="R9" s="25">
        <f t="shared" si="4"/>
        <v>0</v>
      </c>
      <c r="S9" s="25">
        <f t="shared" si="5"/>
        <v>0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>
        <v>1</v>
      </c>
      <c r="AA9" s="32"/>
      <c r="AB9" s="32"/>
      <c r="AC9" s="24"/>
      <c r="AD9" s="25">
        <f t="shared" si="8"/>
        <v>0</v>
      </c>
      <c r="AE9" s="25">
        <f t="shared" si="9"/>
        <v>0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/>
      <c r="D10" s="32">
        <v>1</v>
      </c>
      <c r="E10" s="24"/>
      <c r="F10" s="25">
        <f t="shared" si="0"/>
        <v>0</v>
      </c>
      <c r="G10" s="25">
        <f t="shared" si="1"/>
        <v>0</v>
      </c>
      <c r="H10" s="25">
        <f t="shared" si="2"/>
        <v>2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>
        <v>1</v>
      </c>
      <c r="P10" s="32"/>
      <c r="Q10" s="24"/>
      <c r="R10" s="25">
        <f t="shared" si="4"/>
        <v>0</v>
      </c>
      <c r="S10" s="25">
        <f t="shared" si="5"/>
        <v>1</v>
      </c>
      <c r="T10" s="25">
        <f t="shared" si="6"/>
        <v>0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>
        <v>1</v>
      </c>
      <c r="AB10" s="32"/>
      <c r="AC10" s="24"/>
      <c r="AD10" s="25">
        <f t="shared" si="8"/>
        <v>0</v>
      </c>
      <c r="AE10" s="25">
        <f t="shared" si="9"/>
        <v>1</v>
      </c>
      <c r="AF10" s="25">
        <f t="shared" si="10"/>
        <v>0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>
        <v>1</v>
      </c>
      <c r="C11" s="32"/>
      <c r="D11" s="32"/>
      <c r="E11" s="24"/>
      <c r="F11" s="25">
        <f t="shared" si="0"/>
        <v>0</v>
      </c>
      <c r="G11" s="25">
        <f t="shared" si="1"/>
        <v>0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>
        <v>1</v>
      </c>
      <c r="O11" s="32"/>
      <c r="P11" s="32"/>
      <c r="Q11" s="24"/>
      <c r="R11" s="25">
        <f t="shared" si="4"/>
        <v>0</v>
      </c>
      <c r="S11" s="25">
        <f t="shared" si="5"/>
        <v>0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>
        <v>1</v>
      </c>
      <c r="AA11" s="32"/>
      <c r="AB11" s="32"/>
      <c r="AC11" s="24"/>
      <c r="AD11" s="25">
        <f t="shared" si="8"/>
        <v>0</v>
      </c>
      <c r="AE11" s="25">
        <f t="shared" si="9"/>
        <v>0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>
        <v>1</v>
      </c>
      <c r="C12" s="32"/>
      <c r="D12" s="32"/>
      <c r="E12" s="24"/>
      <c r="F12" s="25">
        <f t="shared" si="0"/>
        <v>0</v>
      </c>
      <c r="G12" s="25">
        <f t="shared" si="1"/>
        <v>0</v>
      </c>
      <c r="H12" s="25">
        <f t="shared" si="2"/>
        <v>0</v>
      </c>
      <c r="I12" s="25">
        <f t="shared" si="3"/>
        <v>0</v>
      </c>
      <c r="J12" s="105">
        <f>I11+I13+I18+I24+I28</f>
        <v>2</v>
      </c>
      <c r="K12" s="108">
        <f>J12</f>
        <v>2</v>
      </c>
      <c r="M12" s="25">
        <v>6</v>
      </c>
      <c r="N12" s="32">
        <v>1</v>
      </c>
      <c r="O12" s="32"/>
      <c r="P12" s="32"/>
      <c r="Q12" s="24"/>
      <c r="R12" s="25">
        <f t="shared" si="4"/>
        <v>0</v>
      </c>
      <c r="S12" s="25">
        <f t="shared" si="5"/>
        <v>0</v>
      </c>
      <c r="T12" s="25">
        <f t="shared" si="6"/>
        <v>0</v>
      </c>
      <c r="U12" s="25">
        <f t="shared" si="7"/>
        <v>0</v>
      </c>
      <c r="V12" s="105">
        <f>U11+U13+U18+U24+U28</f>
        <v>2</v>
      </c>
      <c r="W12" s="108">
        <f>V12</f>
        <v>2</v>
      </c>
      <c r="Y12" s="25">
        <v>6</v>
      </c>
      <c r="Z12" s="32">
        <v>1</v>
      </c>
      <c r="AA12" s="32"/>
      <c r="AB12" s="32"/>
      <c r="AC12" s="24"/>
      <c r="AD12" s="25">
        <f t="shared" si="8"/>
        <v>0</v>
      </c>
      <c r="AE12" s="25">
        <f t="shared" si="9"/>
        <v>0</v>
      </c>
      <c r="AF12" s="25">
        <f t="shared" si="10"/>
        <v>0</v>
      </c>
      <c r="AG12" s="25">
        <f t="shared" si="11"/>
        <v>0</v>
      </c>
      <c r="AH12" s="105">
        <f>AG11+AG13+AG18+AG24+AG28</f>
        <v>0</v>
      </c>
      <c r="AI12" s="108">
        <f>AH12</f>
        <v>0</v>
      </c>
    </row>
    <row r="13" spans="1:35" ht="21" customHeight="1">
      <c r="A13" s="25">
        <v>7</v>
      </c>
      <c r="B13" s="32"/>
      <c r="C13" s="32"/>
      <c r="D13" s="32">
        <v>1</v>
      </c>
      <c r="E13" s="24"/>
      <c r="F13" s="25">
        <f>B13*2</f>
        <v>0</v>
      </c>
      <c r="G13" s="25">
        <f t="shared" si="1"/>
        <v>0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>
        <v>1</v>
      </c>
      <c r="P13" s="32"/>
      <c r="Q13" s="24"/>
      <c r="R13" s="25">
        <f>N13*2</f>
        <v>0</v>
      </c>
      <c r="S13" s="25">
        <f t="shared" si="5"/>
        <v>1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/>
      <c r="AA13" s="32">
        <v>1</v>
      </c>
      <c r="AB13" s="32"/>
      <c r="AC13" s="24"/>
      <c r="AD13" s="25">
        <f>Z13*2</f>
        <v>0</v>
      </c>
      <c r="AE13" s="25">
        <f t="shared" si="9"/>
        <v>1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>
        <v>1</v>
      </c>
      <c r="C14" s="32"/>
      <c r="D14" s="32"/>
      <c r="E14" s="24"/>
      <c r="F14" s="25">
        <f t="shared" ref="F14:F19" si="12">B14*0</f>
        <v>0</v>
      </c>
      <c r="G14" s="25">
        <f t="shared" si="1"/>
        <v>0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/>
      <c r="O14" s="32">
        <v>1</v>
      </c>
      <c r="P14" s="32"/>
      <c r="Q14" s="24"/>
      <c r="R14" s="25">
        <f t="shared" ref="R14:R19" si="14">N14*0</f>
        <v>0</v>
      </c>
      <c r="S14" s="25">
        <f t="shared" si="5"/>
        <v>1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>
        <v>1</v>
      </c>
      <c r="AA14" s="32"/>
      <c r="AB14" s="32"/>
      <c r="AC14" s="24"/>
      <c r="AD14" s="25">
        <f t="shared" ref="AD14:AD19" si="16">Z14*0</f>
        <v>0</v>
      </c>
      <c r="AE14" s="25">
        <f t="shared" si="9"/>
        <v>0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>
        <v>1</v>
      </c>
      <c r="D15" s="32"/>
      <c r="E15" s="24"/>
      <c r="F15" s="25">
        <f t="shared" si="12"/>
        <v>0</v>
      </c>
      <c r="G15" s="25">
        <f t="shared" si="1"/>
        <v>1</v>
      </c>
      <c r="H15" s="25">
        <f t="shared" si="13"/>
        <v>0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>
        <v>1</v>
      </c>
      <c r="P15" s="32"/>
      <c r="Q15" s="24"/>
      <c r="R15" s="25">
        <f t="shared" si="14"/>
        <v>0</v>
      </c>
      <c r="S15" s="25">
        <f t="shared" si="5"/>
        <v>1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/>
      <c r="AA15" s="32">
        <v>1</v>
      </c>
      <c r="AB15" s="32"/>
      <c r="AC15" s="24"/>
      <c r="AD15" s="25">
        <f t="shared" si="16"/>
        <v>0</v>
      </c>
      <c r="AE15" s="25">
        <f t="shared" si="9"/>
        <v>1</v>
      </c>
      <c r="AF15" s="25">
        <f t="shared" si="17"/>
        <v>0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>
        <v>1</v>
      </c>
      <c r="C16" s="32"/>
      <c r="D16" s="32"/>
      <c r="E16" s="24"/>
      <c r="F16" s="25">
        <f t="shared" si="12"/>
        <v>0</v>
      </c>
      <c r="G16" s="25">
        <f t="shared" si="1"/>
        <v>0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/>
      <c r="O16" s="32"/>
      <c r="P16" s="32">
        <v>1</v>
      </c>
      <c r="Q16" s="24"/>
      <c r="R16" s="25">
        <f t="shared" si="14"/>
        <v>0</v>
      </c>
      <c r="S16" s="25">
        <f t="shared" si="5"/>
        <v>0</v>
      </c>
      <c r="T16" s="25">
        <f t="shared" si="15"/>
        <v>2</v>
      </c>
      <c r="U16" s="25">
        <f t="shared" si="7"/>
        <v>0</v>
      </c>
      <c r="V16" s="24"/>
      <c r="W16" s="107" t="s">
        <v>99</v>
      </c>
      <c r="Y16" s="25">
        <v>10</v>
      </c>
      <c r="Z16" s="32"/>
      <c r="AA16" s="32"/>
      <c r="AB16" s="32">
        <v>1</v>
      </c>
      <c r="AC16" s="24"/>
      <c r="AD16" s="25">
        <f t="shared" si="16"/>
        <v>0</v>
      </c>
      <c r="AE16" s="25">
        <f t="shared" si="9"/>
        <v>0</v>
      </c>
      <c r="AF16" s="25">
        <f t="shared" si="17"/>
        <v>2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/>
      <c r="D17" s="32">
        <v>1</v>
      </c>
      <c r="E17" s="24"/>
      <c r="F17" s="25">
        <f t="shared" si="12"/>
        <v>0</v>
      </c>
      <c r="G17" s="25">
        <f t="shared" si="1"/>
        <v>0</v>
      </c>
      <c r="H17" s="25">
        <f t="shared" si="13"/>
        <v>2</v>
      </c>
      <c r="I17" s="25">
        <f t="shared" si="3"/>
        <v>0</v>
      </c>
      <c r="J17" s="105">
        <f>I8+I16+I21+I27+I31</f>
        <v>2</v>
      </c>
      <c r="K17" s="108">
        <f>J17</f>
        <v>2</v>
      </c>
      <c r="M17" s="25">
        <v>11</v>
      </c>
      <c r="N17" s="32"/>
      <c r="O17" s="32"/>
      <c r="P17" s="32">
        <v>1</v>
      </c>
      <c r="Q17" s="24"/>
      <c r="R17" s="25">
        <f t="shared" si="14"/>
        <v>0</v>
      </c>
      <c r="S17" s="25">
        <f t="shared" si="5"/>
        <v>0</v>
      </c>
      <c r="T17" s="25">
        <f t="shared" si="15"/>
        <v>2</v>
      </c>
      <c r="U17" s="25">
        <f t="shared" si="7"/>
        <v>0</v>
      </c>
      <c r="V17" s="105">
        <f>U8+U16+U21+U27+U31</f>
        <v>0</v>
      </c>
      <c r="W17" s="108">
        <f>V17</f>
        <v>0</v>
      </c>
      <c r="Y17" s="25">
        <v>11</v>
      </c>
      <c r="Z17" s="32"/>
      <c r="AA17" s="32"/>
      <c r="AB17" s="32">
        <v>1</v>
      </c>
      <c r="AC17" s="24"/>
      <c r="AD17" s="25">
        <f t="shared" si="16"/>
        <v>0</v>
      </c>
      <c r="AE17" s="25">
        <f t="shared" si="9"/>
        <v>0</v>
      </c>
      <c r="AF17" s="25">
        <f t="shared" si="17"/>
        <v>2</v>
      </c>
      <c r="AG17" s="25">
        <f t="shared" si="11"/>
        <v>0</v>
      </c>
      <c r="AH17" s="105">
        <f>AG8+AG16+AG21+AG27+AG31</f>
        <v>0</v>
      </c>
      <c r="AI17" s="108">
        <f>AH17</f>
        <v>0</v>
      </c>
    </row>
    <row r="18" spans="1:35" ht="21" customHeight="1">
      <c r="A18" s="25">
        <v>12</v>
      </c>
      <c r="B18" s="32">
        <v>1</v>
      </c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>
        <v>1</v>
      </c>
      <c r="O18" s="32"/>
      <c r="P18" s="32"/>
      <c r="Q18" s="24"/>
      <c r="R18" s="25">
        <f t="shared" si="14"/>
        <v>0</v>
      </c>
      <c r="S18" s="25">
        <f t="shared" si="5"/>
        <v>0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>
        <v>1</v>
      </c>
      <c r="AA18" s="32"/>
      <c r="AB18" s="32"/>
      <c r="AC18" s="24"/>
      <c r="AD18" s="25">
        <f t="shared" si="16"/>
        <v>0</v>
      </c>
      <c r="AE18" s="25">
        <f t="shared" si="9"/>
        <v>0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>
        <v>1</v>
      </c>
      <c r="C19" s="32"/>
      <c r="D19" s="32"/>
      <c r="E19" s="24"/>
      <c r="F19" s="25">
        <f t="shared" si="12"/>
        <v>0</v>
      </c>
      <c r="G19" s="25">
        <f t="shared" si="1"/>
        <v>0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>
        <v>1</v>
      </c>
      <c r="O19" s="32"/>
      <c r="P19" s="32"/>
      <c r="Q19" s="24"/>
      <c r="R19" s="25">
        <f t="shared" si="14"/>
        <v>0</v>
      </c>
      <c r="S19" s="25">
        <f t="shared" si="5"/>
        <v>0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>
        <v>1</v>
      </c>
      <c r="AA19" s="32"/>
      <c r="AB19" s="32"/>
      <c r="AC19" s="24"/>
      <c r="AD19" s="25">
        <f t="shared" si="16"/>
        <v>0</v>
      </c>
      <c r="AE19" s="25">
        <f t="shared" si="9"/>
        <v>0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/>
      <c r="C20" s="32"/>
      <c r="D20" s="32">
        <v>1</v>
      </c>
      <c r="E20" s="24"/>
      <c r="F20" s="25">
        <f>B20*2</f>
        <v>0</v>
      </c>
      <c r="G20" s="25">
        <f t="shared" si="1"/>
        <v>0</v>
      </c>
      <c r="H20" s="25">
        <f>D20*0</f>
        <v>0</v>
      </c>
      <c r="I20" s="25">
        <f t="shared" si="3"/>
        <v>0</v>
      </c>
      <c r="J20" s="24"/>
      <c r="K20" s="107" t="s">
        <v>100</v>
      </c>
      <c r="M20" s="25">
        <v>14</v>
      </c>
      <c r="N20" s="32"/>
      <c r="O20" s="32">
        <v>1</v>
      </c>
      <c r="P20" s="32"/>
      <c r="Q20" s="24"/>
      <c r="R20" s="25">
        <f>N20*2</f>
        <v>0</v>
      </c>
      <c r="S20" s="25">
        <f t="shared" si="5"/>
        <v>1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/>
      <c r="AA20" s="32"/>
      <c r="AB20" s="32">
        <v>1</v>
      </c>
      <c r="AC20" s="24"/>
      <c r="AD20" s="25">
        <f>Z20*2</f>
        <v>0</v>
      </c>
      <c r="AE20" s="25">
        <f t="shared" si="9"/>
        <v>0</v>
      </c>
      <c r="AF20" s="25">
        <f>AB20*0</f>
        <v>0</v>
      </c>
      <c r="AG20" s="25">
        <f t="shared" si="11"/>
        <v>0</v>
      </c>
      <c r="AH20" s="24"/>
      <c r="AI20" s="107" t="s">
        <v>100</v>
      </c>
    </row>
    <row r="21" spans="1:35" ht="21" customHeight="1">
      <c r="A21" s="25">
        <v>15</v>
      </c>
      <c r="B21" s="32">
        <v>1</v>
      </c>
      <c r="C21" s="32"/>
      <c r="D21" s="32"/>
      <c r="E21" s="24"/>
      <c r="F21" s="25">
        <f>B21*2</f>
        <v>2</v>
      </c>
      <c r="G21" s="25">
        <f t="shared" si="1"/>
        <v>0</v>
      </c>
      <c r="H21" s="25">
        <f>D21*0</f>
        <v>0</v>
      </c>
      <c r="I21" s="25">
        <f t="shared" si="3"/>
        <v>2</v>
      </c>
      <c r="J21" s="24"/>
      <c r="K21" s="107" t="s">
        <v>101</v>
      </c>
      <c r="M21" s="25">
        <v>15</v>
      </c>
      <c r="N21" s="32"/>
      <c r="O21" s="32"/>
      <c r="P21" s="32">
        <v>1</v>
      </c>
      <c r="Q21" s="24"/>
      <c r="R21" s="25">
        <f>N21*2</f>
        <v>0</v>
      </c>
      <c r="S21" s="25">
        <f t="shared" si="5"/>
        <v>0</v>
      </c>
      <c r="T21" s="25">
        <f>P21*0</f>
        <v>0</v>
      </c>
      <c r="U21" s="25">
        <f t="shared" si="7"/>
        <v>0</v>
      </c>
      <c r="V21" s="24"/>
      <c r="W21" s="107" t="s">
        <v>101</v>
      </c>
      <c r="Y21" s="25">
        <v>15</v>
      </c>
      <c r="Z21" s="32"/>
      <c r="AA21" s="32">
        <v>1</v>
      </c>
      <c r="AB21" s="32"/>
      <c r="AC21" s="24"/>
      <c r="AD21" s="25">
        <f>Z21*2</f>
        <v>0</v>
      </c>
      <c r="AE21" s="25">
        <f t="shared" si="9"/>
        <v>1</v>
      </c>
      <c r="AF21" s="25">
        <f>AB21*0</f>
        <v>0</v>
      </c>
      <c r="AG21" s="25">
        <f t="shared" si="11"/>
        <v>0</v>
      </c>
      <c r="AH21" s="24"/>
      <c r="AI21" s="107" t="s">
        <v>101</v>
      </c>
    </row>
    <row r="22" spans="1:35" ht="21" customHeight="1">
      <c r="A22" s="25">
        <v>16</v>
      </c>
      <c r="B22" s="32">
        <v>1</v>
      </c>
      <c r="C22" s="32"/>
      <c r="D22" s="32"/>
      <c r="E22" s="24"/>
      <c r="F22" s="25">
        <f>B22*0</f>
        <v>0</v>
      </c>
      <c r="G22" s="25">
        <f t="shared" si="1"/>
        <v>0</v>
      </c>
      <c r="H22" s="25">
        <f>D22*2</f>
        <v>0</v>
      </c>
      <c r="I22" s="25">
        <f t="shared" si="3"/>
        <v>0</v>
      </c>
      <c r="J22" s="105">
        <f>I12+I17+I20+I25+I29</f>
        <v>0</v>
      </c>
      <c r="K22" s="108">
        <f>J22</f>
        <v>0</v>
      </c>
      <c r="M22" s="25">
        <v>16</v>
      </c>
      <c r="N22" s="32">
        <v>1</v>
      </c>
      <c r="O22" s="32"/>
      <c r="P22" s="32"/>
      <c r="Q22" s="24"/>
      <c r="R22" s="25">
        <f>N22*0</f>
        <v>0</v>
      </c>
      <c r="S22" s="25">
        <f t="shared" si="5"/>
        <v>0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>
        <v>1</v>
      </c>
      <c r="AA22" s="32"/>
      <c r="AB22" s="32"/>
      <c r="AC22" s="24"/>
      <c r="AD22" s="25">
        <f>Z22*0</f>
        <v>0</v>
      </c>
      <c r="AE22" s="25">
        <f t="shared" si="9"/>
        <v>0</v>
      </c>
      <c r="AF22" s="25">
        <f>AB22*2</f>
        <v>0</v>
      </c>
      <c r="AG22" s="25">
        <f t="shared" si="11"/>
        <v>0</v>
      </c>
      <c r="AH22" s="105">
        <f>AG12+AG17+AG20+AG25+AG29</f>
        <v>0</v>
      </c>
      <c r="AI22" s="108">
        <f>AH22</f>
        <v>0</v>
      </c>
    </row>
    <row r="23" spans="1:35" ht="21" customHeight="1">
      <c r="A23" s="25">
        <v>17</v>
      </c>
      <c r="B23" s="32"/>
      <c r="C23" s="32">
        <v>1</v>
      </c>
      <c r="D23" s="32"/>
      <c r="E23" s="24"/>
      <c r="F23" s="25">
        <f>B23*2</f>
        <v>0</v>
      </c>
      <c r="G23" s="25">
        <f t="shared" si="1"/>
        <v>1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/>
      <c r="O23" s="32">
        <v>1</v>
      </c>
      <c r="P23" s="32"/>
      <c r="Q23" s="24"/>
      <c r="R23" s="25">
        <f>N23*2</f>
        <v>0</v>
      </c>
      <c r="S23" s="25">
        <f t="shared" si="5"/>
        <v>1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/>
      <c r="AA23" s="32">
        <v>1</v>
      </c>
      <c r="AB23" s="32"/>
      <c r="AC23" s="24"/>
      <c r="AD23" s="25">
        <f>Z23*2</f>
        <v>0</v>
      </c>
      <c r="AE23" s="25">
        <f t="shared" si="9"/>
        <v>1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>
        <v>1</v>
      </c>
      <c r="C24" s="32"/>
      <c r="D24" s="32"/>
      <c r="E24" s="24"/>
      <c r="F24" s="25">
        <f>B24*2</f>
        <v>2</v>
      </c>
      <c r="G24" s="25">
        <f t="shared" si="1"/>
        <v>0</v>
      </c>
      <c r="H24" s="25">
        <f>D24*0</f>
        <v>0</v>
      </c>
      <c r="I24" s="25">
        <f t="shared" si="3"/>
        <v>2</v>
      </c>
      <c r="J24" s="24"/>
      <c r="K24" s="25"/>
      <c r="M24" s="25">
        <v>18</v>
      </c>
      <c r="N24" s="32">
        <v>1</v>
      </c>
      <c r="O24" s="32"/>
      <c r="P24" s="32"/>
      <c r="Q24" s="24"/>
      <c r="R24" s="25">
        <f>N24*2</f>
        <v>2</v>
      </c>
      <c r="S24" s="25">
        <f t="shared" si="5"/>
        <v>0</v>
      </c>
      <c r="T24" s="25">
        <f>P24*0</f>
        <v>0</v>
      </c>
      <c r="U24" s="25">
        <f t="shared" si="7"/>
        <v>2</v>
      </c>
      <c r="V24" s="24"/>
      <c r="W24" s="25"/>
      <c r="Y24" s="25">
        <v>18</v>
      </c>
      <c r="Z24" s="32"/>
      <c r="AA24" s="32">
        <v>1</v>
      </c>
      <c r="AB24" s="32"/>
      <c r="AC24" s="24"/>
      <c r="AD24" s="25">
        <f>Z24*2</f>
        <v>0</v>
      </c>
      <c r="AE24" s="25">
        <f t="shared" si="9"/>
        <v>1</v>
      </c>
      <c r="AF24" s="25">
        <f>AB24*0</f>
        <v>0</v>
      </c>
      <c r="AG24" s="25">
        <f t="shared" si="11"/>
        <v>0</v>
      </c>
      <c r="AH24" s="24"/>
      <c r="AI24" s="25"/>
    </row>
    <row r="25" spans="1:35" ht="21" customHeight="1">
      <c r="A25" s="25">
        <v>19</v>
      </c>
      <c r="B25" s="32">
        <v>1</v>
      </c>
      <c r="C25" s="32"/>
      <c r="D25" s="32"/>
      <c r="E25" s="24"/>
      <c r="F25" s="25">
        <f t="shared" ref="F25:F31" si="18">B25*0</f>
        <v>0</v>
      </c>
      <c r="G25" s="25">
        <f t="shared" si="1"/>
        <v>0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>
        <v>1</v>
      </c>
      <c r="O25" s="32"/>
      <c r="P25" s="32"/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>
        <v>1</v>
      </c>
      <c r="AA25" s="32"/>
      <c r="AB25" s="32"/>
      <c r="AC25" s="24"/>
      <c r="AD25" s="25">
        <f t="shared" ref="AD25:AD31" si="22">Z25*0</f>
        <v>0</v>
      </c>
      <c r="AE25" s="25">
        <f t="shared" si="9"/>
        <v>0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>
        <v>1</v>
      </c>
      <c r="D26" s="32"/>
      <c r="E26" s="24"/>
      <c r="F26" s="25">
        <f t="shared" si="18"/>
        <v>0</v>
      </c>
      <c r="G26" s="25">
        <f t="shared" si="1"/>
        <v>1</v>
      </c>
      <c r="H26" s="25">
        <f t="shared" si="19"/>
        <v>0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>
        <v>1</v>
      </c>
      <c r="P26" s="32"/>
      <c r="Q26" s="24"/>
      <c r="R26" s="25">
        <f t="shared" si="20"/>
        <v>0</v>
      </c>
      <c r="S26" s="25">
        <f t="shared" si="5"/>
        <v>1</v>
      </c>
      <c r="T26" s="25">
        <f t="shared" si="21"/>
        <v>0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>
        <v>1</v>
      </c>
      <c r="AB26" s="32"/>
      <c r="AC26" s="24"/>
      <c r="AD26" s="25">
        <f t="shared" si="22"/>
        <v>0</v>
      </c>
      <c r="AE26" s="25">
        <f t="shared" si="9"/>
        <v>1</v>
      </c>
      <c r="AF26" s="25">
        <f t="shared" si="23"/>
        <v>0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/>
      <c r="D27" s="32">
        <v>1</v>
      </c>
      <c r="E27" s="24"/>
      <c r="F27" s="25">
        <f t="shared" si="18"/>
        <v>0</v>
      </c>
      <c r="G27" s="25">
        <f t="shared" si="1"/>
        <v>0</v>
      </c>
      <c r="H27" s="25">
        <f t="shared" si="19"/>
        <v>2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>
        <v>1</v>
      </c>
      <c r="O27" s="32"/>
      <c r="P27" s="32"/>
      <c r="Q27" s="24"/>
      <c r="R27" s="25">
        <f t="shared" si="20"/>
        <v>0</v>
      </c>
      <c r="S27" s="25">
        <f t="shared" si="5"/>
        <v>0</v>
      </c>
      <c r="T27" s="25">
        <f t="shared" si="21"/>
        <v>0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/>
      <c r="AA27" s="32">
        <v>1</v>
      </c>
      <c r="AB27" s="32"/>
      <c r="AC27" s="24"/>
      <c r="AD27" s="25">
        <f t="shared" si="22"/>
        <v>0</v>
      </c>
      <c r="AE27" s="25">
        <f t="shared" si="9"/>
        <v>1</v>
      </c>
      <c r="AF27" s="25">
        <f t="shared" si="23"/>
        <v>0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>
        <v>1</v>
      </c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>
        <v>1</v>
      </c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>
        <v>1</v>
      </c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/>
      <c r="C29" s="32">
        <v>1</v>
      </c>
      <c r="D29" s="32"/>
      <c r="E29" s="24"/>
      <c r="F29" s="25">
        <f t="shared" si="18"/>
        <v>0</v>
      </c>
      <c r="G29" s="25">
        <f t="shared" si="1"/>
        <v>1</v>
      </c>
      <c r="H29" s="25">
        <f t="shared" si="19"/>
        <v>0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>
        <v>1</v>
      </c>
      <c r="P29" s="32"/>
      <c r="Q29" s="24"/>
      <c r="R29" s="25">
        <f t="shared" si="20"/>
        <v>0</v>
      </c>
      <c r="S29" s="25">
        <f t="shared" si="5"/>
        <v>1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/>
      <c r="AA29" s="32"/>
      <c r="AB29" s="32">
        <v>1</v>
      </c>
      <c r="AC29" s="24"/>
      <c r="AD29" s="25">
        <f t="shared" si="22"/>
        <v>0</v>
      </c>
      <c r="AE29" s="25">
        <f t="shared" si="9"/>
        <v>0</v>
      </c>
      <c r="AF29" s="25">
        <f t="shared" si="23"/>
        <v>2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/>
      <c r="C30" s="32"/>
      <c r="D30" s="32">
        <v>1</v>
      </c>
      <c r="E30" s="24"/>
      <c r="F30" s="25">
        <f t="shared" si="18"/>
        <v>0</v>
      </c>
      <c r="G30" s="25">
        <f t="shared" si="1"/>
        <v>0</v>
      </c>
      <c r="H30" s="25">
        <f t="shared" si="19"/>
        <v>2</v>
      </c>
      <c r="I30" s="25">
        <f t="shared" si="3"/>
        <v>0</v>
      </c>
      <c r="J30" s="24"/>
      <c r="K30" s="107" t="s">
        <v>105</v>
      </c>
      <c r="M30" s="25">
        <v>24</v>
      </c>
      <c r="N30" s="32"/>
      <c r="O30" s="32">
        <v>1</v>
      </c>
      <c r="P30" s="32"/>
      <c r="Q30" s="24"/>
      <c r="R30" s="25">
        <f t="shared" si="20"/>
        <v>0</v>
      </c>
      <c r="S30" s="25">
        <f t="shared" si="5"/>
        <v>1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/>
      <c r="AA30" s="32"/>
      <c r="AB30" s="32">
        <v>1</v>
      </c>
      <c r="AC30" s="24"/>
      <c r="AD30" s="25">
        <f t="shared" si="22"/>
        <v>0</v>
      </c>
      <c r="AE30" s="25">
        <f t="shared" si="9"/>
        <v>0</v>
      </c>
      <c r="AF30" s="25">
        <f t="shared" si="23"/>
        <v>2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/>
      <c r="D31" s="32">
        <v>1</v>
      </c>
      <c r="E31" s="24"/>
      <c r="F31" s="25">
        <f t="shared" si="18"/>
        <v>0</v>
      </c>
      <c r="G31" s="25">
        <f t="shared" si="1"/>
        <v>0</v>
      </c>
      <c r="H31" s="25">
        <f t="shared" si="19"/>
        <v>2</v>
      </c>
      <c r="I31" s="25">
        <f t="shared" si="3"/>
        <v>0</v>
      </c>
      <c r="J31" s="24"/>
      <c r="K31" s="108">
        <f>K7+K12+K17+K22</f>
        <v>4</v>
      </c>
      <c r="M31" s="25">
        <v>25</v>
      </c>
      <c r="N31" s="32"/>
      <c r="O31" s="32">
        <v>1</v>
      </c>
      <c r="P31" s="32"/>
      <c r="Q31" s="24"/>
      <c r="R31" s="25">
        <f t="shared" si="20"/>
        <v>0</v>
      </c>
      <c r="S31" s="25">
        <f t="shared" si="5"/>
        <v>1</v>
      </c>
      <c r="T31" s="25">
        <f t="shared" si="21"/>
        <v>0</v>
      </c>
      <c r="U31" s="25">
        <f t="shared" si="7"/>
        <v>0</v>
      </c>
      <c r="V31" s="24"/>
      <c r="W31" s="108">
        <f>W7+W12+W17+W22</f>
        <v>2</v>
      </c>
      <c r="Y31" s="25">
        <v>25</v>
      </c>
      <c r="Z31" s="32"/>
      <c r="AA31" s="32">
        <v>1</v>
      </c>
      <c r="AB31" s="32"/>
      <c r="AC31" s="24"/>
      <c r="AD31" s="25">
        <f t="shared" si="22"/>
        <v>0</v>
      </c>
      <c r="AE31" s="25">
        <f t="shared" si="9"/>
        <v>1</v>
      </c>
      <c r="AF31" s="25">
        <f t="shared" si="23"/>
        <v>0</v>
      </c>
      <c r="AG31" s="25">
        <f t="shared" si="11"/>
        <v>0</v>
      </c>
      <c r="AH31" s="24"/>
      <c r="AI31" s="108">
        <f>AI7+AI12+AI17+AI22</f>
        <v>0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7"/>
  </sheetPr>
  <dimension ref="A1:AI41"/>
  <sheetViews>
    <sheetView topLeftCell="X23" zoomScale="150" workbookViewId="0">
      <selection activeCell="AB29" sqref="AB29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 t="str">
        <f>รายชื่อ!B11</f>
        <v>เด็กชาย</v>
      </c>
      <c r="C3" s="110" t="str">
        <f>รายชื่อ!C11</f>
        <v>นัธทวัฒน์</v>
      </c>
      <c r="D3" s="110" t="str">
        <f>รายชื่อ!D11</f>
        <v>เหล่าจันอัน</v>
      </c>
      <c r="E3" s="60"/>
      <c r="F3" s="103"/>
      <c r="G3" s="165"/>
      <c r="H3" s="165"/>
      <c r="I3" s="165"/>
      <c r="J3" s="25"/>
      <c r="K3" s="106" t="s">
        <v>34</v>
      </c>
      <c r="M3" s="25" t="s">
        <v>85</v>
      </c>
      <c r="N3" s="110" t="str">
        <f>รายชื่อ!B11</f>
        <v>เด็กชาย</v>
      </c>
      <c r="O3" s="110" t="str">
        <f>รายชื่อ!C11</f>
        <v>นัธทวัฒน์</v>
      </c>
      <c r="P3" s="110" t="str">
        <f>รายชื่อ!D11</f>
        <v>เหล่าจันอัน</v>
      </c>
      <c r="Q3" s="60"/>
      <c r="R3" s="103"/>
      <c r="S3" s="165"/>
      <c r="T3" s="165"/>
      <c r="U3" s="165"/>
      <c r="V3" s="25"/>
      <c r="W3" s="106" t="s">
        <v>34</v>
      </c>
      <c r="Y3" s="25" t="s">
        <v>85</v>
      </c>
      <c r="Z3" s="110" t="str">
        <f>รายชื่อ!B11</f>
        <v>เด็กชาย</v>
      </c>
      <c r="AA3" s="110" t="str">
        <f>รายชื่อ!C11</f>
        <v>นัธทวัฒน์</v>
      </c>
      <c r="AB3" s="110" t="str">
        <f>รายชื่อ!D11</f>
        <v>เหล่าจันอัน</v>
      </c>
      <c r="AC3" s="60"/>
      <c r="AD3" s="103"/>
      <c r="AE3" s="165"/>
      <c r="AF3" s="165"/>
      <c r="AG3" s="165"/>
      <c r="AH3" s="25"/>
      <c r="AI3" s="106" t="s">
        <v>34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/>
      <c r="C7" s="32">
        <v>1</v>
      </c>
      <c r="D7" s="32"/>
      <c r="E7" s="24"/>
      <c r="F7" s="25">
        <f t="shared" ref="F7:F12" si="0">B7*0</f>
        <v>0</v>
      </c>
      <c r="G7" s="25">
        <f t="shared" ref="G7:G31" si="1">C7*1</f>
        <v>1</v>
      </c>
      <c r="H7" s="25">
        <f t="shared" ref="H7:H12" si="2">D7*2</f>
        <v>0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/>
      <c r="O7" s="32"/>
      <c r="P7" s="32">
        <v>1</v>
      </c>
      <c r="Q7" s="24"/>
      <c r="R7" s="25">
        <f t="shared" ref="R7:R12" si="4">N7*0</f>
        <v>0</v>
      </c>
      <c r="S7" s="25">
        <f t="shared" ref="S7:S31" si="5">O7*1</f>
        <v>0</v>
      </c>
      <c r="T7" s="25">
        <f t="shared" ref="T7:T12" si="6">P7*2</f>
        <v>2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/>
      <c r="AB7" s="32">
        <v>1</v>
      </c>
      <c r="AC7" s="24"/>
      <c r="AD7" s="25">
        <f t="shared" ref="AD7:AD12" si="8">Z7*0</f>
        <v>0</v>
      </c>
      <c r="AE7" s="25">
        <f t="shared" ref="AE7:AE31" si="9">AA7*1</f>
        <v>0</v>
      </c>
      <c r="AF7" s="25">
        <f t="shared" ref="AF7:AF12" si="10">AB7*2</f>
        <v>2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>
        <v>1</v>
      </c>
      <c r="C8" s="32"/>
      <c r="D8" s="32"/>
      <c r="E8" s="24"/>
      <c r="F8" s="25">
        <f t="shared" si="0"/>
        <v>0</v>
      </c>
      <c r="G8" s="25">
        <f t="shared" si="1"/>
        <v>0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>
        <v>1</v>
      </c>
      <c r="O8" s="32"/>
      <c r="P8" s="32"/>
      <c r="Q8" s="24"/>
      <c r="R8" s="25">
        <f t="shared" si="4"/>
        <v>0</v>
      </c>
      <c r="S8" s="25">
        <f t="shared" si="5"/>
        <v>0</v>
      </c>
      <c r="T8" s="25">
        <f t="shared" si="6"/>
        <v>0</v>
      </c>
      <c r="U8" s="25">
        <f t="shared" si="7"/>
        <v>0</v>
      </c>
      <c r="V8" s="24"/>
      <c r="W8" s="25"/>
      <c r="Y8" s="25">
        <v>2</v>
      </c>
      <c r="Z8" s="32">
        <v>1</v>
      </c>
      <c r="AA8" s="32"/>
      <c r="AB8" s="32"/>
      <c r="AC8" s="24"/>
      <c r="AD8" s="25">
        <f t="shared" si="8"/>
        <v>0</v>
      </c>
      <c r="AE8" s="25">
        <f t="shared" si="9"/>
        <v>0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>
        <v>1</v>
      </c>
      <c r="C9" s="32"/>
      <c r="D9" s="32"/>
      <c r="E9" s="24"/>
      <c r="F9" s="25">
        <f t="shared" si="0"/>
        <v>0</v>
      </c>
      <c r="G9" s="25">
        <f t="shared" si="1"/>
        <v>0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>
        <v>1</v>
      </c>
      <c r="O9" s="32"/>
      <c r="P9" s="32"/>
      <c r="Q9" s="24"/>
      <c r="R9" s="25">
        <f t="shared" si="4"/>
        <v>0</v>
      </c>
      <c r="S9" s="25">
        <f t="shared" si="5"/>
        <v>0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>
        <v>1</v>
      </c>
      <c r="AA9" s="32"/>
      <c r="AB9" s="32"/>
      <c r="AC9" s="24"/>
      <c r="AD9" s="25">
        <f t="shared" si="8"/>
        <v>0</v>
      </c>
      <c r="AE9" s="25">
        <f t="shared" si="9"/>
        <v>0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>
        <v>1</v>
      </c>
      <c r="D10" s="32"/>
      <c r="E10" s="24"/>
      <c r="F10" s="25">
        <f t="shared" si="0"/>
        <v>0</v>
      </c>
      <c r="G10" s="25">
        <f t="shared" si="1"/>
        <v>1</v>
      </c>
      <c r="H10" s="25">
        <f t="shared" si="2"/>
        <v>0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>
        <v>1</v>
      </c>
      <c r="P10" s="32"/>
      <c r="Q10" s="24"/>
      <c r="R10" s="25">
        <f t="shared" si="4"/>
        <v>0</v>
      </c>
      <c r="S10" s="25">
        <f t="shared" si="5"/>
        <v>1</v>
      </c>
      <c r="T10" s="25">
        <f t="shared" si="6"/>
        <v>0</v>
      </c>
      <c r="U10" s="25">
        <f t="shared" si="7"/>
        <v>0</v>
      </c>
      <c r="V10" s="24"/>
      <c r="W10" s="107" t="s">
        <v>96</v>
      </c>
      <c r="Y10" s="25">
        <v>4</v>
      </c>
      <c r="Z10" s="32">
        <v>1</v>
      </c>
      <c r="AA10" s="32"/>
      <c r="AB10" s="32"/>
      <c r="AC10" s="24"/>
      <c r="AD10" s="25">
        <f t="shared" si="8"/>
        <v>0</v>
      </c>
      <c r="AE10" s="25">
        <f t="shared" si="9"/>
        <v>0</v>
      </c>
      <c r="AF10" s="25">
        <f t="shared" si="10"/>
        <v>0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>
        <v>1</v>
      </c>
      <c r="C11" s="32"/>
      <c r="D11" s="32"/>
      <c r="E11" s="24"/>
      <c r="F11" s="25">
        <f t="shared" si="0"/>
        <v>0</v>
      </c>
      <c r="G11" s="25">
        <f t="shared" si="1"/>
        <v>0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>
        <v>1</v>
      </c>
      <c r="O11" s="32"/>
      <c r="P11" s="32"/>
      <c r="Q11" s="24"/>
      <c r="R11" s="25">
        <f t="shared" si="4"/>
        <v>0</v>
      </c>
      <c r="S11" s="25">
        <f t="shared" si="5"/>
        <v>0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>
        <v>1</v>
      </c>
      <c r="AA11" s="32"/>
      <c r="AB11" s="32"/>
      <c r="AC11" s="24"/>
      <c r="AD11" s="25">
        <f t="shared" si="8"/>
        <v>0</v>
      </c>
      <c r="AE11" s="25">
        <f t="shared" si="9"/>
        <v>0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>
        <v>1</v>
      </c>
      <c r="C12" s="32"/>
      <c r="D12" s="32"/>
      <c r="E12" s="24"/>
      <c r="F12" s="25">
        <f t="shared" si="0"/>
        <v>0</v>
      </c>
      <c r="G12" s="25">
        <f t="shared" si="1"/>
        <v>0</v>
      </c>
      <c r="H12" s="25">
        <f t="shared" si="2"/>
        <v>0</v>
      </c>
      <c r="I12" s="25">
        <f t="shared" si="3"/>
        <v>0</v>
      </c>
      <c r="J12" s="105">
        <f>I11+I13+I18+I24+I28</f>
        <v>2</v>
      </c>
      <c r="K12" s="108">
        <f>J12</f>
        <v>2</v>
      </c>
      <c r="M12" s="25">
        <v>6</v>
      </c>
      <c r="N12" s="32">
        <v>1</v>
      </c>
      <c r="O12" s="32"/>
      <c r="P12" s="32"/>
      <c r="Q12" s="24"/>
      <c r="R12" s="25">
        <f t="shared" si="4"/>
        <v>0</v>
      </c>
      <c r="S12" s="25">
        <f t="shared" si="5"/>
        <v>0</v>
      </c>
      <c r="T12" s="25">
        <f t="shared" si="6"/>
        <v>0</v>
      </c>
      <c r="U12" s="25">
        <f t="shared" si="7"/>
        <v>0</v>
      </c>
      <c r="V12" s="105">
        <f>U11+U13+U18+U24+U28</f>
        <v>2</v>
      </c>
      <c r="W12" s="108">
        <f>V12</f>
        <v>2</v>
      </c>
      <c r="Y12" s="25">
        <v>6</v>
      </c>
      <c r="Z12" s="32">
        <v>1</v>
      </c>
      <c r="AA12" s="32"/>
      <c r="AB12" s="32"/>
      <c r="AC12" s="24"/>
      <c r="AD12" s="25">
        <f t="shared" si="8"/>
        <v>0</v>
      </c>
      <c r="AE12" s="25">
        <f t="shared" si="9"/>
        <v>0</v>
      </c>
      <c r="AF12" s="25">
        <f t="shared" si="10"/>
        <v>0</v>
      </c>
      <c r="AG12" s="25">
        <f t="shared" si="11"/>
        <v>0</v>
      </c>
      <c r="AH12" s="105">
        <f>AG11+AG13+AG18+AG24+AG28</f>
        <v>2</v>
      </c>
      <c r="AI12" s="108">
        <f>AH12</f>
        <v>2</v>
      </c>
    </row>
    <row r="13" spans="1:35" ht="21" customHeight="1">
      <c r="A13" s="25">
        <v>7</v>
      </c>
      <c r="B13" s="32"/>
      <c r="C13" s="32">
        <v>1</v>
      </c>
      <c r="D13" s="32"/>
      <c r="E13" s="24"/>
      <c r="F13" s="25">
        <f>B13*2</f>
        <v>0</v>
      </c>
      <c r="G13" s="25">
        <f t="shared" si="1"/>
        <v>1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>
        <v>1</v>
      </c>
      <c r="P13" s="32"/>
      <c r="Q13" s="24"/>
      <c r="R13" s="25">
        <f>N13*2</f>
        <v>0</v>
      </c>
      <c r="S13" s="25">
        <f t="shared" si="5"/>
        <v>1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/>
      <c r="AA13" s="32">
        <v>1</v>
      </c>
      <c r="AB13" s="32"/>
      <c r="AC13" s="24"/>
      <c r="AD13" s="25">
        <f>Z13*2</f>
        <v>0</v>
      </c>
      <c r="AE13" s="25">
        <f t="shared" si="9"/>
        <v>1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/>
      <c r="C14" s="32">
        <v>1</v>
      </c>
      <c r="D14" s="32"/>
      <c r="E14" s="24"/>
      <c r="F14" s="25">
        <f t="shared" ref="F14:F19" si="12">B14*0</f>
        <v>0</v>
      </c>
      <c r="G14" s="25">
        <f t="shared" si="1"/>
        <v>1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/>
      <c r="O14" s="32">
        <v>1</v>
      </c>
      <c r="P14" s="32"/>
      <c r="Q14" s="24"/>
      <c r="R14" s="25">
        <f t="shared" ref="R14:R19" si="14">N14*0</f>
        <v>0</v>
      </c>
      <c r="S14" s="25">
        <f t="shared" si="5"/>
        <v>1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>
        <v>1</v>
      </c>
      <c r="AA14" s="32"/>
      <c r="AB14" s="32"/>
      <c r="AC14" s="24"/>
      <c r="AD14" s="25">
        <f t="shared" ref="AD14:AD19" si="16">Z14*0</f>
        <v>0</v>
      </c>
      <c r="AE14" s="25">
        <f t="shared" si="9"/>
        <v>0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>
        <v>1</v>
      </c>
      <c r="D15" s="32"/>
      <c r="E15" s="24"/>
      <c r="F15" s="25">
        <f t="shared" si="12"/>
        <v>0</v>
      </c>
      <c r="G15" s="25">
        <f t="shared" si="1"/>
        <v>1</v>
      </c>
      <c r="H15" s="25">
        <f t="shared" si="13"/>
        <v>0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>
        <v>1</v>
      </c>
      <c r="P15" s="32"/>
      <c r="Q15" s="24"/>
      <c r="R15" s="25">
        <f t="shared" si="14"/>
        <v>0</v>
      </c>
      <c r="S15" s="25">
        <f t="shared" si="5"/>
        <v>1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>
        <v>1</v>
      </c>
      <c r="AA15" s="32"/>
      <c r="AB15" s="32"/>
      <c r="AC15" s="24"/>
      <c r="AD15" s="25">
        <f t="shared" si="16"/>
        <v>0</v>
      </c>
      <c r="AE15" s="25">
        <f t="shared" si="9"/>
        <v>0</v>
      </c>
      <c r="AF15" s="25">
        <f t="shared" si="17"/>
        <v>0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>
        <v>1</v>
      </c>
      <c r="C16" s="32"/>
      <c r="D16" s="32"/>
      <c r="E16" s="24"/>
      <c r="F16" s="25">
        <f t="shared" si="12"/>
        <v>0</v>
      </c>
      <c r="G16" s="25">
        <f t="shared" si="1"/>
        <v>0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>
        <v>1</v>
      </c>
      <c r="O16" s="32"/>
      <c r="P16" s="32"/>
      <c r="Q16" s="24"/>
      <c r="R16" s="25">
        <f t="shared" si="14"/>
        <v>0</v>
      </c>
      <c r="S16" s="25">
        <f t="shared" si="5"/>
        <v>0</v>
      </c>
      <c r="T16" s="25">
        <f t="shared" si="15"/>
        <v>0</v>
      </c>
      <c r="U16" s="25">
        <f t="shared" si="7"/>
        <v>0</v>
      </c>
      <c r="V16" s="24"/>
      <c r="W16" s="107" t="s">
        <v>99</v>
      </c>
      <c r="Y16" s="25">
        <v>10</v>
      </c>
      <c r="Z16" s="32">
        <v>1</v>
      </c>
      <c r="AA16" s="32"/>
      <c r="AB16" s="32"/>
      <c r="AC16" s="24"/>
      <c r="AD16" s="25">
        <f t="shared" si="16"/>
        <v>0</v>
      </c>
      <c r="AE16" s="25">
        <f t="shared" si="9"/>
        <v>0</v>
      </c>
      <c r="AF16" s="25">
        <f t="shared" si="17"/>
        <v>0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/>
      <c r="D17" s="32">
        <v>1</v>
      </c>
      <c r="E17" s="24"/>
      <c r="F17" s="25">
        <f t="shared" si="12"/>
        <v>0</v>
      </c>
      <c r="G17" s="25">
        <f t="shared" si="1"/>
        <v>0</v>
      </c>
      <c r="H17" s="25">
        <f t="shared" si="13"/>
        <v>2</v>
      </c>
      <c r="I17" s="25">
        <f t="shared" si="3"/>
        <v>0</v>
      </c>
      <c r="J17" s="105">
        <f>I8+I16+I21+I27+I31</f>
        <v>2</v>
      </c>
      <c r="K17" s="108">
        <f>J17</f>
        <v>2</v>
      </c>
      <c r="M17" s="25">
        <v>11</v>
      </c>
      <c r="N17" s="32"/>
      <c r="O17" s="32"/>
      <c r="P17" s="32">
        <v>1</v>
      </c>
      <c r="Q17" s="24"/>
      <c r="R17" s="25">
        <f t="shared" si="14"/>
        <v>0</v>
      </c>
      <c r="S17" s="25">
        <f t="shared" si="5"/>
        <v>0</v>
      </c>
      <c r="T17" s="25">
        <f t="shared" si="15"/>
        <v>2</v>
      </c>
      <c r="U17" s="25">
        <f t="shared" si="7"/>
        <v>0</v>
      </c>
      <c r="V17" s="105">
        <f>U8+U16+U21+U27+U31</f>
        <v>2</v>
      </c>
      <c r="W17" s="108">
        <f>V17</f>
        <v>2</v>
      </c>
      <c r="Y17" s="25">
        <v>11</v>
      </c>
      <c r="Z17" s="32"/>
      <c r="AA17" s="32"/>
      <c r="AB17" s="32">
        <v>1</v>
      </c>
      <c r="AC17" s="24"/>
      <c r="AD17" s="25">
        <f t="shared" si="16"/>
        <v>0</v>
      </c>
      <c r="AE17" s="25">
        <f t="shared" si="9"/>
        <v>0</v>
      </c>
      <c r="AF17" s="25">
        <f t="shared" si="17"/>
        <v>2</v>
      </c>
      <c r="AG17" s="25">
        <f t="shared" si="11"/>
        <v>0</v>
      </c>
      <c r="AH17" s="105">
        <f>AG8+AG16+AG21+AG27+AG31</f>
        <v>2</v>
      </c>
      <c r="AI17" s="108">
        <f>AH17</f>
        <v>2</v>
      </c>
    </row>
    <row r="18" spans="1:35" ht="21" customHeight="1">
      <c r="A18" s="25">
        <v>12</v>
      </c>
      <c r="B18" s="32">
        <v>1</v>
      </c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>
        <v>1</v>
      </c>
      <c r="O18" s="32"/>
      <c r="P18" s="32"/>
      <c r="Q18" s="24"/>
      <c r="R18" s="25">
        <f t="shared" si="14"/>
        <v>0</v>
      </c>
      <c r="S18" s="25">
        <f t="shared" si="5"/>
        <v>0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>
        <v>1</v>
      </c>
      <c r="AA18" s="32"/>
      <c r="AB18" s="32"/>
      <c r="AC18" s="24"/>
      <c r="AD18" s="25">
        <f t="shared" si="16"/>
        <v>0</v>
      </c>
      <c r="AE18" s="25">
        <f t="shared" si="9"/>
        <v>0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>
        <v>1</v>
      </c>
      <c r="C19" s="32"/>
      <c r="D19" s="32"/>
      <c r="E19" s="24"/>
      <c r="F19" s="25">
        <f t="shared" si="12"/>
        <v>0</v>
      </c>
      <c r="G19" s="25">
        <f t="shared" si="1"/>
        <v>0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>
        <v>1</v>
      </c>
      <c r="O19" s="32"/>
      <c r="P19" s="32"/>
      <c r="Q19" s="24"/>
      <c r="R19" s="25">
        <f t="shared" si="14"/>
        <v>0</v>
      </c>
      <c r="S19" s="25">
        <f t="shared" si="5"/>
        <v>0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>
        <v>1</v>
      </c>
      <c r="AA19" s="32"/>
      <c r="AB19" s="32"/>
      <c r="AC19" s="24"/>
      <c r="AD19" s="25">
        <f t="shared" si="16"/>
        <v>0</v>
      </c>
      <c r="AE19" s="25">
        <f t="shared" si="9"/>
        <v>0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/>
      <c r="C20" s="32">
        <v>1</v>
      </c>
      <c r="D20" s="32"/>
      <c r="E20" s="24"/>
      <c r="F20" s="25">
        <f>B20*2</f>
        <v>0</v>
      </c>
      <c r="G20" s="25">
        <f t="shared" si="1"/>
        <v>1</v>
      </c>
      <c r="H20" s="25">
        <f>D20*0</f>
        <v>0</v>
      </c>
      <c r="I20" s="25">
        <f t="shared" si="3"/>
        <v>0</v>
      </c>
      <c r="J20" s="24"/>
      <c r="K20" s="107" t="s">
        <v>100</v>
      </c>
      <c r="M20" s="25">
        <v>14</v>
      </c>
      <c r="N20" s="32"/>
      <c r="O20" s="32">
        <v>1</v>
      </c>
      <c r="P20" s="32"/>
      <c r="Q20" s="24"/>
      <c r="R20" s="25">
        <f>N20*2</f>
        <v>0</v>
      </c>
      <c r="S20" s="25">
        <f t="shared" si="5"/>
        <v>1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/>
      <c r="AA20" s="32">
        <v>1</v>
      </c>
      <c r="AB20" s="32"/>
      <c r="AC20" s="24"/>
      <c r="AD20" s="25">
        <f>Z20*2</f>
        <v>0</v>
      </c>
      <c r="AE20" s="25">
        <f t="shared" si="9"/>
        <v>1</v>
      </c>
      <c r="AF20" s="25">
        <f>AB20*0</f>
        <v>0</v>
      </c>
      <c r="AG20" s="25">
        <f t="shared" si="11"/>
        <v>0</v>
      </c>
      <c r="AH20" s="24"/>
      <c r="AI20" s="107" t="s">
        <v>100</v>
      </c>
    </row>
    <row r="21" spans="1:35" ht="21" customHeight="1">
      <c r="A21" s="25">
        <v>15</v>
      </c>
      <c r="B21" s="32">
        <v>1</v>
      </c>
      <c r="C21" s="32"/>
      <c r="D21" s="32"/>
      <c r="E21" s="24"/>
      <c r="F21" s="25">
        <f>B21*2</f>
        <v>2</v>
      </c>
      <c r="G21" s="25">
        <f t="shared" si="1"/>
        <v>0</v>
      </c>
      <c r="H21" s="25">
        <f>D21*0</f>
        <v>0</v>
      </c>
      <c r="I21" s="25">
        <f t="shared" si="3"/>
        <v>2</v>
      </c>
      <c r="J21" s="24"/>
      <c r="K21" s="107" t="s">
        <v>101</v>
      </c>
      <c r="M21" s="25">
        <v>15</v>
      </c>
      <c r="N21" s="32">
        <v>1</v>
      </c>
      <c r="O21" s="32"/>
      <c r="P21" s="32"/>
      <c r="Q21" s="24"/>
      <c r="R21" s="25">
        <f>N21*2</f>
        <v>2</v>
      </c>
      <c r="S21" s="25">
        <f t="shared" si="5"/>
        <v>0</v>
      </c>
      <c r="T21" s="25">
        <f>P21*0</f>
        <v>0</v>
      </c>
      <c r="U21" s="25">
        <f t="shared" si="7"/>
        <v>2</v>
      </c>
      <c r="V21" s="24"/>
      <c r="W21" s="107" t="s">
        <v>101</v>
      </c>
      <c r="Y21" s="25">
        <v>15</v>
      </c>
      <c r="Z21" s="32">
        <v>1</v>
      </c>
      <c r="AA21" s="32"/>
      <c r="AB21" s="32"/>
      <c r="AC21" s="24"/>
      <c r="AD21" s="25">
        <f>Z21*2</f>
        <v>2</v>
      </c>
      <c r="AE21" s="25">
        <f t="shared" si="9"/>
        <v>0</v>
      </c>
      <c r="AF21" s="25">
        <f>AB21*0</f>
        <v>0</v>
      </c>
      <c r="AG21" s="25">
        <f t="shared" si="11"/>
        <v>2</v>
      </c>
      <c r="AH21" s="24"/>
      <c r="AI21" s="107" t="s">
        <v>101</v>
      </c>
    </row>
    <row r="22" spans="1:35" ht="21" customHeight="1">
      <c r="A22" s="25">
        <v>16</v>
      </c>
      <c r="B22" s="32"/>
      <c r="C22" s="32">
        <v>1</v>
      </c>
      <c r="D22" s="32"/>
      <c r="E22" s="24"/>
      <c r="F22" s="25">
        <f>B22*0</f>
        <v>0</v>
      </c>
      <c r="G22" s="25">
        <f t="shared" si="1"/>
        <v>1</v>
      </c>
      <c r="H22" s="25">
        <f>D22*2</f>
        <v>0</v>
      </c>
      <c r="I22" s="25">
        <f t="shared" si="3"/>
        <v>0</v>
      </c>
      <c r="J22" s="105">
        <f>I12+I17+I20+I25+I29</f>
        <v>0</v>
      </c>
      <c r="K22" s="108">
        <f>J22</f>
        <v>0</v>
      </c>
      <c r="M22" s="25">
        <v>16</v>
      </c>
      <c r="N22" s="32"/>
      <c r="O22" s="32">
        <v>1</v>
      </c>
      <c r="P22" s="32"/>
      <c r="Q22" s="24"/>
      <c r="R22" s="25">
        <f>N22*0</f>
        <v>0</v>
      </c>
      <c r="S22" s="25">
        <f t="shared" si="5"/>
        <v>1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/>
      <c r="AA22" s="32">
        <v>1</v>
      </c>
      <c r="AB22" s="32"/>
      <c r="AC22" s="24"/>
      <c r="AD22" s="25">
        <f>Z22*0</f>
        <v>0</v>
      </c>
      <c r="AE22" s="25">
        <f t="shared" si="9"/>
        <v>1</v>
      </c>
      <c r="AF22" s="25">
        <f>AB22*2</f>
        <v>0</v>
      </c>
      <c r="AG22" s="25">
        <f t="shared" si="11"/>
        <v>0</v>
      </c>
      <c r="AH22" s="105">
        <f>AG12+AG17+AG20+AG25+AG29</f>
        <v>0</v>
      </c>
      <c r="AI22" s="108">
        <f>AH22</f>
        <v>0</v>
      </c>
    </row>
    <row r="23" spans="1:35" ht="21" customHeight="1">
      <c r="A23" s="25">
        <v>17</v>
      </c>
      <c r="B23" s="32"/>
      <c r="C23" s="32">
        <v>1</v>
      </c>
      <c r="D23" s="32"/>
      <c r="E23" s="24"/>
      <c r="F23" s="25">
        <f>B23*2</f>
        <v>0</v>
      </c>
      <c r="G23" s="25">
        <f t="shared" si="1"/>
        <v>1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/>
      <c r="O23" s="32">
        <v>1</v>
      </c>
      <c r="P23" s="32"/>
      <c r="Q23" s="24"/>
      <c r="R23" s="25">
        <f>N23*2</f>
        <v>0</v>
      </c>
      <c r="S23" s="25">
        <f t="shared" si="5"/>
        <v>1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/>
      <c r="AA23" s="32">
        <v>1</v>
      </c>
      <c r="AB23" s="32"/>
      <c r="AC23" s="24"/>
      <c r="AD23" s="25">
        <f>Z23*2</f>
        <v>0</v>
      </c>
      <c r="AE23" s="25">
        <f t="shared" si="9"/>
        <v>1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>
        <v>1</v>
      </c>
      <c r="C24" s="32"/>
      <c r="D24" s="32"/>
      <c r="E24" s="24"/>
      <c r="F24" s="25">
        <f>B24*2</f>
        <v>2</v>
      </c>
      <c r="G24" s="25">
        <f t="shared" si="1"/>
        <v>0</v>
      </c>
      <c r="H24" s="25">
        <f>D24*0</f>
        <v>0</v>
      </c>
      <c r="I24" s="25">
        <f t="shared" si="3"/>
        <v>2</v>
      </c>
      <c r="J24" s="24"/>
      <c r="K24" s="25"/>
      <c r="M24" s="25">
        <v>18</v>
      </c>
      <c r="N24" s="32">
        <v>1</v>
      </c>
      <c r="O24" s="32"/>
      <c r="P24" s="32"/>
      <c r="Q24" s="24"/>
      <c r="R24" s="25">
        <f>N24*2</f>
        <v>2</v>
      </c>
      <c r="S24" s="25">
        <f t="shared" si="5"/>
        <v>0</v>
      </c>
      <c r="T24" s="25">
        <f>P24*0</f>
        <v>0</v>
      </c>
      <c r="U24" s="25">
        <f t="shared" si="7"/>
        <v>2</v>
      </c>
      <c r="V24" s="24"/>
      <c r="W24" s="25"/>
      <c r="Y24" s="25">
        <v>18</v>
      </c>
      <c r="Z24" s="32">
        <v>1</v>
      </c>
      <c r="AA24" s="32"/>
      <c r="AB24" s="32"/>
      <c r="AC24" s="24"/>
      <c r="AD24" s="25">
        <f>Z24*2</f>
        <v>2</v>
      </c>
      <c r="AE24" s="25">
        <f t="shared" si="9"/>
        <v>0</v>
      </c>
      <c r="AF24" s="25">
        <f>AB24*0</f>
        <v>0</v>
      </c>
      <c r="AG24" s="25">
        <f t="shared" si="11"/>
        <v>2</v>
      </c>
      <c r="AH24" s="24"/>
      <c r="AI24" s="25"/>
    </row>
    <row r="25" spans="1:35" ht="21" customHeight="1">
      <c r="A25" s="25">
        <v>19</v>
      </c>
      <c r="B25" s="32">
        <v>1</v>
      </c>
      <c r="C25" s="32"/>
      <c r="D25" s="32"/>
      <c r="E25" s="24"/>
      <c r="F25" s="25">
        <f t="shared" ref="F25:F31" si="18">B25*0</f>
        <v>0</v>
      </c>
      <c r="G25" s="25">
        <f t="shared" si="1"/>
        <v>0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>
        <v>1</v>
      </c>
      <c r="O25" s="32"/>
      <c r="P25" s="32"/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>
        <v>1</v>
      </c>
      <c r="AA25" s="32"/>
      <c r="AB25" s="32"/>
      <c r="AC25" s="24"/>
      <c r="AD25" s="25">
        <f t="shared" ref="AD25:AD31" si="22">Z25*0</f>
        <v>0</v>
      </c>
      <c r="AE25" s="25">
        <f t="shared" si="9"/>
        <v>0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>
        <v>1</v>
      </c>
      <c r="D26" s="32"/>
      <c r="E26" s="24"/>
      <c r="F26" s="25">
        <f t="shared" si="18"/>
        <v>0</v>
      </c>
      <c r="G26" s="25">
        <f t="shared" si="1"/>
        <v>1</v>
      </c>
      <c r="H26" s="25">
        <f t="shared" si="19"/>
        <v>0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>
        <v>1</v>
      </c>
      <c r="P26" s="32"/>
      <c r="Q26" s="24"/>
      <c r="R26" s="25">
        <f t="shared" si="20"/>
        <v>0</v>
      </c>
      <c r="S26" s="25">
        <f t="shared" si="5"/>
        <v>1</v>
      </c>
      <c r="T26" s="25">
        <f t="shared" si="21"/>
        <v>0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>
        <v>1</v>
      </c>
      <c r="AB26" s="32"/>
      <c r="AC26" s="24"/>
      <c r="AD26" s="25">
        <f t="shared" si="22"/>
        <v>0</v>
      </c>
      <c r="AE26" s="25">
        <f t="shared" si="9"/>
        <v>1</v>
      </c>
      <c r="AF26" s="25">
        <f t="shared" si="23"/>
        <v>0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/>
      <c r="D27" s="32">
        <v>1</v>
      </c>
      <c r="E27" s="24"/>
      <c r="F27" s="25">
        <f t="shared" si="18"/>
        <v>0</v>
      </c>
      <c r="G27" s="25">
        <f t="shared" si="1"/>
        <v>0</v>
      </c>
      <c r="H27" s="25">
        <f t="shared" si="19"/>
        <v>2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/>
      <c r="O27" s="32">
        <v>1</v>
      </c>
      <c r="P27" s="32"/>
      <c r="Q27" s="24"/>
      <c r="R27" s="25">
        <f t="shared" si="20"/>
        <v>0</v>
      </c>
      <c r="S27" s="25">
        <f t="shared" si="5"/>
        <v>1</v>
      </c>
      <c r="T27" s="25">
        <f t="shared" si="21"/>
        <v>0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/>
      <c r="AA27" s="32"/>
      <c r="AB27" s="32">
        <v>1</v>
      </c>
      <c r="AC27" s="24"/>
      <c r="AD27" s="25">
        <f t="shared" si="22"/>
        <v>0</v>
      </c>
      <c r="AE27" s="25">
        <f t="shared" si="9"/>
        <v>0</v>
      </c>
      <c r="AF27" s="25">
        <f t="shared" si="23"/>
        <v>2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>
        <v>1</v>
      </c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>
        <v>1</v>
      </c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>
        <v>1</v>
      </c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/>
      <c r="C29" s="32">
        <v>1</v>
      </c>
      <c r="D29" s="32"/>
      <c r="E29" s="24"/>
      <c r="F29" s="25">
        <f t="shared" si="18"/>
        <v>0</v>
      </c>
      <c r="G29" s="25">
        <f t="shared" si="1"/>
        <v>1</v>
      </c>
      <c r="H29" s="25">
        <f t="shared" si="19"/>
        <v>0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>
        <v>1</v>
      </c>
      <c r="P29" s="32"/>
      <c r="Q29" s="24"/>
      <c r="R29" s="25">
        <f t="shared" si="20"/>
        <v>0</v>
      </c>
      <c r="S29" s="25">
        <f t="shared" si="5"/>
        <v>1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/>
      <c r="AA29" s="32"/>
      <c r="AB29" s="32">
        <v>1</v>
      </c>
      <c r="AC29" s="24"/>
      <c r="AD29" s="25">
        <f t="shared" si="22"/>
        <v>0</v>
      </c>
      <c r="AE29" s="25">
        <f t="shared" si="9"/>
        <v>0</v>
      </c>
      <c r="AF29" s="25">
        <f t="shared" si="23"/>
        <v>2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>
        <v>1</v>
      </c>
      <c r="C30" s="32"/>
      <c r="D30" s="32"/>
      <c r="E30" s="24"/>
      <c r="F30" s="25">
        <f t="shared" si="18"/>
        <v>0</v>
      </c>
      <c r="G30" s="25">
        <f t="shared" si="1"/>
        <v>0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>
        <v>1</v>
      </c>
      <c r="O30" s="32"/>
      <c r="P30" s="32"/>
      <c r="Q30" s="24"/>
      <c r="R30" s="25">
        <f t="shared" si="20"/>
        <v>0</v>
      </c>
      <c r="S30" s="25">
        <f t="shared" si="5"/>
        <v>0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/>
      <c r="AA30" s="32">
        <v>1</v>
      </c>
      <c r="AB30" s="32"/>
      <c r="AC30" s="24"/>
      <c r="AD30" s="25">
        <f t="shared" si="22"/>
        <v>0</v>
      </c>
      <c r="AE30" s="25">
        <f t="shared" si="9"/>
        <v>1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>
        <v>1</v>
      </c>
      <c r="D31" s="32"/>
      <c r="E31" s="24"/>
      <c r="F31" s="25">
        <f t="shared" si="18"/>
        <v>0</v>
      </c>
      <c r="G31" s="25">
        <f t="shared" si="1"/>
        <v>1</v>
      </c>
      <c r="H31" s="25">
        <f t="shared" si="19"/>
        <v>0</v>
      </c>
      <c r="I31" s="25">
        <f t="shared" si="3"/>
        <v>0</v>
      </c>
      <c r="J31" s="24"/>
      <c r="K31" s="108">
        <f>K7+K12+K17+K22</f>
        <v>4</v>
      </c>
      <c r="M31" s="25">
        <v>25</v>
      </c>
      <c r="N31" s="32"/>
      <c r="O31" s="32">
        <v>1</v>
      </c>
      <c r="P31" s="32"/>
      <c r="Q31" s="24"/>
      <c r="R31" s="25">
        <f t="shared" si="20"/>
        <v>0</v>
      </c>
      <c r="S31" s="25">
        <f t="shared" si="5"/>
        <v>1</v>
      </c>
      <c r="T31" s="25">
        <f t="shared" si="21"/>
        <v>0</v>
      </c>
      <c r="U31" s="25">
        <f t="shared" si="7"/>
        <v>0</v>
      </c>
      <c r="V31" s="24"/>
      <c r="W31" s="108">
        <f>W7+W12+W17+W22</f>
        <v>4</v>
      </c>
      <c r="Y31" s="25">
        <v>25</v>
      </c>
      <c r="Z31" s="32"/>
      <c r="AA31" s="32">
        <v>1</v>
      </c>
      <c r="AB31" s="32"/>
      <c r="AC31" s="24"/>
      <c r="AD31" s="25">
        <f t="shared" si="22"/>
        <v>0</v>
      </c>
      <c r="AE31" s="25">
        <f t="shared" si="9"/>
        <v>1</v>
      </c>
      <c r="AF31" s="25">
        <f t="shared" si="23"/>
        <v>0</v>
      </c>
      <c r="AG31" s="25">
        <f t="shared" si="11"/>
        <v>0</v>
      </c>
      <c r="AH31" s="24"/>
      <c r="AI31" s="108">
        <f>AI7+AI12+AI17+AI22</f>
        <v>4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7"/>
  </sheetPr>
  <dimension ref="A1:AI41"/>
  <sheetViews>
    <sheetView topLeftCell="W10" zoomScale="150" workbookViewId="0">
      <selection activeCell="O7" sqref="O7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 t="str">
        <f>รายชื่อ!B12</f>
        <v>เด็กชาย</v>
      </c>
      <c r="C3" s="110" t="str">
        <f>รายชื่อ!C12</f>
        <v>พงศพัศ</v>
      </c>
      <c r="D3" s="110" t="str">
        <f>รายชื่อ!D12</f>
        <v>เกื้อเกตุ</v>
      </c>
      <c r="E3" s="60"/>
      <c r="F3" s="103"/>
      <c r="G3" s="165"/>
      <c r="H3" s="165"/>
      <c r="I3" s="165"/>
      <c r="J3" s="25"/>
      <c r="K3" s="106" t="s">
        <v>35</v>
      </c>
      <c r="M3" s="25" t="s">
        <v>85</v>
      </c>
      <c r="N3" s="110" t="str">
        <f>รายชื่อ!B12</f>
        <v>เด็กชาย</v>
      </c>
      <c r="O3" s="110" t="str">
        <f>รายชื่อ!C12</f>
        <v>พงศพัศ</v>
      </c>
      <c r="P3" s="110" t="str">
        <f>รายชื่อ!D12</f>
        <v>เกื้อเกตุ</v>
      </c>
      <c r="Q3" s="60"/>
      <c r="R3" s="103"/>
      <c r="S3" s="165"/>
      <c r="T3" s="165"/>
      <c r="U3" s="165"/>
      <c r="V3" s="25"/>
      <c r="W3" s="106" t="s">
        <v>35</v>
      </c>
      <c r="Y3" s="25" t="s">
        <v>85</v>
      </c>
      <c r="Z3" s="110" t="str">
        <f>รายชื่อ!B12</f>
        <v>เด็กชาย</v>
      </c>
      <c r="AA3" s="110" t="str">
        <f>รายชื่อ!C12</f>
        <v>พงศพัศ</v>
      </c>
      <c r="AB3" s="110" t="str">
        <f>รายชื่อ!D12</f>
        <v>เกื้อเกตุ</v>
      </c>
      <c r="AC3" s="60"/>
      <c r="AD3" s="103"/>
      <c r="AE3" s="165"/>
      <c r="AF3" s="165"/>
      <c r="AG3" s="165"/>
      <c r="AH3" s="25"/>
      <c r="AI3" s="106" t="s">
        <v>35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/>
      <c r="C7" s="32"/>
      <c r="D7" s="32">
        <v>1</v>
      </c>
      <c r="E7" s="24"/>
      <c r="F7" s="25">
        <f t="shared" ref="F7:F12" si="0">B7*0</f>
        <v>0</v>
      </c>
      <c r="G7" s="25">
        <f t="shared" ref="G7:G31" si="1">C7*1</f>
        <v>0</v>
      </c>
      <c r="H7" s="25">
        <f t="shared" ref="H7:H12" si="2">D7*2</f>
        <v>2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/>
      <c r="O7" s="32"/>
      <c r="P7" s="32">
        <v>1</v>
      </c>
      <c r="Q7" s="24"/>
      <c r="R7" s="25">
        <f t="shared" ref="R7:R12" si="4">N7*0</f>
        <v>0</v>
      </c>
      <c r="S7" s="25">
        <f t="shared" ref="S7:S31" si="5">O7*1</f>
        <v>0</v>
      </c>
      <c r="T7" s="25">
        <f t="shared" ref="T7:T12" si="6">P7*2</f>
        <v>2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/>
      <c r="AB7" s="32">
        <v>1</v>
      </c>
      <c r="AC7" s="24"/>
      <c r="AD7" s="25">
        <f t="shared" ref="AD7:AD12" si="8">Z7*0</f>
        <v>0</v>
      </c>
      <c r="AE7" s="25">
        <f t="shared" ref="AE7:AE31" si="9">AA7*1</f>
        <v>0</v>
      </c>
      <c r="AF7" s="25">
        <f t="shared" ref="AF7:AF12" si="10">AB7*2</f>
        <v>2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>
        <v>1</v>
      </c>
      <c r="C8" s="32"/>
      <c r="D8" s="32"/>
      <c r="E8" s="24"/>
      <c r="F8" s="25">
        <f t="shared" si="0"/>
        <v>0</v>
      </c>
      <c r="G8" s="25">
        <f t="shared" si="1"/>
        <v>0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>
        <v>1</v>
      </c>
      <c r="O8" s="32"/>
      <c r="P8" s="32"/>
      <c r="Q8" s="24"/>
      <c r="R8" s="25">
        <f t="shared" si="4"/>
        <v>0</v>
      </c>
      <c r="S8" s="25">
        <f t="shared" si="5"/>
        <v>0</v>
      </c>
      <c r="T8" s="25">
        <f t="shared" si="6"/>
        <v>0</v>
      </c>
      <c r="U8" s="25">
        <f t="shared" si="7"/>
        <v>0</v>
      </c>
      <c r="V8" s="24"/>
      <c r="W8" s="25"/>
      <c r="Y8" s="25">
        <v>2</v>
      </c>
      <c r="Z8" s="32">
        <v>1</v>
      </c>
      <c r="AA8" s="32"/>
      <c r="AB8" s="32"/>
      <c r="AC8" s="24"/>
      <c r="AD8" s="25">
        <f t="shared" si="8"/>
        <v>0</v>
      </c>
      <c r="AE8" s="25">
        <f t="shared" si="9"/>
        <v>0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>
        <v>1</v>
      </c>
      <c r="C9" s="32"/>
      <c r="D9" s="32"/>
      <c r="E9" s="24"/>
      <c r="F9" s="25">
        <f t="shared" si="0"/>
        <v>0</v>
      </c>
      <c r="G9" s="25">
        <f t="shared" si="1"/>
        <v>0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>
        <v>1</v>
      </c>
      <c r="O9" s="32"/>
      <c r="P9" s="32"/>
      <c r="Q9" s="24"/>
      <c r="R9" s="25">
        <f t="shared" si="4"/>
        <v>0</v>
      </c>
      <c r="S9" s="25">
        <f t="shared" si="5"/>
        <v>0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>
        <v>1</v>
      </c>
      <c r="AA9" s="32"/>
      <c r="AB9" s="32"/>
      <c r="AC9" s="24"/>
      <c r="AD9" s="25">
        <f t="shared" si="8"/>
        <v>0</v>
      </c>
      <c r="AE9" s="25">
        <f t="shared" si="9"/>
        <v>0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/>
      <c r="D10" s="32">
        <v>1</v>
      </c>
      <c r="E10" s="24"/>
      <c r="F10" s="25">
        <f t="shared" si="0"/>
        <v>0</v>
      </c>
      <c r="G10" s="25">
        <f t="shared" si="1"/>
        <v>0</v>
      </c>
      <c r="H10" s="25">
        <f t="shared" si="2"/>
        <v>2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/>
      <c r="P10" s="32">
        <v>1</v>
      </c>
      <c r="Q10" s="24"/>
      <c r="R10" s="25">
        <f t="shared" si="4"/>
        <v>0</v>
      </c>
      <c r="S10" s="25">
        <f t="shared" si="5"/>
        <v>0</v>
      </c>
      <c r="T10" s="25">
        <f t="shared" si="6"/>
        <v>2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/>
      <c r="AB10" s="32">
        <v>1</v>
      </c>
      <c r="AC10" s="24"/>
      <c r="AD10" s="25">
        <f t="shared" si="8"/>
        <v>0</v>
      </c>
      <c r="AE10" s="25">
        <f t="shared" si="9"/>
        <v>0</v>
      </c>
      <c r="AF10" s="25">
        <f t="shared" si="10"/>
        <v>2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>
        <v>1</v>
      </c>
      <c r="C11" s="32"/>
      <c r="D11" s="32"/>
      <c r="E11" s="24"/>
      <c r="F11" s="25">
        <f t="shared" si="0"/>
        <v>0</v>
      </c>
      <c r="G11" s="25">
        <f t="shared" si="1"/>
        <v>0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>
        <v>1</v>
      </c>
      <c r="O11" s="32"/>
      <c r="P11" s="32"/>
      <c r="Q11" s="24"/>
      <c r="R11" s="25">
        <f t="shared" si="4"/>
        <v>0</v>
      </c>
      <c r="S11" s="25">
        <f t="shared" si="5"/>
        <v>0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>
        <v>1</v>
      </c>
      <c r="AA11" s="32"/>
      <c r="AB11" s="32"/>
      <c r="AC11" s="24"/>
      <c r="AD11" s="25">
        <f t="shared" si="8"/>
        <v>0</v>
      </c>
      <c r="AE11" s="25">
        <f t="shared" si="9"/>
        <v>0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>
        <v>1</v>
      </c>
      <c r="C12" s="32"/>
      <c r="D12" s="32"/>
      <c r="E12" s="24"/>
      <c r="F12" s="25">
        <f t="shared" si="0"/>
        <v>0</v>
      </c>
      <c r="G12" s="25">
        <f t="shared" si="1"/>
        <v>0</v>
      </c>
      <c r="H12" s="25">
        <f t="shared" si="2"/>
        <v>0</v>
      </c>
      <c r="I12" s="25">
        <f t="shared" si="3"/>
        <v>0</v>
      </c>
      <c r="J12" s="105">
        <f>I11+I13+I18+I24+I28</f>
        <v>2</v>
      </c>
      <c r="K12" s="108">
        <f>J12</f>
        <v>2</v>
      </c>
      <c r="M12" s="25">
        <v>6</v>
      </c>
      <c r="N12" s="32">
        <v>1</v>
      </c>
      <c r="O12" s="32"/>
      <c r="P12" s="32"/>
      <c r="Q12" s="24"/>
      <c r="R12" s="25">
        <f t="shared" si="4"/>
        <v>0</v>
      </c>
      <c r="S12" s="25">
        <f t="shared" si="5"/>
        <v>0</v>
      </c>
      <c r="T12" s="25">
        <f t="shared" si="6"/>
        <v>0</v>
      </c>
      <c r="U12" s="25">
        <f t="shared" si="7"/>
        <v>0</v>
      </c>
      <c r="V12" s="105">
        <f>U11+U13+U18+U24+U28</f>
        <v>2</v>
      </c>
      <c r="W12" s="108">
        <f>V12</f>
        <v>2</v>
      </c>
      <c r="Y12" s="25">
        <v>6</v>
      </c>
      <c r="Z12" s="32">
        <v>1</v>
      </c>
      <c r="AA12" s="32"/>
      <c r="AB12" s="32"/>
      <c r="AC12" s="24"/>
      <c r="AD12" s="25">
        <f t="shared" si="8"/>
        <v>0</v>
      </c>
      <c r="AE12" s="25">
        <f t="shared" si="9"/>
        <v>0</v>
      </c>
      <c r="AF12" s="25">
        <f t="shared" si="10"/>
        <v>0</v>
      </c>
      <c r="AG12" s="25">
        <f t="shared" si="11"/>
        <v>0</v>
      </c>
      <c r="AH12" s="105">
        <f>AG11+AG13+AG18+AG24+AG28</f>
        <v>2</v>
      </c>
      <c r="AI12" s="108">
        <f>AH12</f>
        <v>2</v>
      </c>
    </row>
    <row r="13" spans="1:35" ht="21" customHeight="1">
      <c r="A13" s="25">
        <v>7</v>
      </c>
      <c r="B13" s="32"/>
      <c r="C13" s="32"/>
      <c r="D13" s="32">
        <v>1</v>
      </c>
      <c r="E13" s="24"/>
      <c r="F13" s="25">
        <f>B13*2</f>
        <v>0</v>
      </c>
      <c r="G13" s="25">
        <f t="shared" si="1"/>
        <v>0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/>
      <c r="P13" s="32">
        <v>1</v>
      </c>
      <c r="Q13" s="24"/>
      <c r="R13" s="25">
        <f>N13*2</f>
        <v>0</v>
      </c>
      <c r="S13" s="25">
        <f t="shared" si="5"/>
        <v>0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/>
      <c r="AA13" s="32"/>
      <c r="AB13" s="32">
        <v>1</v>
      </c>
      <c r="AC13" s="24"/>
      <c r="AD13" s="25">
        <f>Z13*2</f>
        <v>0</v>
      </c>
      <c r="AE13" s="25">
        <f t="shared" si="9"/>
        <v>0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>
        <v>1</v>
      </c>
      <c r="C14" s="32"/>
      <c r="D14" s="32"/>
      <c r="E14" s="24"/>
      <c r="F14" s="25">
        <f t="shared" ref="F14:F19" si="12">B14*0</f>
        <v>0</v>
      </c>
      <c r="G14" s="25">
        <f t="shared" si="1"/>
        <v>0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>
        <v>1</v>
      </c>
      <c r="O14" s="32"/>
      <c r="P14" s="32"/>
      <c r="Q14" s="24"/>
      <c r="R14" s="25">
        <f t="shared" ref="R14:R19" si="14">N14*0</f>
        <v>0</v>
      </c>
      <c r="S14" s="25">
        <f t="shared" si="5"/>
        <v>0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>
        <v>1</v>
      </c>
      <c r="AA14" s="32"/>
      <c r="AB14" s="32"/>
      <c r="AC14" s="24"/>
      <c r="AD14" s="25">
        <f t="shared" ref="AD14:AD19" si="16">Z14*0</f>
        <v>0</v>
      </c>
      <c r="AE14" s="25">
        <f t="shared" si="9"/>
        <v>0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>
        <v>1</v>
      </c>
      <c r="D15" s="32"/>
      <c r="E15" s="24"/>
      <c r="F15" s="25">
        <f t="shared" si="12"/>
        <v>0</v>
      </c>
      <c r="G15" s="25">
        <f t="shared" si="1"/>
        <v>1</v>
      </c>
      <c r="H15" s="25">
        <f t="shared" si="13"/>
        <v>0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>
        <v>1</v>
      </c>
      <c r="P15" s="32"/>
      <c r="Q15" s="24"/>
      <c r="R15" s="25">
        <f t="shared" si="14"/>
        <v>0</v>
      </c>
      <c r="S15" s="25">
        <f t="shared" si="5"/>
        <v>1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/>
      <c r="AA15" s="32">
        <v>1</v>
      </c>
      <c r="AB15" s="32"/>
      <c r="AC15" s="24"/>
      <c r="AD15" s="25">
        <f t="shared" si="16"/>
        <v>0</v>
      </c>
      <c r="AE15" s="25">
        <f t="shared" si="9"/>
        <v>1</v>
      </c>
      <c r="AF15" s="25">
        <f t="shared" si="17"/>
        <v>0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>
        <v>1</v>
      </c>
      <c r="C16" s="32"/>
      <c r="D16" s="32"/>
      <c r="E16" s="24"/>
      <c r="F16" s="25">
        <f t="shared" si="12"/>
        <v>0</v>
      </c>
      <c r="G16" s="25">
        <f t="shared" si="1"/>
        <v>0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>
        <v>1</v>
      </c>
      <c r="O16" s="32"/>
      <c r="P16" s="32"/>
      <c r="Q16" s="24"/>
      <c r="R16" s="25">
        <f t="shared" si="14"/>
        <v>0</v>
      </c>
      <c r="S16" s="25">
        <f t="shared" si="5"/>
        <v>0</v>
      </c>
      <c r="T16" s="25">
        <f t="shared" si="15"/>
        <v>0</v>
      </c>
      <c r="U16" s="25">
        <f t="shared" si="7"/>
        <v>0</v>
      </c>
      <c r="V16" s="24"/>
      <c r="W16" s="107" t="s">
        <v>99</v>
      </c>
      <c r="Y16" s="25">
        <v>10</v>
      </c>
      <c r="Z16" s="32">
        <v>1</v>
      </c>
      <c r="AA16" s="32"/>
      <c r="AB16" s="32"/>
      <c r="AC16" s="24"/>
      <c r="AD16" s="25">
        <f t="shared" si="16"/>
        <v>0</v>
      </c>
      <c r="AE16" s="25">
        <f t="shared" si="9"/>
        <v>0</v>
      </c>
      <c r="AF16" s="25">
        <f t="shared" si="17"/>
        <v>0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/>
      <c r="D17" s="32">
        <v>1</v>
      </c>
      <c r="E17" s="24"/>
      <c r="F17" s="25">
        <f t="shared" si="12"/>
        <v>0</v>
      </c>
      <c r="G17" s="25">
        <f t="shared" si="1"/>
        <v>0</v>
      </c>
      <c r="H17" s="25">
        <f t="shared" si="13"/>
        <v>2</v>
      </c>
      <c r="I17" s="25">
        <f t="shared" si="3"/>
        <v>0</v>
      </c>
      <c r="J17" s="105">
        <f>I8+I16+I21+I27+I31</f>
        <v>2</v>
      </c>
      <c r="K17" s="108">
        <f>J17</f>
        <v>2</v>
      </c>
      <c r="M17" s="25">
        <v>11</v>
      </c>
      <c r="N17" s="32"/>
      <c r="O17" s="32"/>
      <c r="P17" s="32">
        <v>1</v>
      </c>
      <c r="Q17" s="24"/>
      <c r="R17" s="25">
        <f t="shared" si="14"/>
        <v>0</v>
      </c>
      <c r="S17" s="25">
        <f t="shared" si="5"/>
        <v>0</v>
      </c>
      <c r="T17" s="25">
        <f t="shared" si="15"/>
        <v>2</v>
      </c>
      <c r="U17" s="25">
        <f t="shared" si="7"/>
        <v>0</v>
      </c>
      <c r="V17" s="105">
        <f>U8+U16+U21+U27+U31</f>
        <v>2</v>
      </c>
      <c r="W17" s="108">
        <f>V17</f>
        <v>2</v>
      </c>
      <c r="Y17" s="25">
        <v>11</v>
      </c>
      <c r="Z17" s="32"/>
      <c r="AA17" s="32"/>
      <c r="AB17" s="32">
        <v>1</v>
      </c>
      <c r="AC17" s="24"/>
      <c r="AD17" s="25">
        <f t="shared" si="16"/>
        <v>0</v>
      </c>
      <c r="AE17" s="25">
        <f t="shared" si="9"/>
        <v>0</v>
      </c>
      <c r="AF17" s="25">
        <f t="shared" si="17"/>
        <v>2</v>
      </c>
      <c r="AG17" s="25">
        <f t="shared" si="11"/>
        <v>0</v>
      </c>
      <c r="AH17" s="105">
        <f>AG8+AG16+AG21+AG27+AG31</f>
        <v>2</v>
      </c>
      <c r="AI17" s="108">
        <f>AH17</f>
        <v>2</v>
      </c>
    </row>
    <row r="18" spans="1:35" ht="21" customHeight="1">
      <c r="A18" s="25">
        <v>12</v>
      </c>
      <c r="B18" s="32">
        <v>1</v>
      </c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>
        <v>1</v>
      </c>
      <c r="O18" s="32"/>
      <c r="P18" s="32"/>
      <c r="Q18" s="24"/>
      <c r="R18" s="25">
        <f t="shared" si="14"/>
        <v>0</v>
      </c>
      <c r="S18" s="25">
        <f t="shared" si="5"/>
        <v>0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>
        <v>1</v>
      </c>
      <c r="AA18" s="32"/>
      <c r="AB18" s="32"/>
      <c r="AC18" s="24"/>
      <c r="AD18" s="25">
        <f t="shared" si="16"/>
        <v>0</v>
      </c>
      <c r="AE18" s="25">
        <f t="shared" si="9"/>
        <v>0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>
        <v>1</v>
      </c>
      <c r="C19" s="32"/>
      <c r="D19" s="32"/>
      <c r="E19" s="24"/>
      <c r="F19" s="25">
        <f t="shared" si="12"/>
        <v>0</v>
      </c>
      <c r="G19" s="25">
        <f t="shared" si="1"/>
        <v>0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>
        <v>1</v>
      </c>
      <c r="O19" s="32"/>
      <c r="P19" s="32"/>
      <c r="Q19" s="24"/>
      <c r="R19" s="25">
        <f t="shared" si="14"/>
        <v>0</v>
      </c>
      <c r="S19" s="25">
        <f t="shared" si="5"/>
        <v>0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>
        <v>1</v>
      </c>
      <c r="AA19" s="32"/>
      <c r="AB19" s="32"/>
      <c r="AC19" s="24"/>
      <c r="AD19" s="25">
        <f t="shared" si="16"/>
        <v>0</v>
      </c>
      <c r="AE19" s="25">
        <f t="shared" si="9"/>
        <v>0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/>
      <c r="C20" s="32"/>
      <c r="D20" s="32">
        <v>1</v>
      </c>
      <c r="E20" s="24"/>
      <c r="F20" s="25">
        <f>B20*2</f>
        <v>0</v>
      </c>
      <c r="G20" s="25">
        <f t="shared" si="1"/>
        <v>0</v>
      </c>
      <c r="H20" s="25">
        <f>D20*0</f>
        <v>0</v>
      </c>
      <c r="I20" s="25">
        <f t="shared" si="3"/>
        <v>0</v>
      </c>
      <c r="J20" s="24"/>
      <c r="K20" s="107" t="s">
        <v>100</v>
      </c>
      <c r="M20" s="25">
        <v>14</v>
      </c>
      <c r="N20" s="32"/>
      <c r="O20" s="32"/>
      <c r="P20" s="32">
        <v>1</v>
      </c>
      <c r="Q20" s="24"/>
      <c r="R20" s="25">
        <f>N20*2</f>
        <v>0</v>
      </c>
      <c r="S20" s="25">
        <f t="shared" si="5"/>
        <v>0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/>
      <c r="AA20" s="32"/>
      <c r="AB20" s="32">
        <v>1</v>
      </c>
      <c r="AC20" s="24"/>
      <c r="AD20" s="25">
        <f>Z20*2</f>
        <v>0</v>
      </c>
      <c r="AE20" s="25">
        <f t="shared" si="9"/>
        <v>0</v>
      </c>
      <c r="AF20" s="25">
        <f>AB20*0</f>
        <v>0</v>
      </c>
      <c r="AG20" s="25">
        <f t="shared" si="11"/>
        <v>0</v>
      </c>
      <c r="AH20" s="24"/>
      <c r="AI20" s="107" t="s">
        <v>100</v>
      </c>
    </row>
    <row r="21" spans="1:35" ht="21" customHeight="1">
      <c r="A21" s="25">
        <v>15</v>
      </c>
      <c r="B21" s="32">
        <v>1</v>
      </c>
      <c r="C21" s="32"/>
      <c r="D21" s="32"/>
      <c r="E21" s="24"/>
      <c r="F21" s="25">
        <f>B21*2</f>
        <v>2</v>
      </c>
      <c r="G21" s="25">
        <f t="shared" si="1"/>
        <v>0</v>
      </c>
      <c r="H21" s="25">
        <f>D21*0</f>
        <v>0</v>
      </c>
      <c r="I21" s="25">
        <f t="shared" si="3"/>
        <v>2</v>
      </c>
      <c r="J21" s="24"/>
      <c r="K21" s="107" t="s">
        <v>101</v>
      </c>
      <c r="M21" s="25">
        <v>15</v>
      </c>
      <c r="N21" s="32">
        <v>1</v>
      </c>
      <c r="O21" s="32"/>
      <c r="P21" s="32"/>
      <c r="Q21" s="24"/>
      <c r="R21" s="25">
        <f>N21*2</f>
        <v>2</v>
      </c>
      <c r="S21" s="25">
        <f t="shared" si="5"/>
        <v>0</v>
      </c>
      <c r="T21" s="25">
        <f>P21*0</f>
        <v>0</v>
      </c>
      <c r="U21" s="25">
        <f t="shared" si="7"/>
        <v>2</v>
      </c>
      <c r="V21" s="24"/>
      <c r="W21" s="107" t="s">
        <v>101</v>
      </c>
      <c r="Y21" s="25">
        <v>15</v>
      </c>
      <c r="Z21" s="32">
        <v>1</v>
      </c>
      <c r="AA21" s="32"/>
      <c r="AB21" s="32"/>
      <c r="AC21" s="24"/>
      <c r="AD21" s="25">
        <f>Z21*2</f>
        <v>2</v>
      </c>
      <c r="AE21" s="25">
        <f t="shared" si="9"/>
        <v>0</v>
      </c>
      <c r="AF21" s="25">
        <f>AB21*0</f>
        <v>0</v>
      </c>
      <c r="AG21" s="25">
        <f t="shared" si="11"/>
        <v>2</v>
      </c>
      <c r="AH21" s="24"/>
      <c r="AI21" s="107" t="s">
        <v>101</v>
      </c>
    </row>
    <row r="22" spans="1:35" ht="21" customHeight="1">
      <c r="A22" s="25">
        <v>16</v>
      </c>
      <c r="B22" s="32">
        <v>1</v>
      </c>
      <c r="C22" s="32"/>
      <c r="D22" s="32"/>
      <c r="E22" s="24"/>
      <c r="F22" s="25">
        <f>B22*0</f>
        <v>0</v>
      </c>
      <c r="G22" s="25">
        <f t="shared" si="1"/>
        <v>0</v>
      </c>
      <c r="H22" s="25">
        <f>D22*2</f>
        <v>0</v>
      </c>
      <c r="I22" s="25">
        <f t="shared" si="3"/>
        <v>0</v>
      </c>
      <c r="J22" s="105">
        <f>I12+I17+I20+I25+I29</f>
        <v>0</v>
      </c>
      <c r="K22" s="108">
        <f>J22</f>
        <v>0</v>
      </c>
      <c r="M22" s="25">
        <v>16</v>
      </c>
      <c r="N22" s="32">
        <v>1</v>
      </c>
      <c r="O22" s="32"/>
      <c r="P22" s="32"/>
      <c r="Q22" s="24"/>
      <c r="R22" s="25">
        <f>N22*0</f>
        <v>0</v>
      </c>
      <c r="S22" s="25">
        <f t="shared" si="5"/>
        <v>0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>
        <v>1</v>
      </c>
      <c r="AA22" s="32"/>
      <c r="AB22" s="32"/>
      <c r="AC22" s="24"/>
      <c r="AD22" s="25">
        <f>Z22*0</f>
        <v>0</v>
      </c>
      <c r="AE22" s="25">
        <f t="shared" si="9"/>
        <v>0</v>
      </c>
      <c r="AF22" s="25">
        <f>AB22*2</f>
        <v>0</v>
      </c>
      <c r="AG22" s="25">
        <f t="shared" si="11"/>
        <v>0</v>
      </c>
      <c r="AH22" s="105">
        <f>AG12+AG17+AG20+AG25+AG29</f>
        <v>0</v>
      </c>
      <c r="AI22" s="108">
        <f>AH22</f>
        <v>0</v>
      </c>
    </row>
    <row r="23" spans="1:35" ht="21" customHeight="1">
      <c r="A23" s="25">
        <v>17</v>
      </c>
      <c r="B23" s="32"/>
      <c r="C23" s="32"/>
      <c r="D23" s="32">
        <v>1</v>
      </c>
      <c r="E23" s="24"/>
      <c r="F23" s="25">
        <f>B23*2</f>
        <v>0</v>
      </c>
      <c r="G23" s="25">
        <f t="shared" si="1"/>
        <v>0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/>
      <c r="O23" s="32"/>
      <c r="P23" s="32">
        <v>1</v>
      </c>
      <c r="Q23" s="24"/>
      <c r="R23" s="25">
        <f>N23*2</f>
        <v>0</v>
      </c>
      <c r="S23" s="25">
        <f t="shared" si="5"/>
        <v>0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/>
      <c r="AA23" s="32"/>
      <c r="AB23" s="32">
        <v>1</v>
      </c>
      <c r="AC23" s="24"/>
      <c r="AD23" s="25">
        <f>Z23*2</f>
        <v>0</v>
      </c>
      <c r="AE23" s="25">
        <f t="shared" si="9"/>
        <v>0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>
        <v>1</v>
      </c>
      <c r="C24" s="32"/>
      <c r="D24" s="32"/>
      <c r="E24" s="24"/>
      <c r="F24" s="25">
        <f>B24*2</f>
        <v>2</v>
      </c>
      <c r="G24" s="25">
        <f t="shared" si="1"/>
        <v>0</v>
      </c>
      <c r="H24" s="25">
        <f>D24*0</f>
        <v>0</v>
      </c>
      <c r="I24" s="25">
        <f t="shared" si="3"/>
        <v>2</v>
      </c>
      <c r="J24" s="24"/>
      <c r="K24" s="25"/>
      <c r="M24" s="25">
        <v>18</v>
      </c>
      <c r="N24" s="32">
        <v>1</v>
      </c>
      <c r="O24" s="32"/>
      <c r="P24" s="32"/>
      <c r="Q24" s="24"/>
      <c r="R24" s="25">
        <f>N24*2</f>
        <v>2</v>
      </c>
      <c r="S24" s="25">
        <f t="shared" si="5"/>
        <v>0</v>
      </c>
      <c r="T24" s="25">
        <f>P24*0</f>
        <v>0</v>
      </c>
      <c r="U24" s="25">
        <f t="shared" si="7"/>
        <v>2</v>
      </c>
      <c r="V24" s="24"/>
      <c r="W24" s="25"/>
      <c r="Y24" s="25">
        <v>18</v>
      </c>
      <c r="Z24" s="32">
        <v>1</v>
      </c>
      <c r="AA24" s="32"/>
      <c r="AB24" s="32"/>
      <c r="AC24" s="24"/>
      <c r="AD24" s="25">
        <f>Z24*2</f>
        <v>2</v>
      </c>
      <c r="AE24" s="25">
        <f t="shared" si="9"/>
        <v>0</v>
      </c>
      <c r="AF24" s="25">
        <f>AB24*0</f>
        <v>0</v>
      </c>
      <c r="AG24" s="25">
        <f t="shared" si="11"/>
        <v>2</v>
      </c>
      <c r="AH24" s="24"/>
      <c r="AI24" s="25"/>
    </row>
    <row r="25" spans="1:35" ht="21" customHeight="1">
      <c r="A25" s="25">
        <v>19</v>
      </c>
      <c r="B25" s="32">
        <v>1</v>
      </c>
      <c r="C25" s="32"/>
      <c r="D25" s="32"/>
      <c r="E25" s="24"/>
      <c r="F25" s="25">
        <f t="shared" ref="F25:F31" si="18">B25*0</f>
        <v>0</v>
      </c>
      <c r="G25" s="25">
        <f t="shared" si="1"/>
        <v>0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>
        <v>1</v>
      </c>
      <c r="O25" s="32"/>
      <c r="P25" s="32"/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>
        <v>1</v>
      </c>
      <c r="AA25" s="32"/>
      <c r="AB25" s="32"/>
      <c r="AC25" s="24"/>
      <c r="AD25" s="25">
        <f t="shared" ref="AD25:AD31" si="22">Z25*0</f>
        <v>0</v>
      </c>
      <c r="AE25" s="25">
        <f t="shared" si="9"/>
        <v>0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>
        <v>1</v>
      </c>
      <c r="D26" s="32"/>
      <c r="E26" s="24"/>
      <c r="F26" s="25">
        <f t="shared" si="18"/>
        <v>0</v>
      </c>
      <c r="G26" s="25">
        <f t="shared" si="1"/>
        <v>1</v>
      </c>
      <c r="H26" s="25">
        <f t="shared" si="19"/>
        <v>0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>
        <v>1</v>
      </c>
      <c r="P26" s="32"/>
      <c r="Q26" s="24"/>
      <c r="R26" s="25">
        <f t="shared" si="20"/>
        <v>0</v>
      </c>
      <c r="S26" s="25">
        <f t="shared" si="5"/>
        <v>1</v>
      </c>
      <c r="T26" s="25">
        <f t="shared" si="21"/>
        <v>0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>
        <v>1</v>
      </c>
      <c r="AB26" s="32"/>
      <c r="AC26" s="24"/>
      <c r="AD26" s="25">
        <f t="shared" si="22"/>
        <v>0</v>
      </c>
      <c r="AE26" s="25">
        <f t="shared" si="9"/>
        <v>1</v>
      </c>
      <c r="AF26" s="25">
        <f t="shared" si="23"/>
        <v>0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/>
      <c r="D27" s="32">
        <v>1</v>
      </c>
      <c r="E27" s="24"/>
      <c r="F27" s="25">
        <f t="shared" si="18"/>
        <v>0</v>
      </c>
      <c r="G27" s="25">
        <f t="shared" si="1"/>
        <v>0</v>
      </c>
      <c r="H27" s="25">
        <f t="shared" si="19"/>
        <v>2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/>
      <c r="O27" s="32"/>
      <c r="P27" s="32">
        <v>1</v>
      </c>
      <c r="Q27" s="24"/>
      <c r="R27" s="25">
        <f t="shared" si="20"/>
        <v>0</v>
      </c>
      <c r="S27" s="25">
        <f t="shared" si="5"/>
        <v>0</v>
      </c>
      <c r="T27" s="25">
        <f t="shared" si="21"/>
        <v>2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/>
      <c r="AA27" s="32"/>
      <c r="AB27" s="32">
        <v>1</v>
      </c>
      <c r="AC27" s="24"/>
      <c r="AD27" s="25">
        <f t="shared" si="22"/>
        <v>0</v>
      </c>
      <c r="AE27" s="25">
        <f t="shared" si="9"/>
        <v>0</v>
      </c>
      <c r="AF27" s="25">
        <f t="shared" si="23"/>
        <v>2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>
        <v>1</v>
      </c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>
        <v>1</v>
      </c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>
        <v>1</v>
      </c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/>
      <c r="C29" s="32">
        <v>1</v>
      </c>
      <c r="D29" s="32"/>
      <c r="E29" s="24"/>
      <c r="F29" s="25">
        <f t="shared" si="18"/>
        <v>0</v>
      </c>
      <c r="G29" s="25">
        <f t="shared" si="1"/>
        <v>1</v>
      </c>
      <c r="H29" s="25">
        <f t="shared" si="19"/>
        <v>0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>
        <v>1</v>
      </c>
      <c r="P29" s="32"/>
      <c r="Q29" s="24"/>
      <c r="R29" s="25">
        <f t="shared" si="20"/>
        <v>0</v>
      </c>
      <c r="S29" s="25">
        <f t="shared" si="5"/>
        <v>1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/>
      <c r="AA29" s="32">
        <v>1</v>
      </c>
      <c r="AB29" s="32"/>
      <c r="AC29" s="24"/>
      <c r="AD29" s="25">
        <f t="shared" si="22"/>
        <v>0</v>
      </c>
      <c r="AE29" s="25">
        <f t="shared" si="9"/>
        <v>1</v>
      </c>
      <c r="AF29" s="25">
        <f t="shared" si="23"/>
        <v>0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>
        <v>1</v>
      </c>
      <c r="C30" s="32"/>
      <c r="D30" s="32"/>
      <c r="E30" s="24"/>
      <c r="F30" s="25">
        <f t="shared" si="18"/>
        <v>0</v>
      </c>
      <c r="G30" s="25">
        <f t="shared" si="1"/>
        <v>0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>
        <v>1</v>
      </c>
      <c r="O30" s="32"/>
      <c r="P30" s="32"/>
      <c r="Q30" s="24"/>
      <c r="R30" s="25">
        <f t="shared" si="20"/>
        <v>0</v>
      </c>
      <c r="S30" s="25">
        <f t="shared" si="5"/>
        <v>0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>
        <v>1</v>
      </c>
      <c r="AA30" s="32"/>
      <c r="AB30" s="32"/>
      <c r="AC30" s="24"/>
      <c r="AD30" s="25">
        <f t="shared" si="22"/>
        <v>0</v>
      </c>
      <c r="AE30" s="25">
        <f t="shared" si="9"/>
        <v>0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/>
      <c r="D31" s="32">
        <v>1</v>
      </c>
      <c r="E31" s="24"/>
      <c r="F31" s="25">
        <f t="shared" si="18"/>
        <v>0</v>
      </c>
      <c r="G31" s="25">
        <f t="shared" si="1"/>
        <v>0</v>
      </c>
      <c r="H31" s="25">
        <f t="shared" si="19"/>
        <v>2</v>
      </c>
      <c r="I31" s="25">
        <f t="shared" si="3"/>
        <v>0</v>
      </c>
      <c r="J31" s="24"/>
      <c r="K31" s="108">
        <f>K7+K12+K17+K22</f>
        <v>4</v>
      </c>
      <c r="M31" s="25">
        <v>25</v>
      </c>
      <c r="N31" s="32"/>
      <c r="O31" s="32"/>
      <c r="P31" s="32">
        <v>1</v>
      </c>
      <c r="Q31" s="24"/>
      <c r="R31" s="25">
        <f t="shared" si="20"/>
        <v>0</v>
      </c>
      <c r="S31" s="25">
        <f t="shared" si="5"/>
        <v>0</v>
      </c>
      <c r="T31" s="25">
        <f t="shared" si="21"/>
        <v>2</v>
      </c>
      <c r="U31" s="25">
        <f t="shared" si="7"/>
        <v>0</v>
      </c>
      <c r="V31" s="24"/>
      <c r="W31" s="108">
        <f>W7+W12+W17+W22</f>
        <v>4</v>
      </c>
      <c r="Y31" s="25">
        <v>25</v>
      </c>
      <c r="Z31" s="32"/>
      <c r="AA31" s="32"/>
      <c r="AB31" s="32">
        <v>1</v>
      </c>
      <c r="AC31" s="24"/>
      <c r="AD31" s="25">
        <f t="shared" si="22"/>
        <v>0</v>
      </c>
      <c r="AE31" s="25">
        <f t="shared" si="9"/>
        <v>0</v>
      </c>
      <c r="AF31" s="25">
        <f t="shared" si="23"/>
        <v>2</v>
      </c>
      <c r="AG31" s="25">
        <f t="shared" si="11"/>
        <v>0</v>
      </c>
      <c r="AH31" s="24"/>
      <c r="AI31" s="108">
        <f>AI7+AI12+AI17+AI22</f>
        <v>4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7"/>
  </sheetPr>
  <dimension ref="A1:AI41"/>
  <sheetViews>
    <sheetView topLeftCell="W23" zoomScale="150" workbookViewId="0">
      <selection activeCell="AB28" sqref="AB28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 t="str">
        <f>รายชื่อ!B13</f>
        <v>เด็กชาย</v>
      </c>
      <c r="C3" s="110" t="str">
        <f>รายชื่อ!C13</f>
        <v>ณัฐภัทร</v>
      </c>
      <c r="D3" s="110" t="str">
        <f>รายชื่อ!D13</f>
        <v>องอาจ</v>
      </c>
      <c r="E3" s="60"/>
      <c r="F3" s="103"/>
      <c r="G3" s="165"/>
      <c r="H3" s="165"/>
      <c r="I3" s="165"/>
      <c r="J3" s="25"/>
      <c r="K3" s="106" t="s">
        <v>37</v>
      </c>
      <c r="M3" s="25" t="s">
        <v>85</v>
      </c>
      <c r="N3" s="110" t="str">
        <f>รายชื่อ!B13</f>
        <v>เด็กชาย</v>
      </c>
      <c r="O3" s="110" t="str">
        <f>รายชื่อ!C13</f>
        <v>ณัฐภัทร</v>
      </c>
      <c r="P3" s="110" t="str">
        <f>รายชื่อ!D13</f>
        <v>องอาจ</v>
      </c>
      <c r="Q3" s="60"/>
      <c r="R3" s="103"/>
      <c r="S3" s="165"/>
      <c r="T3" s="165"/>
      <c r="U3" s="165"/>
      <c r="V3" s="25"/>
      <c r="W3" s="106" t="s">
        <v>37</v>
      </c>
      <c r="Y3" s="25" t="s">
        <v>85</v>
      </c>
      <c r="Z3" s="110" t="str">
        <f>รายชื่อ!B13</f>
        <v>เด็กชาย</v>
      </c>
      <c r="AA3" s="110" t="str">
        <f>รายชื่อ!C13</f>
        <v>ณัฐภัทร</v>
      </c>
      <c r="AB3" s="110" t="str">
        <f>รายชื่อ!D13</f>
        <v>องอาจ</v>
      </c>
      <c r="AC3" s="60"/>
      <c r="AD3" s="103"/>
      <c r="AE3" s="165"/>
      <c r="AF3" s="165"/>
      <c r="AG3" s="165"/>
      <c r="AH3" s="25"/>
      <c r="AI3" s="106" t="s">
        <v>37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/>
      <c r="C7" s="32">
        <v>1</v>
      </c>
      <c r="D7" s="32"/>
      <c r="E7" s="24"/>
      <c r="F7" s="25">
        <f t="shared" ref="F7:F12" si="0">B7*0</f>
        <v>0</v>
      </c>
      <c r="G7" s="25">
        <f t="shared" ref="G7:G31" si="1">C7*1</f>
        <v>1</v>
      </c>
      <c r="H7" s="25">
        <f t="shared" ref="H7:H12" si="2">D7*2</f>
        <v>0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/>
      <c r="O7" s="32"/>
      <c r="P7" s="32">
        <v>1</v>
      </c>
      <c r="Q7" s="24"/>
      <c r="R7" s="25">
        <f t="shared" ref="R7:R12" si="4">N7*0</f>
        <v>0</v>
      </c>
      <c r="S7" s="25">
        <f t="shared" ref="S7:S31" si="5">O7*1</f>
        <v>0</v>
      </c>
      <c r="T7" s="25">
        <f t="shared" ref="T7:T12" si="6">P7*2</f>
        <v>2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>
        <v>1</v>
      </c>
      <c r="AB7" s="32"/>
      <c r="AC7" s="24"/>
      <c r="AD7" s="25">
        <f t="shared" ref="AD7:AD12" si="8">Z7*0</f>
        <v>0</v>
      </c>
      <c r="AE7" s="25">
        <f t="shared" ref="AE7:AE31" si="9">AA7*1</f>
        <v>1</v>
      </c>
      <c r="AF7" s="25">
        <f t="shared" ref="AF7:AF12" si="10">AB7*2</f>
        <v>0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/>
      <c r="C8" s="32">
        <v>1</v>
      </c>
      <c r="D8" s="32"/>
      <c r="E8" s="24"/>
      <c r="F8" s="25">
        <f t="shared" si="0"/>
        <v>0</v>
      </c>
      <c r="G8" s="25">
        <f t="shared" si="1"/>
        <v>1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/>
      <c r="O8" s="32">
        <v>1</v>
      </c>
      <c r="P8" s="32"/>
      <c r="Q8" s="24"/>
      <c r="R8" s="25">
        <f t="shared" si="4"/>
        <v>0</v>
      </c>
      <c r="S8" s="25">
        <f t="shared" si="5"/>
        <v>1</v>
      </c>
      <c r="T8" s="25">
        <f t="shared" si="6"/>
        <v>0</v>
      </c>
      <c r="U8" s="25">
        <f t="shared" si="7"/>
        <v>0</v>
      </c>
      <c r="V8" s="24"/>
      <c r="W8" s="25"/>
      <c r="Y8" s="25">
        <v>2</v>
      </c>
      <c r="Z8" s="32"/>
      <c r="AA8" s="32">
        <v>1</v>
      </c>
      <c r="AB8" s="32"/>
      <c r="AC8" s="24"/>
      <c r="AD8" s="25">
        <f t="shared" si="8"/>
        <v>0</v>
      </c>
      <c r="AE8" s="25">
        <f t="shared" si="9"/>
        <v>1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/>
      <c r="C9" s="32">
        <v>1</v>
      </c>
      <c r="D9" s="32"/>
      <c r="E9" s="24"/>
      <c r="F9" s="25">
        <f t="shared" si="0"/>
        <v>0</v>
      </c>
      <c r="G9" s="25">
        <f t="shared" si="1"/>
        <v>1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/>
      <c r="O9" s="32">
        <v>1</v>
      </c>
      <c r="P9" s="32"/>
      <c r="Q9" s="24"/>
      <c r="R9" s="25">
        <f t="shared" si="4"/>
        <v>0</v>
      </c>
      <c r="S9" s="25">
        <f t="shared" si="5"/>
        <v>1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/>
      <c r="AA9" s="32">
        <v>1</v>
      </c>
      <c r="AB9" s="32"/>
      <c r="AC9" s="24"/>
      <c r="AD9" s="25">
        <f t="shared" si="8"/>
        <v>0</v>
      </c>
      <c r="AE9" s="25">
        <f t="shared" si="9"/>
        <v>1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/>
      <c r="D10" s="32">
        <v>1</v>
      </c>
      <c r="E10" s="24"/>
      <c r="F10" s="25">
        <f t="shared" si="0"/>
        <v>0</v>
      </c>
      <c r="G10" s="25">
        <f t="shared" si="1"/>
        <v>0</v>
      </c>
      <c r="H10" s="25">
        <f t="shared" si="2"/>
        <v>2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/>
      <c r="P10" s="32">
        <v>1</v>
      </c>
      <c r="Q10" s="24"/>
      <c r="R10" s="25">
        <f t="shared" si="4"/>
        <v>0</v>
      </c>
      <c r="S10" s="25">
        <f t="shared" si="5"/>
        <v>0</v>
      </c>
      <c r="T10" s="25">
        <f t="shared" si="6"/>
        <v>2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/>
      <c r="AB10" s="32">
        <v>1</v>
      </c>
      <c r="AC10" s="24"/>
      <c r="AD10" s="25">
        <f t="shared" si="8"/>
        <v>0</v>
      </c>
      <c r="AE10" s="25">
        <f t="shared" si="9"/>
        <v>0</v>
      </c>
      <c r="AF10" s="25">
        <f t="shared" si="10"/>
        <v>2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>
        <v>1</v>
      </c>
      <c r="C11" s="32"/>
      <c r="D11" s="32"/>
      <c r="E11" s="24"/>
      <c r="F11" s="25">
        <f t="shared" si="0"/>
        <v>0</v>
      </c>
      <c r="G11" s="25">
        <f t="shared" si="1"/>
        <v>0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>
        <v>1</v>
      </c>
      <c r="O11" s="32"/>
      <c r="P11" s="32"/>
      <c r="Q11" s="24"/>
      <c r="R11" s="25">
        <f t="shared" si="4"/>
        <v>0</v>
      </c>
      <c r="S11" s="25">
        <f t="shared" si="5"/>
        <v>0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>
        <v>1</v>
      </c>
      <c r="AA11" s="32"/>
      <c r="AB11" s="32"/>
      <c r="AC11" s="24"/>
      <c r="AD11" s="25">
        <f t="shared" si="8"/>
        <v>0</v>
      </c>
      <c r="AE11" s="25">
        <f t="shared" si="9"/>
        <v>0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/>
      <c r="C12" s="32">
        <v>1</v>
      </c>
      <c r="D12" s="32"/>
      <c r="E12" s="24"/>
      <c r="F12" s="25">
        <f t="shared" si="0"/>
        <v>0</v>
      </c>
      <c r="G12" s="25">
        <f t="shared" si="1"/>
        <v>1</v>
      </c>
      <c r="H12" s="25">
        <f t="shared" si="2"/>
        <v>0</v>
      </c>
      <c r="I12" s="25">
        <f t="shared" si="3"/>
        <v>0</v>
      </c>
      <c r="J12" s="105">
        <f>I11+I13+I18+I24+I28</f>
        <v>0</v>
      </c>
      <c r="K12" s="108">
        <f>J12</f>
        <v>0</v>
      </c>
      <c r="M12" s="25">
        <v>6</v>
      </c>
      <c r="N12" s="32">
        <v>1</v>
      </c>
      <c r="O12" s="32"/>
      <c r="P12" s="32"/>
      <c r="Q12" s="24"/>
      <c r="R12" s="25">
        <f t="shared" si="4"/>
        <v>0</v>
      </c>
      <c r="S12" s="25">
        <f t="shared" si="5"/>
        <v>0</v>
      </c>
      <c r="T12" s="25">
        <f t="shared" si="6"/>
        <v>0</v>
      </c>
      <c r="U12" s="25">
        <f t="shared" si="7"/>
        <v>0</v>
      </c>
      <c r="V12" s="105">
        <f>U11+U13+U18+U24+U28</f>
        <v>2</v>
      </c>
      <c r="W12" s="108">
        <f>V12</f>
        <v>2</v>
      </c>
      <c r="Y12" s="25">
        <v>6</v>
      </c>
      <c r="Z12" s="32"/>
      <c r="AA12" s="32"/>
      <c r="AB12" s="32">
        <v>1</v>
      </c>
      <c r="AC12" s="24"/>
      <c r="AD12" s="25">
        <f t="shared" si="8"/>
        <v>0</v>
      </c>
      <c r="AE12" s="25">
        <f t="shared" si="9"/>
        <v>0</v>
      </c>
      <c r="AF12" s="25">
        <f t="shared" si="10"/>
        <v>2</v>
      </c>
      <c r="AG12" s="25">
        <f t="shared" si="11"/>
        <v>0</v>
      </c>
      <c r="AH12" s="105">
        <f>AG11+AG13+AG18+AG24+AG28</f>
        <v>0</v>
      </c>
      <c r="AI12" s="108">
        <f>AH12</f>
        <v>0</v>
      </c>
    </row>
    <row r="13" spans="1:35" ht="21" customHeight="1">
      <c r="A13" s="25">
        <v>7</v>
      </c>
      <c r="B13" s="32"/>
      <c r="C13" s="32">
        <v>1</v>
      </c>
      <c r="D13" s="32"/>
      <c r="E13" s="24"/>
      <c r="F13" s="25">
        <f>B13*2</f>
        <v>0</v>
      </c>
      <c r="G13" s="25">
        <f t="shared" si="1"/>
        <v>1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/>
      <c r="P13" s="32">
        <v>1</v>
      </c>
      <c r="Q13" s="24"/>
      <c r="R13" s="25">
        <f>N13*2</f>
        <v>0</v>
      </c>
      <c r="S13" s="25">
        <f t="shared" si="5"/>
        <v>0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/>
      <c r="AA13" s="32"/>
      <c r="AB13" s="32">
        <v>1</v>
      </c>
      <c r="AC13" s="24"/>
      <c r="AD13" s="25">
        <f>Z13*2</f>
        <v>0</v>
      </c>
      <c r="AE13" s="25">
        <f t="shared" si="9"/>
        <v>0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/>
      <c r="C14" s="32">
        <v>1</v>
      </c>
      <c r="D14" s="32"/>
      <c r="E14" s="24"/>
      <c r="F14" s="25">
        <f t="shared" ref="F14:F19" si="12">B14*0</f>
        <v>0</v>
      </c>
      <c r="G14" s="25">
        <f t="shared" si="1"/>
        <v>1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/>
      <c r="O14" s="32">
        <v>1</v>
      </c>
      <c r="P14" s="32"/>
      <c r="Q14" s="24"/>
      <c r="R14" s="25">
        <f t="shared" ref="R14:R19" si="14">N14*0</f>
        <v>0</v>
      </c>
      <c r="S14" s="25">
        <f t="shared" si="5"/>
        <v>1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/>
      <c r="AA14" s="32">
        <v>1</v>
      </c>
      <c r="AB14" s="32"/>
      <c r="AC14" s="24"/>
      <c r="AD14" s="25">
        <f t="shared" ref="AD14:AD19" si="16">Z14*0</f>
        <v>0</v>
      </c>
      <c r="AE14" s="25">
        <f t="shared" si="9"/>
        <v>1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>
        <v>1</v>
      </c>
      <c r="D15" s="32"/>
      <c r="E15" s="24"/>
      <c r="F15" s="25">
        <f t="shared" si="12"/>
        <v>0</v>
      </c>
      <c r="G15" s="25">
        <f t="shared" si="1"/>
        <v>1</v>
      </c>
      <c r="H15" s="25">
        <f t="shared" si="13"/>
        <v>0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>
        <v>1</v>
      </c>
      <c r="P15" s="32"/>
      <c r="Q15" s="24"/>
      <c r="R15" s="25">
        <f t="shared" si="14"/>
        <v>0</v>
      </c>
      <c r="S15" s="25">
        <f t="shared" si="5"/>
        <v>1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/>
      <c r="AA15" s="32">
        <v>1</v>
      </c>
      <c r="AB15" s="32"/>
      <c r="AC15" s="24"/>
      <c r="AD15" s="25">
        <f t="shared" si="16"/>
        <v>0</v>
      </c>
      <c r="AE15" s="25">
        <f t="shared" si="9"/>
        <v>1</v>
      </c>
      <c r="AF15" s="25">
        <f t="shared" si="17"/>
        <v>0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/>
      <c r="C16" s="32">
        <v>1</v>
      </c>
      <c r="D16" s="32"/>
      <c r="E16" s="24"/>
      <c r="F16" s="25">
        <f t="shared" si="12"/>
        <v>0</v>
      </c>
      <c r="G16" s="25">
        <f t="shared" si="1"/>
        <v>1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/>
      <c r="O16" s="32">
        <v>1</v>
      </c>
      <c r="P16" s="32"/>
      <c r="Q16" s="24"/>
      <c r="R16" s="25">
        <f t="shared" si="14"/>
        <v>0</v>
      </c>
      <c r="S16" s="25">
        <f t="shared" si="5"/>
        <v>1</v>
      </c>
      <c r="T16" s="25">
        <f t="shared" si="15"/>
        <v>0</v>
      </c>
      <c r="U16" s="25">
        <f t="shared" si="7"/>
        <v>0</v>
      </c>
      <c r="V16" s="24"/>
      <c r="W16" s="107" t="s">
        <v>99</v>
      </c>
      <c r="Y16" s="25">
        <v>10</v>
      </c>
      <c r="Z16" s="32"/>
      <c r="AA16" s="32">
        <v>1</v>
      </c>
      <c r="AB16" s="32"/>
      <c r="AC16" s="24"/>
      <c r="AD16" s="25">
        <f t="shared" si="16"/>
        <v>0</v>
      </c>
      <c r="AE16" s="25">
        <f t="shared" si="9"/>
        <v>1</v>
      </c>
      <c r="AF16" s="25">
        <f t="shared" si="17"/>
        <v>0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>
        <v>1</v>
      </c>
      <c r="D17" s="32"/>
      <c r="E17" s="24"/>
      <c r="F17" s="25">
        <f t="shared" si="12"/>
        <v>0</v>
      </c>
      <c r="G17" s="25">
        <f t="shared" si="1"/>
        <v>1</v>
      </c>
      <c r="H17" s="25">
        <f t="shared" si="13"/>
        <v>0</v>
      </c>
      <c r="I17" s="25">
        <f t="shared" si="3"/>
        <v>0</v>
      </c>
      <c r="J17" s="105">
        <f>I8+I16+I21+I27+I31</f>
        <v>0</v>
      </c>
      <c r="K17" s="108">
        <f>J17</f>
        <v>0</v>
      </c>
      <c r="M17" s="25">
        <v>11</v>
      </c>
      <c r="N17" s="32"/>
      <c r="O17" s="32"/>
      <c r="P17" s="32">
        <v>1</v>
      </c>
      <c r="Q17" s="24"/>
      <c r="R17" s="25">
        <f t="shared" si="14"/>
        <v>0</v>
      </c>
      <c r="S17" s="25">
        <f t="shared" si="5"/>
        <v>0</v>
      </c>
      <c r="T17" s="25">
        <f t="shared" si="15"/>
        <v>2</v>
      </c>
      <c r="U17" s="25">
        <f t="shared" si="7"/>
        <v>0</v>
      </c>
      <c r="V17" s="105">
        <f>U8+U16+U21+U27+U31</f>
        <v>0</v>
      </c>
      <c r="W17" s="108">
        <f>V17</f>
        <v>0</v>
      </c>
      <c r="Y17" s="25">
        <v>11</v>
      </c>
      <c r="Z17" s="32"/>
      <c r="AA17" s="32">
        <v>1</v>
      </c>
      <c r="AB17" s="32"/>
      <c r="AC17" s="24"/>
      <c r="AD17" s="25">
        <f t="shared" si="16"/>
        <v>0</v>
      </c>
      <c r="AE17" s="25">
        <f t="shared" si="9"/>
        <v>1</v>
      </c>
      <c r="AF17" s="25">
        <f t="shared" si="17"/>
        <v>0</v>
      </c>
      <c r="AG17" s="25">
        <f t="shared" si="11"/>
        <v>0</v>
      </c>
      <c r="AH17" s="105">
        <f>AG8+AG16+AG21+AG27+AG31</f>
        <v>0</v>
      </c>
      <c r="AI17" s="108">
        <f>AH17</f>
        <v>0</v>
      </c>
    </row>
    <row r="18" spans="1:35" ht="21" customHeight="1">
      <c r="A18" s="25">
        <v>12</v>
      </c>
      <c r="B18" s="32">
        <v>1</v>
      </c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>
        <v>1</v>
      </c>
      <c r="O18" s="32"/>
      <c r="P18" s="32"/>
      <c r="Q18" s="24"/>
      <c r="R18" s="25">
        <f t="shared" si="14"/>
        <v>0</v>
      </c>
      <c r="S18" s="25">
        <f t="shared" si="5"/>
        <v>0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>
        <v>1</v>
      </c>
      <c r="AA18" s="32"/>
      <c r="AB18" s="32"/>
      <c r="AC18" s="24"/>
      <c r="AD18" s="25">
        <f t="shared" si="16"/>
        <v>0</v>
      </c>
      <c r="AE18" s="25">
        <f t="shared" si="9"/>
        <v>0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>
        <v>1</v>
      </c>
      <c r="C19" s="32"/>
      <c r="D19" s="32"/>
      <c r="E19" s="24"/>
      <c r="F19" s="25">
        <f t="shared" si="12"/>
        <v>0</v>
      </c>
      <c r="G19" s="25">
        <f t="shared" si="1"/>
        <v>0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>
        <v>1</v>
      </c>
      <c r="O19" s="32"/>
      <c r="P19" s="32"/>
      <c r="Q19" s="24"/>
      <c r="R19" s="25">
        <f t="shared" si="14"/>
        <v>0</v>
      </c>
      <c r="S19" s="25">
        <f t="shared" si="5"/>
        <v>0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>
        <v>1</v>
      </c>
      <c r="AA19" s="32"/>
      <c r="AB19" s="32"/>
      <c r="AC19" s="24"/>
      <c r="AD19" s="25">
        <f t="shared" si="16"/>
        <v>0</v>
      </c>
      <c r="AE19" s="25">
        <f t="shared" si="9"/>
        <v>0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/>
      <c r="C20" s="32">
        <v>1</v>
      </c>
      <c r="D20" s="32"/>
      <c r="E20" s="24"/>
      <c r="F20" s="25">
        <f>B20*2</f>
        <v>0</v>
      </c>
      <c r="G20" s="25">
        <f t="shared" si="1"/>
        <v>1</v>
      </c>
      <c r="H20" s="25">
        <f>D20*0</f>
        <v>0</v>
      </c>
      <c r="I20" s="25">
        <f t="shared" si="3"/>
        <v>0</v>
      </c>
      <c r="J20" s="24"/>
      <c r="K20" s="107" t="s">
        <v>100</v>
      </c>
      <c r="M20" s="25">
        <v>14</v>
      </c>
      <c r="N20" s="32"/>
      <c r="O20" s="32">
        <v>1</v>
      </c>
      <c r="P20" s="32"/>
      <c r="Q20" s="24"/>
      <c r="R20" s="25">
        <f>N20*2</f>
        <v>0</v>
      </c>
      <c r="S20" s="25">
        <f t="shared" si="5"/>
        <v>1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/>
      <c r="AA20" s="32">
        <v>1</v>
      </c>
      <c r="AB20" s="32"/>
      <c r="AC20" s="24"/>
      <c r="AD20" s="25">
        <f>Z20*2</f>
        <v>0</v>
      </c>
      <c r="AE20" s="25">
        <f t="shared" si="9"/>
        <v>1</v>
      </c>
      <c r="AF20" s="25">
        <f>AB20*0</f>
        <v>0</v>
      </c>
      <c r="AG20" s="25">
        <f t="shared" si="11"/>
        <v>0</v>
      </c>
      <c r="AH20" s="24"/>
      <c r="AI20" s="107" t="s">
        <v>100</v>
      </c>
    </row>
    <row r="21" spans="1:35" ht="21" customHeight="1">
      <c r="A21" s="25">
        <v>15</v>
      </c>
      <c r="B21" s="32"/>
      <c r="C21" s="32">
        <v>1</v>
      </c>
      <c r="D21" s="32"/>
      <c r="E21" s="24"/>
      <c r="F21" s="25">
        <f>B21*2</f>
        <v>0</v>
      </c>
      <c r="G21" s="25">
        <f t="shared" si="1"/>
        <v>1</v>
      </c>
      <c r="H21" s="25">
        <f>D21*0</f>
        <v>0</v>
      </c>
      <c r="I21" s="25">
        <f t="shared" si="3"/>
        <v>0</v>
      </c>
      <c r="J21" s="24"/>
      <c r="K21" s="107" t="s">
        <v>101</v>
      </c>
      <c r="M21" s="25">
        <v>15</v>
      </c>
      <c r="N21" s="32"/>
      <c r="O21" s="32">
        <v>1</v>
      </c>
      <c r="P21" s="32"/>
      <c r="Q21" s="24"/>
      <c r="R21" s="25">
        <f>N21*2</f>
        <v>0</v>
      </c>
      <c r="S21" s="25">
        <f t="shared" si="5"/>
        <v>1</v>
      </c>
      <c r="T21" s="25">
        <f>P21*0</f>
        <v>0</v>
      </c>
      <c r="U21" s="25">
        <f t="shared" si="7"/>
        <v>0</v>
      </c>
      <c r="V21" s="24"/>
      <c r="W21" s="107" t="s">
        <v>101</v>
      </c>
      <c r="Y21" s="25">
        <v>15</v>
      </c>
      <c r="Z21" s="32"/>
      <c r="AA21" s="32">
        <v>1</v>
      </c>
      <c r="AB21" s="32"/>
      <c r="AC21" s="24"/>
      <c r="AD21" s="25">
        <f>Z21*2</f>
        <v>0</v>
      </c>
      <c r="AE21" s="25">
        <f t="shared" si="9"/>
        <v>1</v>
      </c>
      <c r="AF21" s="25">
        <f>AB21*0</f>
        <v>0</v>
      </c>
      <c r="AG21" s="25">
        <f t="shared" si="11"/>
        <v>0</v>
      </c>
      <c r="AH21" s="24"/>
      <c r="AI21" s="107" t="s">
        <v>101</v>
      </c>
    </row>
    <row r="22" spans="1:35" ht="21" customHeight="1">
      <c r="A22" s="25">
        <v>16</v>
      </c>
      <c r="B22" s="32">
        <v>1</v>
      </c>
      <c r="C22" s="32"/>
      <c r="D22" s="32"/>
      <c r="E22" s="24"/>
      <c r="F22" s="25">
        <f>B22*0</f>
        <v>0</v>
      </c>
      <c r="G22" s="25">
        <f t="shared" si="1"/>
        <v>0</v>
      </c>
      <c r="H22" s="25">
        <f>D22*2</f>
        <v>0</v>
      </c>
      <c r="I22" s="25">
        <f t="shared" si="3"/>
        <v>0</v>
      </c>
      <c r="J22" s="105">
        <f>I12+I17+I20+I25+I29</f>
        <v>0</v>
      </c>
      <c r="K22" s="108">
        <f>J22</f>
        <v>0</v>
      </c>
      <c r="M22" s="25">
        <v>16</v>
      </c>
      <c r="N22" s="32"/>
      <c r="O22" s="32">
        <v>1</v>
      </c>
      <c r="P22" s="32"/>
      <c r="Q22" s="24"/>
      <c r="R22" s="25">
        <f>N22*0</f>
        <v>0</v>
      </c>
      <c r="S22" s="25">
        <f t="shared" si="5"/>
        <v>1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/>
      <c r="AA22" s="32"/>
      <c r="AB22" s="32">
        <v>1</v>
      </c>
      <c r="AC22" s="24"/>
      <c r="AD22" s="25">
        <f>Z22*0</f>
        <v>0</v>
      </c>
      <c r="AE22" s="25">
        <f t="shared" si="9"/>
        <v>0</v>
      </c>
      <c r="AF22" s="25">
        <f>AB22*2</f>
        <v>2</v>
      </c>
      <c r="AG22" s="25">
        <f t="shared" si="11"/>
        <v>0</v>
      </c>
      <c r="AH22" s="105">
        <f>AG12+AG17+AG20+AG25+AG29</f>
        <v>0</v>
      </c>
      <c r="AI22" s="108">
        <f>AH22</f>
        <v>0</v>
      </c>
    </row>
    <row r="23" spans="1:35" ht="21" customHeight="1">
      <c r="A23" s="25">
        <v>17</v>
      </c>
      <c r="B23" s="32"/>
      <c r="C23" s="32"/>
      <c r="D23" s="32">
        <v>1</v>
      </c>
      <c r="E23" s="24"/>
      <c r="F23" s="25">
        <f>B23*2</f>
        <v>0</v>
      </c>
      <c r="G23" s="25">
        <f t="shared" si="1"/>
        <v>0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/>
      <c r="O23" s="32">
        <v>1</v>
      </c>
      <c r="P23" s="32"/>
      <c r="Q23" s="24"/>
      <c r="R23" s="25">
        <f>N23*2</f>
        <v>0</v>
      </c>
      <c r="S23" s="25">
        <f t="shared" si="5"/>
        <v>1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/>
      <c r="AA23" s="32"/>
      <c r="AB23" s="32">
        <v>1</v>
      </c>
      <c r="AC23" s="24"/>
      <c r="AD23" s="25">
        <f>Z23*2</f>
        <v>0</v>
      </c>
      <c r="AE23" s="25">
        <f t="shared" si="9"/>
        <v>0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/>
      <c r="C24" s="32">
        <v>1</v>
      </c>
      <c r="D24" s="32"/>
      <c r="E24" s="24"/>
      <c r="F24" s="25">
        <f>B24*2</f>
        <v>0</v>
      </c>
      <c r="G24" s="25">
        <f t="shared" si="1"/>
        <v>1</v>
      </c>
      <c r="H24" s="25">
        <f>D24*0</f>
        <v>0</v>
      </c>
      <c r="I24" s="25">
        <f t="shared" si="3"/>
        <v>0</v>
      </c>
      <c r="J24" s="24"/>
      <c r="K24" s="25"/>
      <c r="M24" s="25">
        <v>18</v>
      </c>
      <c r="N24" s="32">
        <v>1</v>
      </c>
      <c r="O24" s="32"/>
      <c r="P24" s="32"/>
      <c r="Q24" s="24"/>
      <c r="R24" s="25">
        <f>N24*2</f>
        <v>2</v>
      </c>
      <c r="S24" s="25">
        <f t="shared" si="5"/>
        <v>0</v>
      </c>
      <c r="T24" s="25">
        <f>P24*0</f>
        <v>0</v>
      </c>
      <c r="U24" s="25">
        <f t="shared" si="7"/>
        <v>2</v>
      </c>
      <c r="V24" s="24"/>
      <c r="W24" s="25"/>
      <c r="Y24" s="25">
        <v>18</v>
      </c>
      <c r="Z24" s="32"/>
      <c r="AA24" s="32">
        <v>1</v>
      </c>
      <c r="AB24" s="32"/>
      <c r="AC24" s="24"/>
      <c r="AD24" s="25">
        <f>Z24*2</f>
        <v>0</v>
      </c>
      <c r="AE24" s="25">
        <f t="shared" si="9"/>
        <v>1</v>
      </c>
      <c r="AF24" s="25">
        <f>AB24*0</f>
        <v>0</v>
      </c>
      <c r="AG24" s="25">
        <f t="shared" si="11"/>
        <v>0</v>
      </c>
      <c r="AH24" s="24"/>
      <c r="AI24" s="25"/>
    </row>
    <row r="25" spans="1:35" ht="21" customHeight="1">
      <c r="A25" s="25">
        <v>19</v>
      </c>
      <c r="B25" s="32">
        <v>1</v>
      </c>
      <c r="C25" s="32"/>
      <c r="D25" s="32"/>
      <c r="E25" s="24"/>
      <c r="F25" s="25">
        <f t="shared" ref="F25:F31" si="18">B25*0</f>
        <v>0</v>
      </c>
      <c r="G25" s="25">
        <f t="shared" si="1"/>
        <v>0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>
        <v>1</v>
      </c>
      <c r="O25" s="32"/>
      <c r="P25" s="32"/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>
        <v>1</v>
      </c>
      <c r="AA25" s="32"/>
      <c r="AB25" s="32"/>
      <c r="AC25" s="24"/>
      <c r="AD25" s="25">
        <f t="shared" ref="AD25:AD31" si="22">Z25*0</f>
        <v>0</v>
      </c>
      <c r="AE25" s="25">
        <f t="shared" si="9"/>
        <v>0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>
        <v>1</v>
      </c>
      <c r="D26" s="32"/>
      <c r="E26" s="24"/>
      <c r="F26" s="25">
        <f t="shared" si="18"/>
        <v>0</v>
      </c>
      <c r="G26" s="25">
        <f t="shared" si="1"/>
        <v>1</v>
      </c>
      <c r="H26" s="25">
        <f t="shared" si="19"/>
        <v>0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/>
      <c r="P26" s="32">
        <v>1</v>
      </c>
      <c r="Q26" s="24"/>
      <c r="R26" s="25">
        <f t="shared" si="20"/>
        <v>0</v>
      </c>
      <c r="S26" s="25">
        <f t="shared" si="5"/>
        <v>0</v>
      </c>
      <c r="T26" s="25">
        <f t="shared" si="21"/>
        <v>2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>
        <v>1</v>
      </c>
      <c r="AB26" s="32"/>
      <c r="AC26" s="24"/>
      <c r="AD26" s="25">
        <f t="shared" si="22"/>
        <v>0</v>
      </c>
      <c r="AE26" s="25">
        <f t="shared" si="9"/>
        <v>1</v>
      </c>
      <c r="AF26" s="25">
        <f t="shared" si="23"/>
        <v>0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>
        <v>1</v>
      </c>
      <c r="D27" s="32"/>
      <c r="E27" s="24"/>
      <c r="F27" s="25">
        <f t="shared" si="18"/>
        <v>0</v>
      </c>
      <c r="G27" s="25">
        <f t="shared" si="1"/>
        <v>1</v>
      </c>
      <c r="H27" s="25">
        <f t="shared" si="19"/>
        <v>0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/>
      <c r="O27" s="32">
        <v>1</v>
      </c>
      <c r="P27" s="32"/>
      <c r="Q27" s="24"/>
      <c r="R27" s="25">
        <f t="shared" si="20"/>
        <v>0</v>
      </c>
      <c r="S27" s="25">
        <f t="shared" si="5"/>
        <v>1</v>
      </c>
      <c r="T27" s="25">
        <f t="shared" si="21"/>
        <v>0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>
        <v>1</v>
      </c>
      <c r="AA27" s="32"/>
      <c r="AB27" s="32"/>
      <c r="AC27" s="24"/>
      <c r="AD27" s="25">
        <f t="shared" si="22"/>
        <v>0</v>
      </c>
      <c r="AE27" s="25">
        <f t="shared" si="9"/>
        <v>0</v>
      </c>
      <c r="AF27" s="25">
        <f t="shared" si="23"/>
        <v>0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>
        <v>1</v>
      </c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>
        <v>1</v>
      </c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>
        <v>1</v>
      </c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/>
      <c r="C29" s="32">
        <v>1</v>
      </c>
      <c r="D29" s="32"/>
      <c r="E29" s="24"/>
      <c r="F29" s="25">
        <f t="shared" si="18"/>
        <v>0</v>
      </c>
      <c r="G29" s="25">
        <f t="shared" si="1"/>
        <v>1</v>
      </c>
      <c r="H29" s="25">
        <f t="shared" si="19"/>
        <v>0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>
        <v>1</v>
      </c>
      <c r="P29" s="32"/>
      <c r="Q29" s="24"/>
      <c r="R29" s="25">
        <f t="shared" si="20"/>
        <v>0</v>
      </c>
      <c r="S29" s="25">
        <f t="shared" si="5"/>
        <v>1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/>
      <c r="AA29" s="32">
        <v>1</v>
      </c>
      <c r="AB29" s="32"/>
      <c r="AC29" s="24"/>
      <c r="AD29" s="25">
        <f t="shared" si="22"/>
        <v>0</v>
      </c>
      <c r="AE29" s="25">
        <f t="shared" si="9"/>
        <v>1</v>
      </c>
      <c r="AF29" s="25">
        <f t="shared" si="23"/>
        <v>0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/>
      <c r="C30" s="32">
        <v>1</v>
      </c>
      <c r="D30" s="32"/>
      <c r="E30" s="24"/>
      <c r="F30" s="25">
        <f t="shared" si="18"/>
        <v>0</v>
      </c>
      <c r="G30" s="25">
        <f t="shared" si="1"/>
        <v>1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/>
      <c r="O30" s="32">
        <v>1</v>
      </c>
      <c r="P30" s="32"/>
      <c r="Q30" s="24"/>
      <c r="R30" s="25">
        <f t="shared" si="20"/>
        <v>0</v>
      </c>
      <c r="S30" s="25">
        <f t="shared" si="5"/>
        <v>1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/>
      <c r="AA30" s="32">
        <v>1</v>
      </c>
      <c r="AB30" s="32"/>
      <c r="AC30" s="24"/>
      <c r="AD30" s="25">
        <f t="shared" si="22"/>
        <v>0</v>
      </c>
      <c r="AE30" s="25">
        <f t="shared" si="9"/>
        <v>1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>
        <v>1</v>
      </c>
      <c r="D31" s="32"/>
      <c r="E31" s="24"/>
      <c r="F31" s="25">
        <f t="shared" si="18"/>
        <v>0</v>
      </c>
      <c r="G31" s="25">
        <f t="shared" si="1"/>
        <v>1</v>
      </c>
      <c r="H31" s="25">
        <f t="shared" si="19"/>
        <v>0</v>
      </c>
      <c r="I31" s="25">
        <f t="shared" si="3"/>
        <v>0</v>
      </c>
      <c r="J31" s="24"/>
      <c r="K31" s="108">
        <f>K7+K12+K17+K22</f>
        <v>0</v>
      </c>
      <c r="M31" s="25">
        <v>25</v>
      </c>
      <c r="N31" s="32"/>
      <c r="O31" s="32">
        <v>1</v>
      </c>
      <c r="P31" s="32"/>
      <c r="Q31" s="24"/>
      <c r="R31" s="25">
        <f t="shared" si="20"/>
        <v>0</v>
      </c>
      <c r="S31" s="25">
        <f t="shared" si="5"/>
        <v>1</v>
      </c>
      <c r="T31" s="25">
        <f t="shared" si="21"/>
        <v>0</v>
      </c>
      <c r="U31" s="25">
        <f t="shared" si="7"/>
        <v>0</v>
      </c>
      <c r="V31" s="24"/>
      <c r="W31" s="108">
        <f>W7+W12+W17+W22</f>
        <v>2</v>
      </c>
      <c r="Y31" s="25">
        <v>25</v>
      </c>
      <c r="Z31" s="32"/>
      <c r="AA31" s="32"/>
      <c r="AB31" s="32">
        <v>1</v>
      </c>
      <c r="AC31" s="24"/>
      <c r="AD31" s="25">
        <f t="shared" si="22"/>
        <v>0</v>
      </c>
      <c r="AE31" s="25">
        <f t="shared" si="9"/>
        <v>0</v>
      </c>
      <c r="AF31" s="25">
        <f t="shared" si="23"/>
        <v>2</v>
      </c>
      <c r="AG31" s="25">
        <f t="shared" si="11"/>
        <v>0</v>
      </c>
      <c r="AH31" s="24"/>
      <c r="AI31" s="108">
        <f>AI7+AI12+AI17+AI22</f>
        <v>0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7"/>
  </sheetPr>
  <dimension ref="A1:AI41"/>
  <sheetViews>
    <sheetView topLeftCell="K25" zoomScale="150" workbookViewId="0">
      <selection activeCell="AB31" sqref="AB31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 t="str">
        <f>รายชื่อ!B14</f>
        <v>เด็กชาย</v>
      </c>
      <c r="C3" s="110" t="str">
        <f>รายชื่อ!C14</f>
        <v>วิศรุตย์</v>
      </c>
      <c r="D3" s="110" t="str">
        <f>รายชื่อ!D14</f>
        <v>เถื่อนทับ</v>
      </c>
      <c r="E3" s="60"/>
      <c r="F3" s="103"/>
      <c r="G3" s="165"/>
      <c r="H3" s="165"/>
      <c r="I3" s="165"/>
      <c r="J3" s="25"/>
      <c r="K3" s="106" t="s">
        <v>38</v>
      </c>
      <c r="M3" s="25" t="s">
        <v>85</v>
      </c>
      <c r="N3" s="110" t="str">
        <f>รายชื่อ!B14</f>
        <v>เด็กชาย</v>
      </c>
      <c r="O3" s="110" t="str">
        <f>รายชื่อ!C14</f>
        <v>วิศรุตย์</v>
      </c>
      <c r="P3" s="110" t="str">
        <f>รายชื่อ!D14</f>
        <v>เถื่อนทับ</v>
      </c>
      <c r="Q3" s="60"/>
      <c r="R3" s="103"/>
      <c r="S3" s="165"/>
      <c r="T3" s="165"/>
      <c r="U3" s="165"/>
      <c r="V3" s="25"/>
      <c r="W3" s="106" t="s">
        <v>38</v>
      </c>
      <c r="Y3" s="25" t="s">
        <v>85</v>
      </c>
      <c r="Z3" s="110" t="str">
        <f>รายชื่อ!B14</f>
        <v>เด็กชาย</v>
      </c>
      <c r="AA3" s="110" t="str">
        <f>รายชื่อ!C14</f>
        <v>วิศรุตย์</v>
      </c>
      <c r="AB3" s="110" t="str">
        <f>รายชื่อ!D14</f>
        <v>เถื่อนทับ</v>
      </c>
      <c r="AC3" s="60"/>
      <c r="AD3" s="103"/>
      <c r="AE3" s="165"/>
      <c r="AF3" s="165"/>
      <c r="AG3" s="165"/>
      <c r="AH3" s="25"/>
      <c r="AI3" s="106" t="s">
        <v>38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/>
      <c r="C7" s="32"/>
      <c r="D7" s="32">
        <v>1</v>
      </c>
      <c r="E7" s="24"/>
      <c r="F7" s="25">
        <f t="shared" ref="F7:F12" si="0">B7*0</f>
        <v>0</v>
      </c>
      <c r="G7" s="25">
        <f t="shared" ref="G7:G31" si="1">C7*1</f>
        <v>0</v>
      </c>
      <c r="H7" s="25">
        <f t="shared" ref="H7:H12" si="2">D7*2</f>
        <v>2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>
        <v>1</v>
      </c>
      <c r="O7" s="32"/>
      <c r="P7" s="32"/>
      <c r="Q7" s="24"/>
      <c r="R7" s="25">
        <f t="shared" ref="R7:R12" si="4">N7*0</f>
        <v>0</v>
      </c>
      <c r="S7" s="25">
        <f t="shared" ref="S7:S31" si="5">O7*1</f>
        <v>0</v>
      </c>
      <c r="T7" s="25">
        <f t="shared" ref="T7:T12" si="6">P7*2</f>
        <v>0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/>
      <c r="AB7" s="32">
        <v>1</v>
      </c>
      <c r="AC7" s="24"/>
      <c r="AD7" s="25">
        <f t="shared" ref="AD7:AD12" si="8">Z7*0</f>
        <v>0</v>
      </c>
      <c r="AE7" s="25">
        <f t="shared" ref="AE7:AE31" si="9">AA7*1</f>
        <v>0</v>
      </c>
      <c r="AF7" s="25">
        <f t="shared" ref="AF7:AF12" si="10">AB7*2</f>
        <v>2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/>
      <c r="C8" s="32">
        <v>1</v>
      </c>
      <c r="D8" s="32"/>
      <c r="E8" s="24"/>
      <c r="F8" s="25">
        <f t="shared" si="0"/>
        <v>0</v>
      </c>
      <c r="G8" s="25">
        <f t="shared" si="1"/>
        <v>1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/>
      <c r="O8" s="32"/>
      <c r="P8" s="32">
        <v>1</v>
      </c>
      <c r="Q8" s="24"/>
      <c r="R8" s="25">
        <f t="shared" si="4"/>
        <v>0</v>
      </c>
      <c r="S8" s="25">
        <f t="shared" si="5"/>
        <v>0</v>
      </c>
      <c r="T8" s="25">
        <f t="shared" si="6"/>
        <v>2</v>
      </c>
      <c r="U8" s="25">
        <f t="shared" si="7"/>
        <v>0</v>
      </c>
      <c r="V8" s="24"/>
      <c r="W8" s="25"/>
      <c r="Y8" s="25">
        <v>2</v>
      </c>
      <c r="Z8" s="32"/>
      <c r="AA8" s="32">
        <v>1</v>
      </c>
      <c r="AB8" s="32"/>
      <c r="AC8" s="24"/>
      <c r="AD8" s="25">
        <f t="shared" si="8"/>
        <v>0</v>
      </c>
      <c r="AE8" s="25">
        <f t="shared" si="9"/>
        <v>1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>
        <v>1</v>
      </c>
      <c r="C9" s="32"/>
      <c r="D9" s="32"/>
      <c r="E9" s="24"/>
      <c r="F9" s="25">
        <f t="shared" si="0"/>
        <v>0</v>
      </c>
      <c r="G9" s="25">
        <f t="shared" si="1"/>
        <v>0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>
        <v>1</v>
      </c>
      <c r="O9" s="32"/>
      <c r="P9" s="32"/>
      <c r="Q9" s="24"/>
      <c r="R9" s="25">
        <f t="shared" si="4"/>
        <v>0</v>
      </c>
      <c r="S9" s="25">
        <f t="shared" si="5"/>
        <v>0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>
        <v>1</v>
      </c>
      <c r="AA9" s="32"/>
      <c r="AB9" s="32"/>
      <c r="AC9" s="24"/>
      <c r="AD9" s="25">
        <f t="shared" si="8"/>
        <v>0</v>
      </c>
      <c r="AE9" s="25">
        <f t="shared" si="9"/>
        <v>0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>
        <v>1</v>
      </c>
      <c r="D10" s="32"/>
      <c r="E10" s="24"/>
      <c r="F10" s="25">
        <f t="shared" si="0"/>
        <v>0</v>
      </c>
      <c r="G10" s="25">
        <f t="shared" si="1"/>
        <v>1</v>
      </c>
      <c r="H10" s="25">
        <f t="shared" si="2"/>
        <v>0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>
        <v>1</v>
      </c>
      <c r="P10" s="32"/>
      <c r="Q10" s="24"/>
      <c r="R10" s="25">
        <f t="shared" si="4"/>
        <v>0</v>
      </c>
      <c r="S10" s="25">
        <f t="shared" si="5"/>
        <v>1</v>
      </c>
      <c r="T10" s="25">
        <f t="shared" si="6"/>
        <v>0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>
        <v>1</v>
      </c>
      <c r="AB10" s="32"/>
      <c r="AC10" s="24"/>
      <c r="AD10" s="25">
        <f t="shared" si="8"/>
        <v>0</v>
      </c>
      <c r="AE10" s="25">
        <f t="shared" si="9"/>
        <v>1</v>
      </c>
      <c r="AF10" s="25">
        <f t="shared" si="10"/>
        <v>0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>
        <v>1</v>
      </c>
      <c r="C11" s="32"/>
      <c r="D11" s="32"/>
      <c r="E11" s="24"/>
      <c r="F11" s="25">
        <f t="shared" si="0"/>
        <v>0</v>
      </c>
      <c r="G11" s="25">
        <f t="shared" si="1"/>
        <v>0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>
        <v>1</v>
      </c>
      <c r="O11" s="32"/>
      <c r="P11" s="32"/>
      <c r="Q11" s="24"/>
      <c r="R11" s="25">
        <f t="shared" si="4"/>
        <v>0</v>
      </c>
      <c r="S11" s="25">
        <f t="shared" si="5"/>
        <v>0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>
        <v>1</v>
      </c>
      <c r="AA11" s="32"/>
      <c r="AB11" s="32"/>
      <c r="AC11" s="24"/>
      <c r="AD11" s="25">
        <f t="shared" si="8"/>
        <v>0</v>
      </c>
      <c r="AE11" s="25">
        <f t="shared" si="9"/>
        <v>0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>
        <v>1</v>
      </c>
      <c r="C12" s="32"/>
      <c r="D12" s="32"/>
      <c r="E12" s="24"/>
      <c r="F12" s="25">
        <f t="shared" si="0"/>
        <v>0</v>
      </c>
      <c r="G12" s="25">
        <f t="shared" si="1"/>
        <v>0</v>
      </c>
      <c r="H12" s="25">
        <f t="shared" si="2"/>
        <v>0</v>
      </c>
      <c r="I12" s="25">
        <f t="shared" si="3"/>
        <v>0</v>
      </c>
      <c r="J12" s="105">
        <f>I11+I13+I18+I24+I28</f>
        <v>2</v>
      </c>
      <c r="K12" s="108">
        <f>J12</f>
        <v>2</v>
      </c>
      <c r="M12" s="25">
        <v>6</v>
      </c>
      <c r="N12" s="32">
        <v>1</v>
      </c>
      <c r="O12" s="32"/>
      <c r="P12" s="32"/>
      <c r="Q12" s="24"/>
      <c r="R12" s="25">
        <f t="shared" si="4"/>
        <v>0</v>
      </c>
      <c r="S12" s="25">
        <f t="shared" si="5"/>
        <v>0</v>
      </c>
      <c r="T12" s="25">
        <f t="shared" si="6"/>
        <v>0</v>
      </c>
      <c r="U12" s="25">
        <f t="shared" si="7"/>
        <v>0</v>
      </c>
      <c r="V12" s="105">
        <f>U11+U13+U18+U24+U28</f>
        <v>2</v>
      </c>
      <c r="W12" s="108">
        <f>V12</f>
        <v>2</v>
      </c>
      <c r="Y12" s="25">
        <v>6</v>
      </c>
      <c r="Z12" s="32">
        <v>1</v>
      </c>
      <c r="AA12" s="32"/>
      <c r="AB12" s="32"/>
      <c r="AC12" s="24"/>
      <c r="AD12" s="25">
        <f t="shared" si="8"/>
        <v>0</v>
      </c>
      <c r="AE12" s="25">
        <f t="shared" si="9"/>
        <v>0</v>
      </c>
      <c r="AF12" s="25">
        <f t="shared" si="10"/>
        <v>0</v>
      </c>
      <c r="AG12" s="25">
        <f t="shared" si="11"/>
        <v>0</v>
      </c>
      <c r="AH12" s="105">
        <f>AG11+AG13+AG18+AG24+AG28</f>
        <v>2</v>
      </c>
      <c r="AI12" s="108">
        <f>AH12</f>
        <v>2</v>
      </c>
    </row>
    <row r="13" spans="1:35" ht="21" customHeight="1">
      <c r="A13" s="25">
        <v>7</v>
      </c>
      <c r="B13" s="32"/>
      <c r="C13" s="32">
        <v>1</v>
      </c>
      <c r="D13" s="32"/>
      <c r="E13" s="24"/>
      <c r="F13" s="25">
        <f>B13*2</f>
        <v>0</v>
      </c>
      <c r="G13" s="25">
        <f t="shared" si="1"/>
        <v>1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>
        <v>1</v>
      </c>
      <c r="P13" s="32"/>
      <c r="Q13" s="24"/>
      <c r="R13" s="25">
        <f>N13*2</f>
        <v>0</v>
      </c>
      <c r="S13" s="25">
        <f t="shared" si="5"/>
        <v>1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/>
      <c r="AA13" s="32">
        <v>1</v>
      </c>
      <c r="AB13" s="32"/>
      <c r="AC13" s="24"/>
      <c r="AD13" s="25">
        <f>Z13*2</f>
        <v>0</v>
      </c>
      <c r="AE13" s="25">
        <f t="shared" si="9"/>
        <v>1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>
        <v>1</v>
      </c>
      <c r="C14" s="32"/>
      <c r="D14" s="32"/>
      <c r="E14" s="24"/>
      <c r="F14" s="25">
        <f t="shared" ref="F14:F19" si="12">B14*0</f>
        <v>0</v>
      </c>
      <c r="G14" s="25">
        <f t="shared" si="1"/>
        <v>0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>
        <v>1</v>
      </c>
      <c r="O14" s="32"/>
      <c r="P14" s="32"/>
      <c r="Q14" s="24"/>
      <c r="R14" s="25">
        <f t="shared" ref="R14:R19" si="14">N14*0</f>
        <v>0</v>
      </c>
      <c r="S14" s="25">
        <f t="shared" si="5"/>
        <v>0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>
        <v>1</v>
      </c>
      <c r="AA14" s="32"/>
      <c r="AB14" s="32"/>
      <c r="AC14" s="24"/>
      <c r="AD14" s="25">
        <f t="shared" ref="AD14:AD19" si="16">Z14*0</f>
        <v>0</v>
      </c>
      <c r="AE14" s="25">
        <f t="shared" si="9"/>
        <v>0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>
        <v>1</v>
      </c>
      <c r="C15" s="32"/>
      <c r="D15" s="32"/>
      <c r="E15" s="24"/>
      <c r="F15" s="25">
        <f t="shared" si="12"/>
        <v>0</v>
      </c>
      <c r="G15" s="25">
        <f t="shared" si="1"/>
        <v>0</v>
      </c>
      <c r="H15" s="25">
        <f t="shared" si="13"/>
        <v>0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>
        <v>1</v>
      </c>
      <c r="P15" s="32"/>
      <c r="Q15" s="24"/>
      <c r="R15" s="25">
        <f t="shared" si="14"/>
        <v>0</v>
      </c>
      <c r="S15" s="25">
        <f t="shared" si="5"/>
        <v>1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>
        <v>1</v>
      </c>
      <c r="AA15" s="32"/>
      <c r="AB15" s="32"/>
      <c r="AC15" s="24"/>
      <c r="AD15" s="25">
        <f t="shared" si="16"/>
        <v>0</v>
      </c>
      <c r="AE15" s="25">
        <f t="shared" si="9"/>
        <v>0</v>
      </c>
      <c r="AF15" s="25">
        <f t="shared" si="17"/>
        <v>0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>
        <v>1</v>
      </c>
      <c r="C16" s="32"/>
      <c r="D16" s="32"/>
      <c r="E16" s="24"/>
      <c r="F16" s="25">
        <f t="shared" si="12"/>
        <v>0</v>
      </c>
      <c r="G16" s="25">
        <f t="shared" si="1"/>
        <v>0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/>
      <c r="O16" s="32"/>
      <c r="P16" s="32">
        <v>1</v>
      </c>
      <c r="Q16" s="24"/>
      <c r="R16" s="25">
        <f t="shared" si="14"/>
        <v>0</v>
      </c>
      <c r="S16" s="25">
        <f t="shared" si="5"/>
        <v>0</v>
      </c>
      <c r="T16" s="25">
        <f t="shared" si="15"/>
        <v>2</v>
      </c>
      <c r="U16" s="25">
        <f t="shared" si="7"/>
        <v>0</v>
      </c>
      <c r="V16" s="24"/>
      <c r="W16" s="107" t="s">
        <v>99</v>
      </c>
      <c r="Y16" s="25">
        <v>10</v>
      </c>
      <c r="Z16" s="32"/>
      <c r="AA16" s="32">
        <v>1</v>
      </c>
      <c r="AB16" s="32"/>
      <c r="AC16" s="24"/>
      <c r="AD16" s="25">
        <f t="shared" si="16"/>
        <v>0</v>
      </c>
      <c r="AE16" s="25">
        <f t="shared" si="9"/>
        <v>1</v>
      </c>
      <c r="AF16" s="25">
        <f t="shared" si="17"/>
        <v>0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/>
      <c r="D17" s="32">
        <v>1</v>
      </c>
      <c r="E17" s="24"/>
      <c r="F17" s="25">
        <f t="shared" si="12"/>
        <v>0</v>
      </c>
      <c r="G17" s="25">
        <f t="shared" si="1"/>
        <v>0</v>
      </c>
      <c r="H17" s="25">
        <f t="shared" si="13"/>
        <v>2</v>
      </c>
      <c r="I17" s="25">
        <f t="shared" si="3"/>
        <v>0</v>
      </c>
      <c r="J17" s="105">
        <f>I8+I16+I21+I27+I31</f>
        <v>2</v>
      </c>
      <c r="K17" s="108">
        <f>J17</f>
        <v>2</v>
      </c>
      <c r="M17" s="25">
        <v>11</v>
      </c>
      <c r="N17" s="32"/>
      <c r="O17" s="32"/>
      <c r="P17" s="32">
        <v>1</v>
      </c>
      <c r="Q17" s="24"/>
      <c r="R17" s="25">
        <f t="shared" si="14"/>
        <v>0</v>
      </c>
      <c r="S17" s="25">
        <f t="shared" si="5"/>
        <v>0</v>
      </c>
      <c r="T17" s="25">
        <f t="shared" si="15"/>
        <v>2</v>
      </c>
      <c r="U17" s="25">
        <f t="shared" si="7"/>
        <v>0</v>
      </c>
      <c r="V17" s="105">
        <f>U8+U16+U21+U27+U31</f>
        <v>0</v>
      </c>
      <c r="W17" s="108">
        <f>V17</f>
        <v>0</v>
      </c>
      <c r="Y17" s="25">
        <v>11</v>
      </c>
      <c r="Z17" s="32"/>
      <c r="AA17" s="32"/>
      <c r="AB17" s="32">
        <v>1</v>
      </c>
      <c r="AC17" s="24"/>
      <c r="AD17" s="25">
        <f t="shared" si="16"/>
        <v>0</v>
      </c>
      <c r="AE17" s="25">
        <f t="shared" si="9"/>
        <v>0</v>
      </c>
      <c r="AF17" s="25">
        <f t="shared" si="17"/>
        <v>2</v>
      </c>
      <c r="AG17" s="25">
        <f t="shared" si="11"/>
        <v>0</v>
      </c>
      <c r="AH17" s="105">
        <f>AG8+AG16+AG21+AG27+AG31</f>
        <v>0</v>
      </c>
      <c r="AI17" s="108">
        <f>AH17</f>
        <v>0</v>
      </c>
    </row>
    <row r="18" spans="1:35" ht="21" customHeight="1">
      <c r="A18" s="25">
        <v>12</v>
      </c>
      <c r="B18" s="32">
        <v>1</v>
      </c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/>
      <c r="O18" s="32"/>
      <c r="P18" s="32">
        <v>1</v>
      </c>
      <c r="Q18" s="24"/>
      <c r="R18" s="25">
        <f t="shared" si="14"/>
        <v>0</v>
      </c>
      <c r="S18" s="25">
        <f t="shared" si="5"/>
        <v>0</v>
      </c>
      <c r="T18" s="25">
        <f t="shared" si="15"/>
        <v>2</v>
      </c>
      <c r="U18" s="25">
        <f t="shared" si="7"/>
        <v>0</v>
      </c>
      <c r="V18" s="24"/>
      <c r="W18" s="25"/>
      <c r="Y18" s="25">
        <v>12</v>
      </c>
      <c r="Z18" s="32"/>
      <c r="AA18" s="32">
        <v>1</v>
      </c>
      <c r="AB18" s="32"/>
      <c r="AC18" s="24"/>
      <c r="AD18" s="25">
        <f t="shared" si="16"/>
        <v>0</v>
      </c>
      <c r="AE18" s="25">
        <f t="shared" si="9"/>
        <v>1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>
        <v>1</v>
      </c>
      <c r="C19" s="32"/>
      <c r="D19" s="32"/>
      <c r="E19" s="24"/>
      <c r="F19" s="25">
        <f t="shared" si="12"/>
        <v>0</v>
      </c>
      <c r="G19" s="25">
        <f t="shared" si="1"/>
        <v>0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>
        <v>1</v>
      </c>
      <c r="O19" s="32"/>
      <c r="P19" s="32"/>
      <c r="Q19" s="24"/>
      <c r="R19" s="25">
        <f t="shared" si="14"/>
        <v>0</v>
      </c>
      <c r="S19" s="25">
        <f t="shared" si="5"/>
        <v>0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>
        <v>1</v>
      </c>
      <c r="AA19" s="32"/>
      <c r="AB19" s="32"/>
      <c r="AC19" s="24"/>
      <c r="AD19" s="25">
        <f t="shared" si="16"/>
        <v>0</v>
      </c>
      <c r="AE19" s="25">
        <f t="shared" si="9"/>
        <v>0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>
        <v>1</v>
      </c>
      <c r="C20" s="32"/>
      <c r="D20" s="32"/>
      <c r="E20" s="24"/>
      <c r="F20" s="25">
        <f>B20*2</f>
        <v>2</v>
      </c>
      <c r="G20" s="25">
        <f t="shared" si="1"/>
        <v>0</v>
      </c>
      <c r="H20" s="25">
        <f>D20*0</f>
        <v>0</v>
      </c>
      <c r="I20" s="25">
        <f t="shared" si="3"/>
        <v>2</v>
      </c>
      <c r="J20" s="24"/>
      <c r="K20" s="107" t="s">
        <v>100</v>
      </c>
      <c r="M20" s="25">
        <v>14</v>
      </c>
      <c r="N20" s="32"/>
      <c r="O20" s="32">
        <v>1</v>
      </c>
      <c r="P20" s="32"/>
      <c r="Q20" s="24"/>
      <c r="R20" s="25">
        <f>N20*2</f>
        <v>0</v>
      </c>
      <c r="S20" s="25">
        <f t="shared" si="5"/>
        <v>1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>
        <v>1</v>
      </c>
      <c r="AA20" s="32"/>
      <c r="AB20" s="32"/>
      <c r="AC20" s="24"/>
      <c r="AD20" s="25">
        <f>Z20*2</f>
        <v>2</v>
      </c>
      <c r="AE20" s="25">
        <f t="shared" si="9"/>
        <v>0</v>
      </c>
      <c r="AF20" s="25">
        <f>AB20*0</f>
        <v>0</v>
      </c>
      <c r="AG20" s="25">
        <f t="shared" si="11"/>
        <v>2</v>
      </c>
      <c r="AH20" s="24"/>
      <c r="AI20" s="107" t="s">
        <v>100</v>
      </c>
    </row>
    <row r="21" spans="1:35" ht="21" customHeight="1">
      <c r="A21" s="25">
        <v>15</v>
      </c>
      <c r="B21" s="32">
        <v>1</v>
      </c>
      <c r="C21" s="32"/>
      <c r="D21" s="32"/>
      <c r="E21" s="24"/>
      <c r="F21" s="25">
        <f>B21*2</f>
        <v>2</v>
      </c>
      <c r="G21" s="25">
        <f t="shared" si="1"/>
        <v>0</v>
      </c>
      <c r="H21" s="25">
        <f>D21*0</f>
        <v>0</v>
      </c>
      <c r="I21" s="25">
        <f t="shared" si="3"/>
        <v>2</v>
      </c>
      <c r="J21" s="24"/>
      <c r="K21" s="107" t="s">
        <v>101</v>
      </c>
      <c r="M21" s="25">
        <v>15</v>
      </c>
      <c r="N21" s="32"/>
      <c r="O21" s="32">
        <v>1</v>
      </c>
      <c r="P21" s="32"/>
      <c r="Q21" s="24"/>
      <c r="R21" s="25">
        <f>N21*2</f>
        <v>0</v>
      </c>
      <c r="S21" s="25">
        <f t="shared" si="5"/>
        <v>1</v>
      </c>
      <c r="T21" s="25">
        <f>P21*0</f>
        <v>0</v>
      </c>
      <c r="U21" s="25">
        <f t="shared" si="7"/>
        <v>0</v>
      </c>
      <c r="V21" s="24"/>
      <c r="W21" s="107" t="s">
        <v>101</v>
      </c>
      <c r="Y21" s="25">
        <v>15</v>
      </c>
      <c r="Z21" s="32"/>
      <c r="AA21" s="32">
        <v>1</v>
      </c>
      <c r="AB21" s="32"/>
      <c r="AC21" s="24"/>
      <c r="AD21" s="25">
        <f>Z21*2</f>
        <v>0</v>
      </c>
      <c r="AE21" s="25">
        <f t="shared" si="9"/>
        <v>1</v>
      </c>
      <c r="AF21" s="25">
        <f>AB21*0</f>
        <v>0</v>
      </c>
      <c r="AG21" s="25">
        <f t="shared" si="11"/>
        <v>0</v>
      </c>
      <c r="AH21" s="24"/>
      <c r="AI21" s="107" t="s">
        <v>101</v>
      </c>
    </row>
    <row r="22" spans="1:35" ht="21" customHeight="1">
      <c r="A22" s="25">
        <v>16</v>
      </c>
      <c r="B22" s="32"/>
      <c r="C22" s="32">
        <v>1</v>
      </c>
      <c r="D22" s="32"/>
      <c r="E22" s="24"/>
      <c r="F22" s="25">
        <f>B22*0</f>
        <v>0</v>
      </c>
      <c r="G22" s="25">
        <f t="shared" si="1"/>
        <v>1</v>
      </c>
      <c r="H22" s="25">
        <f>D22*2</f>
        <v>0</v>
      </c>
      <c r="I22" s="25">
        <f t="shared" si="3"/>
        <v>0</v>
      </c>
      <c r="J22" s="105">
        <f>I12+I17+I20+I25+I29</f>
        <v>2</v>
      </c>
      <c r="K22" s="108">
        <f>J22</f>
        <v>2</v>
      </c>
      <c r="M22" s="25">
        <v>16</v>
      </c>
      <c r="N22" s="32">
        <v>1</v>
      </c>
      <c r="O22" s="32"/>
      <c r="P22" s="32"/>
      <c r="Q22" s="24"/>
      <c r="R22" s="25">
        <f>N22*0</f>
        <v>0</v>
      </c>
      <c r="S22" s="25">
        <f t="shared" si="5"/>
        <v>0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/>
      <c r="AA22" s="32">
        <v>1</v>
      </c>
      <c r="AB22" s="32"/>
      <c r="AC22" s="24"/>
      <c r="AD22" s="25">
        <f>Z22*0</f>
        <v>0</v>
      </c>
      <c r="AE22" s="25">
        <f t="shared" si="9"/>
        <v>1</v>
      </c>
      <c r="AF22" s="25">
        <f>AB22*2</f>
        <v>0</v>
      </c>
      <c r="AG22" s="25">
        <f t="shared" si="11"/>
        <v>0</v>
      </c>
      <c r="AH22" s="105">
        <f>AG12+AG17+AG20+AG25+AG29</f>
        <v>2</v>
      </c>
      <c r="AI22" s="108">
        <f>AH22</f>
        <v>2</v>
      </c>
    </row>
    <row r="23" spans="1:35" ht="21" customHeight="1">
      <c r="A23" s="25">
        <v>17</v>
      </c>
      <c r="B23" s="32"/>
      <c r="C23" s="32">
        <v>1</v>
      </c>
      <c r="D23" s="32"/>
      <c r="E23" s="24"/>
      <c r="F23" s="25">
        <f>B23*2</f>
        <v>0</v>
      </c>
      <c r="G23" s="25">
        <f t="shared" si="1"/>
        <v>1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>
        <v>1</v>
      </c>
      <c r="O23" s="32"/>
      <c r="P23" s="32"/>
      <c r="Q23" s="24"/>
      <c r="R23" s="25">
        <f>N23*2</f>
        <v>2</v>
      </c>
      <c r="S23" s="25">
        <f t="shared" si="5"/>
        <v>0</v>
      </c>
      <c r="T23" s="25">
        <f>P23*0</f>
        <v>0</v>
      </c>
      <c r="U23" s="25">
        <f t="shared" si="7"/>
        <v>2</v>
      </c>
      <c r="V23" s="24"/>
      <c r="W23" s="25"/>
      <c r="Y23" s="25">
        <v>17</v>
      </c>
      <c r="Z23" s="32"/>
      <c r="AA23" s="32">
        <v>1</v>
      </c>
      <c r="AB23" s="32"/>
      <c r="AC23" s="24"/>
      <c r="AD23" s="25">
        <f>Z23*2</f>
        <v>0</v>
      </c>
      <c r="AE23" s="25">
        <f t="shared" si="9"/>
        <v>1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>
        <v>1</v>
      </c>
      <c r="C24" s="32"/>
      <c r="D24" s="32"/>
      <c r="E24" s="24"/>
      <c r="F24" s="25">
        <f>B24*2</f>
        <v>2</v>
      </c>
      <c r="G24" s="25">
        <f t="shared" si="1"/>
        <v>0</v>
      </c>
      <c r="H24" s="25">
        <f>D24*0</f>
        <v>0</v>
      </c>
      <c r="I24" s="25">
        <f t="shared" si="3"/>
        <v>2</v>
      </c>
      <c r="J24" s="24"/>
      <c r="K24" s="25"/>
      <c r="M24" s="25">
        <v>18</v>
      </c>
      <c r="N24" s="32">
        <v>1</v>
      </c>
      <c r="O24" s="32"/>
      <c r="P24" s="32"/>
      <c r="Q24" s="24"/>
      <c r="R24" s="25">
        <f>N24*2</f>
        <v>2</v>
      </c>
      <c r="S24" s="25">
        <f t="shared" si="5"/>
        <v>0</v>
      </c>
      <c r="T24" s="25">
        <f>P24*0</f>
        <v>0</v>
      </c>
      <c r="U24" s="25">
        <f t="shared" si="7"/>
        <v>2</v>
      </c>
      <c r="V24" s="24"/>
      <c r="W24" s="25"/>
      <c r="Y24" s="25">
        <v>18</v>
      </c>
      <c r="Z24" s="32">
        <v>1</v>
      </c>
      <c r="AA24" s="32"/>
      <c r="AB24" s="32"/>
      <c r="AC24" s="24"/>
      <c r="AD24" s="25">
        <f>Z24*2</f>
        <v>2</v>
      </c>
      <c r="AE24" s="25">
        <f t="shared" si="9"/>
        <v>0</v>
      </c>
      <c r="AF24" s="25">
        <f>AB24*0</f>
        <v>0</v>
      </c>
      <c r="AG24" s="25">
        <f t="shared" si="11"/>
        <v>2</v>
      </c>
      <c r="AH24" s="24"/>
      <c r="AI24" s="25"/>
    </row>
    <row r="25" spans="1:35" ht="21" customHeight="1">
      <c r="A25" s="25">
        <v>19</v>
      </c>
      <c r="B25" s="32"/>
      <c r="C25" s="32">
        <v>1</v>
      </c>
      <c r="D25" s="32"/>
      <c r="E25" s="24"/>
      <c r="F25" s="25">
        <f t="shared" ref="F25:F31" si="18">B25*0</f>
        <v>0</v>
      </c>
      <c r="G25" s="25">
        <f t="shared" si="1"/>
        <v>1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>
        <v>1</v>
      </c>
      <c r="O25" s="32"/>
      <c r="P25" s="32"/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/>
      <c r="AA25" s="32">
        <v>1</v>
      </c>
      <c r="AB25" s="32"/>
      <c r="AC25" s="24"/>
      <c r="AD25" s="25">
        <f t="shared" ref="AD25:AD31" si="22">Z25*0</f>
        <v>0</v>
      </c>
      <c r="AE25" s="25">
        <f t="shared" si="9"/>
        <v>1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>
        <v>1</v>
      </c>
      <c r="D26" s="32"/>
      <c r="E26" s="24"/>
      <c r="F26" s="25">
        <f t="shared" si="18"/>
        <v>0</v>
      </c>
      <c r="G26" s="25">
        <f t="shared" si="1"/>
        <v>1</v>
      </c>
      <c r="H26" s="25">
        <f t="shared" si="19"/>
        <v>0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>
        <v>1</v>
      </c>
      <c r="P26" s="32"/>
      <c r="Q26" s="24"/>
      <c r="R26" s="25">
        <f t="shared" si="20"/>
        <v>0</v>
      </c>
      <c r="S26" s="25">
        <f t="shared" si="5"/>
        <v>1</v>
      </c>
      <c r="T26" s="25">
        <f t="shared" si="21"/>
        <v>0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>
        <v>1</v>
      </c>
      <c r="AB26" s="32"/>
      <c r="AC26" s="24"/>
      <c r="AD26" s="25">
        <f t="shared" si="22"/>
        <v>0</v>
      </c>
      <c r="AE26" s="25">
        <f t="shared" si="9"/>
        <v>1</v>
      </c>
      <c r="AF26" s="25">
        <f t="shared" si="23"/>
        <v>0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>
        <v>1</v>
      </c>
      <c r="D27" s="32"/>
      <c r="E27" s="24"/>
      <c r="F27" s="25">
        <f t="shared" si="18"/>
        <v>0</v>
      </c>
      <c r="G27" s="25">
        <f t="shared" si="1"/>
        <v>1</v>
      </c>
      <c r="H27" s="25">
        <f t="shared" si="19"/>
        <v>0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>
        <v>1</v>
      </c>
      <c r="O27" s="32"/>
      <c r="P27" s="32"/>
      <c r="Q27" s="24"/>
      <c r="R27" s="25">
        <f t="shared" si="20"/>
        <v>0</v>
      </c>
      <c r="S27" s="25">
        <f t="shared" si="5"/>
        <v>0</v>
      </c>
      <c r="T27" s="25">
        <f t="shared" si="21"/>
        <v>0</v>
      </c>
      <c r="U27" s="25">
        <f t="shared" si="7"/>
        <v>0</v>
      </c>
      <c r="V27" s="105">
        <f>U7+U10+U15+U23+U26</f>
        <v>2</v>
      </c>
      <c r="W27" s="108">
        <f>V27</f>
        <v>2</v>
      </c>
      <c r="Y27" s="25">
        <v>21</v>
      </c>
      <c r="Z27" s="32"/>
      <c r="AA27" s="32">
        <v>1</v>
      </c>
      <c r="AB27" s="32"/>
      <c r="AC27" s="24"/>
      <c r="AD27" s="25">
        <f t="shared" si="22"/>
        <v>0</v>
      </c>
      <c r="AE27" s="25">
        <f t="shared" si="9"/>
        <v>1</v>
      </c>
      <c r="AF27" s="25">
        <f t="shared" si="23"/>
        <v>0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>
        <v>1</v>
      </c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>
        <v>1</v>
      </c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>
        <v>1</v>
      </c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/>
      <c r="C29" s="32"/>
      <c r="D29" s="32">
        <v>1</v>
      </c>
      <c r="E29" s="24"/>
      <c r="F29" s="25">
        <f t="shared" si="18"/>
        <v>0</v>
      </c>
      <c r="G29" s="25">
        <f t="shared" si="1"/>
        <v>0</v>
      </c>
      <c r="H29" s="25">
        <f t="shared" si="19"/>
        <v>2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>
        <v>1</v>
      </c>
      <c r="P29" s="32"/>
      <c r="Q29" s="24"/>
      <c r="R29" s="25">
        <f t="shared" si="20"/>
        <v>0</v>
      </c>
      <c r="S29" s="25">
        <f t="shared" si="5"/>
        <v>1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/>
      <c r="AA29" s="32">
        <v>1</v>
      </c>
      <c r="AB29" s="32"/>
      <c r="AC29" s="24"/>
      <c r="AD29" s="25">
        <f t="shared" si="22"/>
        <v>0</v>
      </c>
      <c r="AE29" s="25">
        <f t="shared" si="9"/>
        <v>1</v>
      </c>
      <c r="AF29" s="25">
        <f t="shared" si="23"/>
        <v>0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>
        <v>1</v>
      </c>
      <c r="C30" s="32"/>
      <c r="D30" s="32"/>
      <c r="E30" s="24"/>
      <c r="F30" s="25">
        <f t="shared" si="18"/>
        <v>0</v>
      </c>
      <c r="G30" s="25">
        <f t="shared" si="1"/>
        <v>0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/>
      <c r="O30" s="32">
        <v>1</v>
      </c>
      <c r="P30" s="32"/>
      <c r="Q30" s="24"/>
      <c r="R30" s="25">
        <f t="shared" si="20"/>
        <v>0</v>
      </c>
      <c r="S30" s="25">
        <f t="shared" si="5"/>
        <v>1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>
        <v>1</v>
      </c>
      <c r="AA30" s="32"/>
      <c r="AB30" s="32"/>
      <c r="AC30" s="24"/>
      <c r="AD30" s="25">
        <f t="shared" si="22"/>
        <v>0</v>
      </c>
      <c r="AE30" s="25">
        <f t="shared" si="9"/>
        <v>0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/>
      <c r="D31" s="32">
        <v>1</v>
      </c>
      <c r="E31" s="24"/>
      <c r="F31" s="25">
        <f t="shared" si="18"/>
        <v>0</v>
      </c>
      <c r="G31" s="25">
        <f t="shared" si="1"/>
        <v>0</v>
      </c>
      <c r="H31" s="25">
        <f t="shared" si="19"/>
        <v>2</v>
      </c>
      <c r="I31" s="25">
        <f t="shared" si="3"/>
        <v>0</v>
      </c>
      <c r="J31" s="24"/>
      <c r="K31" s="108">
        <f>K7+K12+K17+K22</f>
        <v>6</v>
      </c>
      <c r="M31" s="25">
        <v>25</v>
      </c>
      <c r="N31" s="32"/>
      <c r="O31" s="32">
        <v>1</v>
      </c>
      <c r="P31" s="32"/>
      <c r="Q31" s="24"/>
      <c r="R31" s="25">
        <f t="shared" si="20"/>
        <v>0</v>
      </c>
      <c r="S31" s="25">
        <f t="shared" si="5"/>
        <v>1</v>
      </c>
      <c r="T31" s="25">
        <f t="shared" si="21"/>
        <v>0</v>
      </c>
      <c r="U31" s="25">
        <f t="shared" si="7"/>
        <v>0</v>
      </c>
      <c r="V31" s="24"/>
      <c r="W31" s="108">
        <f>W7+W12+W17+W22</f>
        <v>2</v>
      </c>
      <c r="Y31" s="25">
        <v>25</v>
      </c>
      <c r="Z31" s="32"/>
      <c r="AA31" s="32">
        <v>1</v>
      </c>
      <c r="AB31" s="32"/>
      <c r="AC31" s="24"/>
      <c r="AD31" s="25">
        <f t="shared" si="22"/>
        <v>0</v>
      </c>
      <c r="AE31" s="25">
        <f t="shared" si="9"/>
        <v>1</v>
      </c>
      <c r="AF31" s="25">
        <f t="shared" si="23"/>
        <v>0</v>
      </c>
      <c r="AG31" s="25">
        <f t="shared" si="11"/>
        <v>0</v>
      </c>
      <c r="AH31" s="24"/>
      <c r="AI31" s="108">
        <f>AI7+AI12+AI17+AI22</f>
        <v>4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7"/>
  </sheetPr>
  <dimension ref="A1:AI41"/>
  <sheetViews>
    <sheetView topLeftCell="W1" zoomScale="150" workbookViewId="0">
      <selection activeCell="AA7" sqref="AA7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 t="str">
        <f>รายชื่อ!B15</f>
        <v>เด็กชาย</v>
      </c>
      <c r="C3" s="110" t="str">
        <f>รายชื่อ!C15</f>
        <v>ชนันธร</v>
      </c>
      <c r="D3" s="110" t="str">
        <f>รายชื่อ!D15</f>
        <v>อุดเลิศ</v>
      </c>
      <c r="E3" s="60"/>
      <c r="F3" s="103"/>
      <c r="G3" s="165"/>
      <c r="H3" s="165"/>
      <c r="I3" s="165"/>
      <c r="J3" s="25"/>
      <c r="K3" s="106" t="s">
        <v>39</v>
      </c>
      <c r="M3" s="25" t="s">
        <v>85</v>
      </c>
      <c r="N3" s="110" t="str">
        <f>รายชื่อ!B15</f>
        <v>เด็กชาย</v>
      </c>
      <c r="O3" s="110" t="str">
        <f>รายชื่อ!C15</f>
        <v>ชนันธร</v>
      </c>
      <c r="P3" s="110" t="str">
        <f>รายชื่อ!D15</f>
        <v>อุดเลิศ</v>
      </c>
      <c r="Q3" s="60"/>
      <c r="R3" s="103"/>
      <c r="S3" s="165"/>
      <c r="T3" s="165"/>
      <c r="U3" s="165"/>
      <c r="V3" s="25"/>
      <c r="W3" s="106" t="s">
        <v>39</v>
      </c>
      <c r="Y3" s="25" t="s">
        <v>85</v>
      </c>
      <c r="Z3" s="110" t="str">
        <f>รายชื่อ!B15</f>
        <v>เด็กชาย</v>
      </c>
      <c r="AA3" s="110" t="str">
        <f>รายชื่อ!C15</f>
        <v>ชนันธร</v>
      </c>
      <c r="AB3" s="110" t="str">
        <f>รายชื่อ!D15</f>
        <v>อุดเลิศ</v>
      </c>
      <c r="AC3" s="60"/>
      <c r="AD3" s="103"/>
      <c r="AE3" s="165"/>
      <c r="AF3" s="165"/>
      <c r="AG3" s="165"/>
      <c r="AH3" s="25"/>
      <c r="AI3" s="106" t="s">
        <v>39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>
        <v>1</v>
      </c>
      <c r="C7" s="32"/>
      <c r="D7" s="32"/>
      <c r="E7" s="24"/>
      <c r="F7" s="25">
        <f t="shared" ref="F7:F12" si="0">B7*0</f>
        <v>0</v>
      </c>
      <c r="G7" s="25">
        <f t="shared" ref="G7:G31" si="1">C7*1</f>
        <v>0</v>
      </c>
      <c r="H7" s="25">
        <f t="shared" ref="H7:H12" si="2">D7*2</f>
        <v>0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/>
      <c r="O7" s="32">
        <v>1</v>
      </c>
      <c r="P7" s="32"/>
      <c r="Q7" s="24"/>
      <c r="R7" s="25">
        <f t="shared" ref="R7:R12" si="4">N7*0</f>
        <v>0</v>
      </c>
      <c r="S7" s="25">
        <f t="shared" ref="S7:S31" si="5">O7*1</f>
        <v>1</v>
      </c>
      <c r="T7" s="25">
        <f t="shared" ref="T7:T12" si="6">P7*2</f>
        <v>0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/>
      <c r="AB7" s="32">
        <v>1</v>
      </c>
      <c r="AC7" s="24"/>
      <c r="AD7" s="25">
        <f t="shared" ref="AD7:AD12" si="8">Z7*0</f>
        <v>0</v>
      </c>
      <c r="AE7" s="25">
        <f t="shared" ref="AE7:AE31" si="9">AA7*1</f>
        <v>0</v>
      </c>
      <c r="AF7" s="25">
        <f t="shared" ref="AF7:AF12" si="10">AB7*2</f>
        <v>2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>
        <v>1</v>
      </c>
      <c r="C8" s="32"/>
      <c r="D8" s="32"/>
      <c r="E8" s="24"/>
      <c r="F8" s="25">
        <f t="shared" si="0"/>
        <v>0</v>
      </c>
      <c r="G8" s="25">
        <f t="shared" si="1"/>
        <v>0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/>
      <c r="O8" s="32">
        <v>1</v>
      </c>
      <c r="P8" s="32"/>
      <c r="Q8" s="24"/>
      <c r="R8" s="25">
        <f t="shared" si="4"/>
        <v>0</v>
      </c>
      <c r="S8" s="25">
        <f t="shared" si="5"/>
        <v>1</v>
      </c>
      <c r="T8" s="25">
        <f t="shared" si="6"/>
        <v>0</v>
      </c>
      <c r="U8" s="25">
        <f t="shared" si="7"/>
        <v>0</v>
      </c>
      <c r="V8" s="24"/>
      <c r="W8" s="25"/>
      <c r="Y8" s="25">
        <v>2</v>
      </c>
      <c r="Z8" s="32">
        <v>1</v>
      </c>
      <c r="AA8" s="32"/>
      <c r="AB8" s="32"/>
      <c r="AC8" s="24"/>
      <c r="AD8" s="25">
        <f t="shared" si="8"/>
        <v>0</v>
      </c>
      <c r="AE8" s="25">
        <f t="shared" si="9"/>
        <v>0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>
        <v>1</v>
      </c>
      <c r="C9" s="32"/>
      <c r="D9" s="32"/>
      <c r="E9" s="24"/>
      <c r="F9" s="25">
        <f t="shared" si="0"/>
        <v>0</v>
      </c>
      <c r="G9" s="25">
        <f t="shared" si="1"/>
        <v>0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/>
      <c r="O9" s="32">
        <v>1</v>
      </c>
      <c r="P9" s="32"/>
      <c r="Q9" s="24"/>
      <c r="R9" s="25">
        <f t="shared" si="4"/>
        <v>0</v>
      </c>
      <c r="S9" s="25">
        <f t="shared" si="5"/>
        <v>1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>
        <v>1</v>
      </c>
      <c r="AA9" s="32"/>
      <c r="AB9" s="32"/>
      <c r="AC9" s="24"/>
      <c r="AD9" s="25">
        <f t="shared" si="8"/>
        <v>0</v>
      </c>
      <c r="AE9" s="25">
        <f t="shared" si="9"/>
        <v>0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>
        <v>1</v>
      </c>
      <c r="D10" s="32"/>
      <c r="E10" s="24"/>
      <c r="F10" s="25">
        <f t="shared" si="0"/>
        <v>0</v>
      </c>
      <c r="G10" s="25">
        <f t="shared" si="1"/>
        <v>1</v>
      </c>
      <c r="H10" s="25">
        <f t="shared" si="2"/>
        <v>0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>
        <v>1</v>
      </c>
      <c r="P10" s="32"/>
      <c r="Q10" s="24"/>
      <c r="R10" s="25">
        <f t="shared" si="4"/>
        <v>0</v>
      </c>
      <c r="S10" s="25">
        <f t="shared" si="5"/>
        <v>1</v>
      </c>
      <c r="T10" s="25">
        <f t="shared" si="6"/>
        <v>0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/>
      <c r="AB10" s="32">
        <v>1</v>
      </c>
      <c r="AC10" s="24"/>
      <c r="AD10" s="25">
        <f t="shared" si="8"/>
        <v>0</v>
      </c>
      <c r="AE10" s="25">
        <f t="shared" si="9"/>
        <v>0</v>
      </c>
      <c r="AF10" s="25">
        <f t="shared" si="10"/>
        <v>2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>
        <v>1</v>
      </c>
      <c r="C11" s="32"/>
      <c r="D11" s="32"/>
      <c r="E11" s="24"/>
      <c r="F11" s="25">
        <f t="shared" si="0"/>
        <v>0</v>
      </c>
      <c r="G11" s="25">
        <f t="shared" si="1"/>
        <v>0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>
        <v>1</v>
      </c>
      <c r="O11" s="32"/>
      <c r="P11" s="32"/>
      <c r="Q11" s="24"/>
      <c r="R11" s="25">
        <f t="shared" si="4"/>
        <v>0</v>
      </c>
      <c r="S11" s="25">
        <f t="shared" si="5"/>
        <v>0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>
        <v>1</v>
      </c>
      <c r="AA11" s="32"/>
      <c r="AB11" s="32"/>
      <c r="AC11" s="24"/>
      <c r="AD11" s="25">
        <f t="shared" si="8"/>
        <v>0</v>
      </c>
      <c r="AE11" s="25">
        <f t="shared" si="9"/>
        <v>0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/>
      <c r="C12" s="32">
        <v>1</v>
      </c>
      <c r="D12" s="32"/>
      <c r="E12" s="24"/>
      <c r="F12" s="25">
        <f t="shared" si="0"/>
        <v>0</v>
      </c>
      <c r="G12" s="25">
        <f t="shared" si="1"/>
        <v>1</v>
      </c>
      <c r="H12" s="25">
        <f t="shared" si="2"/>
        <v>0</v>
      </c>
      <c r="I12" s="25">
        <f t="shared" si="3"/>
        <v>0</v>
      </c>
      <c r="J12" s="105">
        <f>I11+I13+I18+I24+I28</f>
        <v>2</v>
      </c>
      <c r="K12" s="108">
        <f>J12</f>
        <v>2</v>
      </c>
      <c r="M12" s="25">
        <v>6</v>
      </c>
      <c r="N12" s="32"/>
      <c r="O12" s="32"/>
      <c r="P12" s="32">
        <v>1</v>
      </c>
      <c r="Q12" s="24"/>
      <c r="R12" s="25">
        <f t="shared" si="4"/>
        <v>0</v>
      </c>
      <c r="S12" s="25">
        <f t="shared" si="5"/>
        <v>0</v>
      </c>
      <c r="T12" s="25">
        <f t="shared" si="6"/>
        <v>2</v>
      </c>
      <c r="U12" s="25">
        <f t="shared" si="7"/>
        <v>0</v>
      </c>
      <c r="V12" s="105">
        <f>U11+U13+U18+U24+U28</f>
        <v>2</v>
      </c>
      <c r="W12" s="108">
        <f>V12</f>
        <v>2</v>
      </c>
      <c r="Y12" s="25">
        <v>6</v>
      </c>
      <c r="Z12" s="32"/>
      <c r="AA12" s="32"/>
      <c r="AB12" s="32">
        <v>1</v>
      </c>
      <c r="AC12" s="24"/>
      <c r="AD12" s="25">
        <f t="shared" si="8"/>
        <v>0</v>
      </c>
      <c r="AE12" s="25">
        <f t="shared" si="9"/>
        <v>0</v>
      </c>
      <c r="AF12" s="25">
        <f t="shared" si="10"/>
        <v>2</v>
      </c>
      <c r="AG12" s="25">
        <f t="shared" si="11"/>
        <v>0</v>
      </c>
      <c r="AH12" s="105">
        <f>AG11+AG13+AG18+AG24+AG28</f>
        <v>2</v>
      </c>
      <c r="AI12" s="108">
        <f>AH12</f>
        <v>2</v>
      </c>
    </row>
    <row r="13" spans="1:35" ht="21" customHeight="1">
      <c r="A13" s="25">
        <v>7</v>
      </c>
      <c r="B13" s="32"/>
      <c r="C13" s="32"/>
      <c r="D13" s="32">
        <v>1</v>
      </c>
      <c r="E13" s="24"/>
      <c r="F13" s="25">
        <f>B13*2</f>
        <v>0</v>
      </c>
      <c r="G13" s="25">
        <f t="shared" si="1"/>
        <v>0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>
        <v>1</v>
      </c>
      <c r="P13" s="32"/>
      <c r="Q13" s="24"/>
      <c r="R13" s="25">
        <f>N13*2</f>
        <v>0</v>
      </c>
      <c r="S13" s="25">
        <f t="shared" si="5"/>
        <v>1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/>
      <c r="AA13" s="32"/>
      <c r="AB13" s="32">
        <v>1</v>
      </c>
      <c r="AC13" s="24"/>
      <c r="AD13" s="25">
        <f>Z13*2</f>
        <v>0</v>
      </c>
      <c r="AE13" s="25">
        <f t="shared" si="9"/>
        <v>0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>
        <v>1</v>
      </c>
      <c r="C14" s="32"/>
      <c r="D14" s="32"/>
      <c r="E14" s="24"/>
      <c r="F14" s="25">
        <f t="shared" ref="F14:F19" si="12">B14*0</f>
        <v>0</v>
      </c>
      <c r="G14" s="25">
        <f t="shared" si="1"/>
        <v>0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/>
      <c r="O14" s="32">
        <v>1</v>
      </c>
      <c r="P14" s="32"/>
      <c r="Q14" s="24"/>
      <c r="R14" s="25">
        <f t="shared" ref="R14:R19" si="14">N14*0</f>
        <v>0</v>
      </c>
      <c r="S14" s="25">
        <f t="shared" si="5"/>
        <v>1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>
        <v>1</v>
      </c>
      <c r="AA14" s="32"/>
      <c r="AB14" s="32"/>
      <c r="AC14" s="24"/>
      <c r="AD14" s="25">
        <f t="shared" ref="AD14:AD19" si="16">Z14*0</f>
        <v>0</v>
      </c>
      <c r="AE14" s="25">
        <f t="shared" si="9"/>
        <v>0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>
        <v>1</v>
      </c>
      <c r="D15" s="32"/>
      <c r="E15" s="24"/>
      <c r="F15" s="25">
        <f t="shared" si="12"/>
        <v>0</v>
      </c>
      <c r="G15" s="25">
        <f t="shared" si="1"/>
        <v>1</v>
      </c>
      <c r="H15" s="25">
        <f t="shared" si="13"/>
        <v>0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>
        <v>1</v>
      </c>
      <c r="P15" s="32"/>
      <c r="Q15" s="24"/>
      <c r="R15" s="25">
        <f t="shared" si="14"/>
        <v>0</v>
      </c>
      <c r="S15" s="25">
        <f t="shared" si="5"/>
        <v>1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/>
      <c r="AA15" s="32"/>
      <c r="AB15" s="32">
        <v>1</v>
      </c>
      <c r="AC15" s="24"/>
      <c r="AD15" s="25">
        <f t="shared" si="16"/>
        <v>0</v>
      </c>
      <c r="AE15" s="25">
        <f t="shared" si="9"/>
        <v>0</v>
      </c>
      <c r="AF15" s="25">
        <f t="shared" si="17"/>
        <v>2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>
        <v>1</v>
      </c>
      <c r="C16" s="32"/>
      <c r="D16" s="32"/>
      <c r="E16" s="24"/>
      <c r="F16" s="25">
        <f t="shared" si="12"/>
        <v>0</v>
      </c>
      <c r="G16" s="25">
        <f t="shared" si="1"/>
        <v>0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>
        <v>1</v>
      </c>
      <c r="O16" s="32"/>
      <c r="P16" s="32"/>
      <c r="Q16" s="24"/>
      <c r="R16" s="25">
        <f t="shared" si="14"/>
        <v>0</v>
      </c>
      <c r="S16" s="25">
        <f t="shared" si="5"/>
        <v>0</v>
      </c>
      <c r="T16" s="25">
        <f t="shared" si="15"/>
        <v>0</v>
      </c>
      <c r="U16" s="25">
        <f t="shared" si="7"/>
        <v>0</v>
      </c>
      <c r="V16" s="24"/>
      <c r="W16" s="107" t="s">
        <v>99</v>
      </c>
      <c r="Y16" s="25">
        <v>10</v>
      </c>
      <c r="Z16" s="32">
        <v>1</v>
      </c>
      <c r="AA16" s="32"/>
      <c r="AB16" s="32"/>
      <c r="AC16" s="24"/>
      <c r="AD16" s="25">
        <f t="shared" si="16"/>
        <v>0</v>
      </c>
      <c r="AE16" s="25">
        <f t="shared" si="9"/>
        <v>0</v>
      </c>
      <c r="AF16" s="25">
        <f t="shared" si="17"/>
        <v>0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/>
      <c r="D17" s="32">
        <v>1</v>
      </c>
      <c r="E17" s="24"/>
      <c r="F17" s="25">
        <f t="shared" si="12"/>
        <v>0</v>
      </c>
      <c r="G17" s="25">
        <f t="shared" si="1"/>
        <v>0</v>
      </c>
      <c r="H17" s="25">
        <f t="shared" si="13"/>
        <v>2</v>
      </c>
      <c r="I17" s="25">
        <f t="shared" si="3"/>
        <v>0</v>
      </c>
      <c r="J17" s="105">
        <f>I8+I16+I21+I27+I31</f>
        <v>2</v>
      </c>
      <c r="K17" s="108">
        <f>J17</f>
        <v>2</v>
      </c>
      <c r="M17" s="25">
        <v>11</v>
      </c>
      <c r="N17" s="32"/>
      <c r="O17" s="32"/>
      <c r="P17" s="32">
        <v>1</v>
      </c>
      <c r="Q17" s="24"/>
      <c r="R17" s="25">
        <f t="shared" si="14"/>
        <v>0</v>
      </c>
      <c r="S17" s="25">
        <f t="shared" si="5"/>
        <v>0</v>
      </c>
      <c r="T17" s="25">
        <f t="shared" si="15"/>
        <v>2</v>
      </c>
      <c r="U17" s="25">
        <f t="shared" si="7"/>
        <v>0</v>
      </c>
      <c r="V17" s="105">
        <f>U8+U16+U21+U27+U31</f>
        <v>2</v>
      </c>
      <c r="W17" s="108">
        <f>V17</f>
        <v>2</v>
      </c>
      <c r="Y17" s="25">
        <v>11</v>
      </c>
      <c r="Z17" s="32"/>
      <c r="AA17" s="32"/>
      <c r="AB17" s="32">
        <v>1</v>
      </c>
      <c r="AC17" s="24"/>
      <c r="AD17" s="25">
        <f t="shared" si="16"/>
        <v>0</v>
      </c>
      <c r="AE17" s="25">
        <f t="shared" si="9"/>
        <v>0</v>
      </c>
      <c r="AF17" s="25">
        <f t="shared" si="17"/>
        <v>2</v>
      </c>
      <c r="AG17" s="25">
        <f t="shared" si="11"/>
        <v>0</v>
      </c>
      <c r="AH17" s="105">
        <f>AG8+AG16+AG21+AG27+AG31</f>
        <v>2</v>
      </c>
      <c r="AI17" s="108">
        <f>AH17</f>
        <v>2</v>
      </c>
    </row>
    <row r="18" spans="1:35" ht="21" customHeight="1">
      <c r="A18" s="25">
        <v>12</v>
      </c>
      <c r="B18" s="32">
        <v>1</v>
      </c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>
        <v>1</v>
      </c>
      <c r="O18" s="32"/>
      <c r="P18" s="32"/>
      <c r="Q18" s="24"/>
      <c r="R18" s="25">
        <f t="shared" si="14"/>
        <v>0</v>
      </c>
      <c r="S18" s="25">
        <f t="shared" si="5"/>
        <v>0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>
        <v>1</v>
      </c>
      <c r="AA18" s="32"/>
      <c r="AB18" s="32"/>
      <c r="AC18" s="24"/>
      <c r="AD18" s="25">
        <f t="shared" si="16"/>
        <v>0</v>
      </c>
      <c r="AE18" s="25">
        <f t="shared" si="9"/>
        <v>0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>
        <v>1</v>
      </c>
      <c r="C19" s="32"/>
      <c r="D19" s="32"/>
      <c r="E19" s="24"/>
      <c r="F19" s="25">
        <f t="shared" si="12"/>
        <v>0</v>
      </c>
      <c r="G19" s="25">
        <f t="shared" si="1"/>
        <v>0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/>
      <c r="O19" s="32">
        <v>1</v>
      </c>
      <c r="P19" s="32"/>
      <c r="Q19" s="24"/>
      <c r="R19" s="25">
        <f t="shared" si="14"/>
        <v>0</v>
      </c>
      <c r="S19" s="25">
        <f t="shared" si="5"/>
        <v>1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>
        <v>1</v>
      </c>
      <c r="AA19" s="32"/>
      <c r="AB19" s="32"/>
      <c r="AC19" s="24"/>
      <c r="AD19" s="25">
        <f t="shared" si="16"/>
        <v>0</v>
      </c>
      <c r="AE19" s="25">
        <f t="shared" si="9"/>
        <v>0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/>
      <c r="C20" s="32">
        <v>1</v>
      </c>
      <c r="D20" s="32"/>
      <c r="E20" s="24"/>
      <c r="F20" s="25">
        <f>B20*2</f>
        <v>0</v>
      </c>
      <c r="G20" s="25">
        <f t="shared" si="1"/>
        <v>1</v>
      </c>
      <c r="H20" s="25">
        <f>D20*0</f>
        <v>0</v>
      </c>
      <c r="I20" s="25">
        <f t="shared" si="3"/>
        <v>0</v>
      </c>
      <c r="J20" s="24"/>
      <c r="K20" s="107" t="s">
        <v>100</v>
      </c>
      <c r="M20" s="25">
        <v>14</v>
      </c>
      <c r="N20" s="32"/>
      <c r="O20" s="32">
        <v>1</v>
      </c>
      <c r="P20" s="32"/>
      <c r="Q20" s="24"/>
      <c r="R20" s="25">
        <f>N20*2</f>
        <v>0</v>
      </c>
      <c r="S20" s="25">
        <f t="shared" si="5"/>
        <v>1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/>
      <c r="AA20" s="32">
        <v>1</v>
      </c>
      <c r="AB20" s="32"/>
      <c r="AC20" s="24"/>
      <c r="AD20" s="25">
        <f>Z20*2</f>
        <v>0</v>
      </c>
      <c r="AE20" s="25">
        <f t="shared" si="9"/>
        <v>1</v>
      </c>
      <c r="AF20" s="25">
        <f>AB20*0</f>
        <v>0</v>
      </c>
      <c r="AG20" s="25">
        <f t="shared" si="11"/>
        <v>0</v>
      </c>
      <c r="AH20" s="24"/>
      <c r="AI20" s="107" t="s">
        <v>100</v>
      </c>
    </row>
    <row r="21" spans="1:35" ht="21" customHeight="1">
      <c r="A21" s="25">
        <v>15</v>
      </c>
      <c r="B21" s="32">
        <v>1</v>
      </c>
      <c r="C21" s="32"/>
      <c r="D21" s="32"/>
      <c r="E21" s="24"/>
      <c r="F21" s="25">
        <f>B21*2</f>
        <v>2</v>
      </c>
      <c r="G21" s="25">
        <f t="shared" si="1"/>
        <v>0</v>
      </c>
      <c r="H21" s="25">
        <f>D21*0</f>
        <v>0</v>
      </c>
      <c r="I21" s="25">
        <f t="shared" si="3"/>
        <v>2</v>
      </c>
      <c r="J21" s="24"/>
      <c r="K21" s="107" t="s">
        <v>101</v>
      </c>
      <c r="M21" s="25">
        <v>15</v>
      </c>
      <c r="N21" s="32">
        <v>1</v>
      </c>
      <c r="O21" s="32"/>
      <c r="P21" s="32"/>
      <c r="Q21" s="24"/>
      <c r="R21" s="25">
        <f>N21*2</f>
        <v>2</v>
      </c>
      <c r="S21" s="25">
        <f t="shared" si="5"/>
        <v>0</v>
      </c>
      <c r="T21" s="25">
        <f>P21*0</f>
        <v>0</v>
      </c>
      <c r="U21" s="25">
        <f t="shared" si="7"/>
        <v>2</v>
      </c>
      <c r="V21" s="24"/>
      <c r="W21" s="107" t="s">
        <v>101</v>
      </c>
      <c r="Y21" s="25">
        <v>15</v>
      </c>
      <c r="Z21" s="32">
        <v>1</v>
      </c>
      <c r="AA21" s="32"/>
      <c r="AB21" s="32"/>
      <c r="AC21" s="24"/>
      <c r="AD21" s="25">
        <f>Z21*2</f>
        <v>2</v>
      </c>
      <c r="AE21" s="25">
        <f t="shared" si="9"/>
        <v>0</v>
      </c>
      <c r="AF21" s="25">
        <f>AB21*0</f>
        <v>0</v>
      </c>
      <c r="AG21" s="25">
        <f t="shared" si="11"/>
        <v>2</v>
      </c>
      <c r="AH21" s="24"/>
      <c r="AI21" s="107" t="s">
        <v>101</v>
      </c>
    </row>
    <row r="22" spans="1:35" ht="21" customHeight="1">
      <c r="A22" s="25">
        <v>16</v>
      </c>
      <c r="B22" s="32"/>
      <c r="C22" s="32">
        <v>1</v>
      </c>
      <c r="D22" s="32"/>
      <c r="E22" s="24"/>
      <c r="F22" s="25">
        <f>B22*0</f>
        <v>0</v>
      </c>
      <c r="G22" s="25">
        <f t="shared" si="1"/>
        <v>1</v>
      </c>
      <c r="H22" s="25">
        <f>D22*2</f>
        <v>0</v>
      </c>
      <c r="I22" s="25">
        <f t="shared" si="3"/>
        <v>0</v>
      </c>
      <c r="J22" s="105">
        <f>I12+I17+I20+I25+I29</f>
        <v>0</v>
      </c>
      <c r="K22" s="108">
        <f>J22</f>
        <v>0</v>
      </c>
      <c r="M22" s="25">
        <v>16</v>
      </c>
      <c r="N22" s="32"/>
      <c r="O22" s="32">
        <v>1</v>
      </c>
      <c r="P22" s="32"/>
      <c r="Q22" s="24"/>
      <c r="R22" s="25">
        <f>N22*0</f>
        <v>0</v>
      </c>
      <c r="S22" s="25">
        <f t="shared" si="5"/>
        <v>1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>
        <v>1</v>
      </c>
      <c r="AA22" s="32"/>
      <c r="AB22" s="32"/>
      <c r="AC22" s="24"/>
      <c r="AD22" s="25">
        <f>Z22*0</f>
        <v>0</v>
      </c>
      <c r="AE22" s="25">
        <f t="shared" si="9"/>
        <v>0</v>
      </c>
      <c r="AF22" s="25">
        <f>AB22*2</f>
        <v>0</v>
      </c>
      <c r="AG22" s="25">
        <f t="shared" si="11"/>
        <v>0</v>
      </c>
      <c r="AH22" s="105">
        <f>AG12+AG17+AG20+AG25+AG29</f>
        <v>0</v>
      </c>
      <c r="AI22" s="108">
        <f>AH22</f>
        <v>0</v>
      </c>
    </row>
    <row r="23" spans="1:35" ht="21" customHeight="1">
      <c r="A23" s="25">
        <v>17</v>
      </c>
      <c r="B23" s="32"/>
      <c r="C23" s="32">
        <v>1</v>
      </c>
      <c r="D23" s="32"/>
      <c r="E23" s="24"/>
      <c r="F23" s="25">
        <f>B23*2</f>
        <v>0</v>
      </c>
      <c r="G23" s="25">
        <f t="shared" si="1"/>
        <v>1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/>
      <c r="O23" s="32">
        <v>1</v>
      </c>
      <c r="P23" s="32"/>
      <c r="Q23" s="24"/>
      <c r="R23" s="25">
        <f>N23*2</f>
        <v>0</v>
      </c>
      <c r="S23" s="25">
        <f t="shared" si="5"/>
        <v>1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/>
      <c r="AA23" s="32"/>
      <c r="AB23" s="32">
        <v>1</v>
      </c>
      <c r="AC23" s="24"/>
      <c r="AD23" s="25">
        <f>Z23*2</f>
        <v>0</v>
      </c>
      <c r="AE23" s="25">
        <f t="shared" si="9"/>
        <v>0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>
        <v>1</v>
      </c>
      <c r="C24" s="32"/>
      <c r="D24" s="32"/>
      <c r="E24" s="24"/>
      <c r="F24" s="25">
        <f>B24*2</f>
        <v>2</v>
      </c>
      <c r="G24" s="25">
        <f t="shared" si="1"/>
        <v>0</v>
      </c>
      <c r="H24" s="25">
        <f>D24*0</f>
        <v>0</v>
      </c>
      <c r="I24" s="25">
        <f t="shared" si="3"/>
        <v>2</v>
      </c>
      <c r="J24" s="24"/>
      <c r="K24" s="25"/>
      <c r="M24" s="25">
        <v>18</v>
      </c>
      <c r="N24" s="32">
        <v>1</v>
      </c>
      <c r="O24" s="32"/>
      <c r="P24" s="32"/>
      <c r="Q24" s="24"/>
      <c r="R24" s="25">
        <f>N24*2</f>
        <v>2</v>
      </c>
      <c r="S24" s="25">
        <f t="shared" si="5"/>
        <v>0</v>
      </c>
      <c r="T24" s="25">
        <f>P24*0</f>
        <v>0</v>
      </c>
      <c r="U24" s="25">
        <f t="shared" si="7"/>
        <v>2</v>
      </c>
      <c r="V24" s="24"/>
      <c r="W24" s="25"/>
      <c r="Y24" s="25">
        <v>18</v>
      </c>
      <c r="Z24" s="32">
        <v>1</v>
      </c>
      <c r="AA24" s="32"/>
      <c r="AB24" s="32"/>
      <c r="AC24" s="24"/>
      <c r="AD24" s="25">
        <f>Z24*2</f>
        <v>2</v>
      </c>
      <c r="AE24" s="25">
        <f t="shared" si="9"/>
        <v>0</v>
      </c>
      <c r="AF24" s="25">
        <f>AB24*0</f>
        <v>0</v>
      </c>
      <c r="AG24" s="25">
        <f t="shared" si="11"/>
        <v>2</v>
      </c>
      <c r="AH24" s="24"/>
      <c r="AI24" s="25"/>
    </row>
    <row r="25" spans="1:35" ht="21" customHeight="1">
      <c r="A25" s="25">
        <v>19</v>
      </c>
      <c r="B25" s="32"/>
      <c r="C25" s="32">
        <v>1</v>
      </c>
      <c r="D25" s="32"/>
      <c r="E25" s="24"/>
      <c r="F25" s="25">
        <f t="shared" ref="F25:F31" si="18">B25*0</f>
        <v>0</v>
      </c>
      <c r="G25" s="25">
        <f t="shared" si="1"/>
        <v>1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>
        <v>1</v>
      </c>
      <c r="O25" s="32"/>
      <c r="P25" s="32"/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/>
      <c r="AA25" s="32">
        <v>1</v>
      </c>
      <c r="AB25" s="32"/>
      <c r="AC25" s="24"/>
      <c r="AD25" s="25">
        <f t="shared" ref="AD25:AD31" si="22">Z25*0</f>
        <v>0</v>
      </c>
      <c r="AE25" s="25">
        <f t="shared" si="9"/>
        <v>1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>
        <v>1</v>
      </c>
      <c r="D26" s="32"/>
      <c r="E26" s="24"/>
      <c r="F26" s="25">
        <f t="shared" si="18"/>
        <v>0</v>
      </c>
      <c r="G26" s="25">
        <f t="shared" si="1"/>
        <v>1</v>
      </c>
      <c r="H26" s="25">
        <f t="shared" si="19"/>
        <v>0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>
        <v>1</v>
      </c>
      <c r="P26" s="32"/>
      <c r="Q26" s="24"/>
      <c r="R26" s="25">
        <f t="shared" si="20"/>
        <v>0</v>
      </c>
      <c r="S26" s="25">
        <f t="shared" si="5"/>
        <v>1</v>
      </c>
      <c r="T26" s="25">
        <f t="shared" si="21"/>
        <v>0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/>
      <c r="AB26" s="32">
        <v>1</v>
      </c>
      <c r="AC26" s="24"/>
      <c r="AD26" s="25">
        <f t="shared" si="22"/>
        <v>0</v>
      </c>
      <c r="AE26" s="25">
        <f t="shared" si="9"/>
        <v>0</v>
      </c>
      <c r="AF26" s="25">
        <f t="shared" si="23"/>
        <v>2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>
        <v>1</v>
      </c>
      <c r="D27" s="32"/>
      <c r="E27" s="24"/>
      <c r="F27" s="25">
        <f t="shared" si="18"/>
        <v>0</v>
      </c>
      <c r="G27" s="25">
        <f t="shared" si="1"/>
        <v>1</v>
      </c>
      <c r="H27" s="25">
        <f t="shared" si="19"/>
        <v>0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/>
      <c r="O27" s="32">
        <v>1</v>
      </c>
      <c r="P27" s="32"/>
      <c r="Q27" s="24"/>
      <c r="R27" s="25">
        <f t="shared" si="20"/>
        <v>0</v>
      </c>
      <c r="S27" s="25">
        <f t="shared" si="5"/>
        <v>1</v>
      </c>
      <c r="T27" s="25">
        <f t="shared" si="21"/>
        <v>0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/>
      <c r="AA27" s="32">
        <v>1</v>
      </c>
      <c r="AB27" s="32"/>
      <c r="AC27" s="24"/>
      <c r="AD27" s="25">
        <f t="shared" si="22"/>
        <v>0</v>
      </c>
      <c r="AE27" s="25">
        <f t="shared" si="9"/>
        <v>1</v>
      </c>
      <c r="AF27" s="25">
        <f t="shared" si="23"/>
        <v>0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>
        <v>1</v>
      </c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>
        <v>1</v>
      </c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>
        <v>1</v>
      </c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/>
      <c r="C29" s="32">
        <v>1</v>
      </c>
      <c r="D29" s="32"/>
      <c r="E29" s="24"/>
      <c r="F29" s="25">
        <f t="shared" si="18"/>
        <v>0</v>
      </c>
      <c r="G29" s="25">
        <f t="shared" si="1"/>
        <v>1</v>
      </c>
      <c r="H29" s="25">
        <f t="shared" si="19"/>
        <v>0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>
        <v>1</v>
      </c>
      <c r="P29" s="32"/>
      <c r="Q29" s="24"/>
      <c r="R29" s="25">
        <f t="shared" si="20"/>
        <v>0</v>
      </c>
      <c r="S29" s="25">
        <f t="shared" si="5"/>
        <v>1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/>
      <c r="AA29" s="32">
        <v>1</v>
      </c>
      <c r="AB29" s="32"/>
      <c r="AC29" s="24"/>
      <c r="AD29" s="25">
        <f t="shared" si="22"/>
        <v>0</v>
      </c>
      <c r="AE29" s="25">
        <f t="shared" si="9"/>
        <v>1</v>
      </c>
      <c r="AF29" s="25">
        <f t="shared" si="23"/>
        <v>0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>
        <v>1</v>
      </c>
      <c r="C30" s="32"/>
      <c r="D30" s="32"/>
      <c r="E30" s="24"/>
      <c r="F30" s="25">
        <f t="shared" si="18"/>
        <v>0</v>
      </c>
      <c r="G30" s="25">
        <f t="shared" si="1"/>
        <v>0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/>
      <c r="O30" s="32">
        <v>1</v>
      </c>
      <c r="P30" s="32"/>
      <c r="Q30" s="24"/>
      <c r="R30" s="25">
        <f t="shared" si="20"/>
        <v>0</v>
      </c>
      <c r="S30" s="25">
        <f t="shared" si="5"/>
        <v>1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>
        <v>1</v>
      </c>
      <c r="AA30" s="32"/>
      <c r="AB30" s="32"/>
      <c r="AC30" s="24"/>
      <c r="AD30" s="25">
        <f t="shared" si="22"/>
        <v>0</v>
      </c>
      <c r="AE30" s="25">
        <f t="shared" si="9"/>
        <v>0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>
        <v>1</v>
      </c>
      <c r="D31" s="32"/>
      <c r="E31" s="24"/>
      <c r="F31" s="25">
        <f t="shared" si="18"/>
        <v>0</v>
      </c>
      <c r="G31" s="25">
        <f t="shared" si="1"/>
        <v>1</v>
      </c>
      <c r="H31" s="25">
        <f t="shared" si="19"/>
        <v>0</v>
      </c>
      <c r="I31" s="25">
        <f t="shared" si="3"/>
        <v>0</v>
      </c>
      <c r="J31" s="24"/>
      <c r="K31" s="108">
        <f>K7+K12+K17+K22</f>
        <v>4</v>
      </c>
      <c r="M31" s="25">
        <v>25</v>
      </c>
      <c r="N31" s="32"/>
      <c r="O31" s="32">
        <v>1</v>
      </c>
      <c r="P31" s="32"/>
      <c r="Q31" s="24"/>
      <c r="R31" s="25">
        <f t="shared" si="20"/>
        <v>0</v>
      </c>
      <c r="S31" s="25">
        <f t="shared" si="5"/>
        <v>1</v>
      </c>
      <c r="T31" s="25">
        <f t="shared" si="21"/>
        <v>0</v>
      </c>
      <c r="U31" s="25">
        <f t="shared" si="7"/>
        <v>0</v>
      </c>
      <c r="V31" s="24"/>
      <c r="W31" s="108">
        <f>W7+W12+W17+W22</f>
        <v>4</v>
      </c>
      <c r="Y31" s="25">
        <v>25</v>
      </c>
      <c r="Z31" s="32"/>
      <c r="AA31" s="32">
        <v>1</v>
      </c>
      <c r="AB31" s="32"/>
      <c r="AC31" s="24"/>
      <c r="AD31" s="25">
        <f t="shared" si="22"/>
        <v>0</v>
      </c>
      <c r="AE31" s="25">
        <f t="shared" si="9"/>
        <v>1</v>
      </c>
      <c r="AF31" s="25">
        <f t="shared" si="23"/>
        <v>0</v>
      </c>
      <c r="AG31" s="25">
        <f t="shared" si="11"/>
        <v>0</v>
      </c>
      <c r="AH31" s="24"/>
      <c r="AI31" s="108">
        <f>AI7+AI12+AI17+AI22</f>
        <v>4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7"/>
  </sheetPr>
  <dimension ref="A1:AI41"/>
  <sheetViews>
    <sheetView topLeftCell="W1" zoomScale="150" workbookViewId="0">
      <selection activeCell="AB31" sqref="AB31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 t="str">
        <f>รายชื่อ!B16</f>
        <v>เด็กหญิง</v>
      </c>
      <c r="C3" s="110" t="str">
        <f>รายชื่อ!C16</f>
        <v>นันท์นภัส</v>
      </c>
      <c r="D3" s="110" t="str">
        <f>รายชื่อ!D16</f>
        <v>พัฒน์เชาวฤทธิ์</v>
      </c>
      <c r="E3" s="60"/>
      <c r="F3" s="103"/>
      <c r="G3" s="165"/>
      <c r="H3" s="165"/>
      <c r="I3" s="165"/>
      <c r="J3" s="25"/>
      <c r="K3" s="106" t="s">
        <v>40</v>
      </c>
      <c r="M3" s="25" t="s">
        <v>85</v>
      </c>
      <c r="N3" s="110" t="str">
        <f>รายชื่อ!B16</f>
        <v>เด็กหญิง</v>
      </c>
      <c r="O3" s="110" t="str">
        <f>รายชื่อ!C16</f>
        <v>นันท์นภัส</v>
      </c>
      <c r="P3" s="110" t="str">
        <f>รายชื่อ!D16</f>
        <v>พัฒน์เชาวฤทธิ์</v>
      </c>
      <c r="Q3" s="60"/>
      <c r="R3" s="103"/>
      <c r="S3" s="165"/>
      <c r="T3" s="165"/>
      <c r="U3" s="165"/>
      <c r="V3" s="25"/>
      <c r="W3" s="106" t="s">
        <v>40</v>
      </c>
      <c r="Y3" s="25" t="s">
        <v>85</v>
      </c>
      <c r="Z3" s="110" t="str">
        <f>รายชื่อ!B16</f>
        <v>เด็กหญิง</v>
      </c>
      <c r="AA3" s="110" t="str">
        <f>รายชื่อ!C16</f>
        <v>นันท์นภัส</v>
      </c>
      <c r="AB3" s="110" t="str">
        <f>รายชื่อ!D16</f>
        <v>พัฒน์เชาวฤทธิ์</v>
      </c>
      <c r="AC3" s="60"/>
      <c r="AD3" s="103"/>
      <c r="AE3" s="165"/>
      <c r="AF3" s="165"/>
      <c r="AG3" s="165"/>
      <c r="AH3" s="25"/>
      <c r="AI3" s="106" t="s">
        <v>40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/>
      <c r="C7" s="32">
        <v>1</v>
      </c>
      <c r="D7" s="32"/>
      <c r="E7" s="24"/>
      <c r="F7" s="25">
        <f t="shared" ref="F7:F12" si="0">B7*0</f>
        <v>0</v>
      </c>
      <c r="G7" s="25">
        <f t="shared" ref="G7:G31" si="1">C7*1</f>
        <v>1</v>
      </c>
      <c r="H7" s="25">
        <f t="shared" ref="H7:H12" si="2">D7*2</f>
        <v>0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/>
      <c r="O7" s="32">
        <v>1</v>
      </c>
      <c r="P7" s="32"/>
      <c r="Q7" s="24"/>
      <c r="R7" s="25">
        <f t="shared" ref="R7:R12" si="4">N7*0</f>
        <v>0</v>
      </c>
      <c r="S7" s="25">
        <f t="shared" ref="S7:S31" si="5">O7*1</f>
        <v>1</v>
      </c>
      <c r="T7" s="25">
        <f t="shared" ref="T7:T12" si="6">P7*2</f>
        <v>0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/>
      <c r="AB7" s="32">
        <v>1</v>
      </c>
      <c r="AC7" s="24"/>
      <c r="AD7" s="25">
        <f t="shared" ref="AD7:AD12" si="8">Z7*0</f>
        <v>0</v>
      </c>
      <c r="AE7" s="25">
        <f t="shared" ref="AE7:AE31" si="9">AA7*1</f>
        <v>0</v>
      </c>
      <c r="AF7" s="25">
        <f t="shared" ref="AF7:AF12" si="10">AB7*2</f>
        <v>2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>
        <v>1</v>
      </c>
      <c r="C8" s="32"/>
      <c r="D8" s="32"/>
      <c r="E8" s="24"/>
      <c r="F8" s="25">
        <f t="shared" si="0"/>
        <v>0</v>
      </c>
      <c r="G8" s="25">
        <f t="shared" si="1"/>
        <v>0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/>
      <c r="O8" s="32">
        <v>1</v>
      </c>
      <c r="P8" s="32"/>
      <c r="Q8" s="24"/>
      <c r="R8" s="25">
        <f t="shared" si="4"/>
        <v>0</v>
      </c>
      <c r="S8" s="25">
        <f t="shared" si="5"/>
        <v>1</v>
      </c>
      <c r="T8" s="25">
        <f t="shared" si="6"/>
        <v>0</v>
      </c>
      <c r="U8" s="25">
        <f t="shared" si="7"/>
        <v>0</v>
      </c>
      <c r="V8" s="24"/>
      <c r="W8" s="25"/>
      <c r="Y8" s="25">
        <v>2</v>
      </c>
      <c r="Z8" s="32"/>
      <c r="AA8" s="32">
        <v>1</v>
      </c>
      <c r="AB8" s="32"/>
      <c r="AC8" s="24"/>
      <c r="AD8" s="25">
        <f t="shared" si="8"/>
        <v>0</v>
      </c>
      <c r="AE8" s="25">
        <f t="shared" si="9"/>
        <v>1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/>
      <c r="C9" s="32">
        <v>1</v>
      </c>
      <c r="D9" s="32"/>
      <c r="E9" s="24"/>
      <c r="F9" s="25">
        <f t="shared" si="0"/>
        <v>0</v>
      </c>
      <c r="G9" s="25">
        <f t="shared" si="1"/>
        <v>1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/>
      <c r="O9" s="32">
        <v>1</v>
      </c>
      <c r="P9" s="32"/>
      <c r="Q9" s="24"/>
      <c r="R9" s="25">
        <f t="shared" si="4"/>
        <v>0</v>
      </c>
      <c r="S9" s="25">
        <f t="shared" si="5"/>
        <v>1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>
        <v>1</v>
      </c>
      <c r="AA9" s="32"/>
      <c r="AB9" s="32"/>
      <c r="AC9" s="24"/>
      <c r="AD9" s="25">
        <f t="shared" si="8"/>
        <v>0</v>
      </c>
      <c r="AE9" s="25">
        <f t="shared" si="9"/>
        <v>0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>
        <v>1</v>
      </c>
      <c r="D10" s="32"/>
      <c r="E10" s="24"/>
      <c r="F10" s="25">
        <f t="shared" si="0"/>
        <v>0</v>
      </c>
      <c r="G10" s="25">
        <f t="shared" si="1"/>
        <v>1</v>
      </c>
      <c r="H10" s="25">
        <f t="shared" si="2"/>
        <v>0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>
        <v>1</v>
      </c>
      <c r="P10" s="32"/>
      <c r="Q10" s="24"/>
      <c r="R10" s="25">
        <f t="shared" si="4"/>
        <v>0</v>
      </c>
      <c r="S10" s="25">
        <f t="shared" si="5"/>
        <v>1</v>
      </c>
      <c r="T10" s="25">
        <f t="shared" si="6"/>
        <v>0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/>
      <c r="AB10" s="32">
        <v>1</v>
      </c>
      <c r="AC10" s="24"/>
      <c r="AD10" s="25">
        <f t="shared" si="8"/>
        <v>0</v>
      </c>
      <c r="AE10" s="25">
        <f t="shared" si="9"/>
        <v>0</v>
      </c>
      <c r="AF10" s="25">
        <f t="shared" si="10"/>
        <v>2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>
        <v>1</v>
      </c>
      <c r="C11" s="32"/>
      <c r="D11" s="32"/>
      <c r="E11" s="24"/>
      <c r="F11" s="25">
        <f t="shared" si="0"/>
        <v>0</v>
      </c>
      <c r="G11" s="25">
        <f t="shared" si="1"/>
        <v>0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>
        <v>1</v>
      </c>
      <c r="O11" s="32"/>
      <c r="P11" s="32"/>
      <c r="Q11" s="24"/>
      <c r="R11" s="25">
        <f t="shared" si="4"/>
        <v>0</v>
      </c>
      <c r="S11" s="25">
        <f t="shared" si="5"/>
        <v>0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>
        <v>1</v>
      </c>
      <c r="AA11" s="32"/>
      <c r="AB11" s="32"/>
      <c r="AC11" s="24"/>
      <c r="AD11" s="25">
        <f t="shared" si="8"/>
        <v>0</v>
      </c>
      <c r="AE11" s="25">
        <f t="shared" si="9"/>
        <v>0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>
        <v>1</v>
      </c>
      <c r="C12" s="32"/>
      <c r="D12" s="32"/>
      <c r="E12" s="24"/>
      <c r="F12" s="25">
        <f t="shared" si="0"/>
        <v>0</v>
      </c>
      <c r="G12" s="25">
        <f t="shared" si="1"/>
        <v>0</v>
      </c>
      <c r="H12" s="25">
        <f t="shared" si="2"/>
        <v>0</v>
      </c>
      <c r="I12" s="25">
        <f t="shared" si="3"/>
        <v>0</v>
      </c>
      <c r="J12" s="105">
        <f>I11+I13+I18+I24+I28</f>
        <v>2</v>
      </c>
      <c r="K12" s="108">
        <f>J12</f>
        <v>2</v>
      </c>
      <c r="M12" s="25">
        <v>6</v>
      </c>
      <c r="N12" s="32">
        <v>1</v>
      </c>
      <c r="O12" s="32"/>
      <c r="P12" s="32"/>
      <c r="Q12" s="24"/>
      <c r="R12" s="25">
        <f t="shared" si="4"/>
        <v>0</v>
      </c>
      <c r="S12" s="25">
        <f t="shared" si="5"/>
        <v>0</v>
      </c>
      <c r="T12" s="25">
        <f t="shared" si="6"/>
        <v>0</v>
      </c>
      <c r="U12" s="25">
        <f t="shared" si="7"/>
        <v>0</v>
      </c>
      <c r="V12" s="105">
        <f>U11+U13+U18+U24+U28</f>
        <v>2</v>
      </c>
      <c r="W12" s="108">
        <f>V12</f>
        <v>2</v>
      </c>
      <c r="Y12" s="25">
        <v>6</v>
      </c>
      <c r="Z12" s="32"/>
      <c r="AA12" s="32">
        <v>1</v>
      </c>
      <c r="AB12" s="32"/>
      <c r="AC12" s="24"/>
      <c r="AD12" s="25">
        <f t="shared" si="8"/>
        <v>0</v>
      </c>
      <c r="AE12" s="25">
        <f t="shared" si="9"/>
        <v>1</v>
      </c>
      <c r="AF12" s="25">
        <f t="shared" si="10"/>
        <v>0</v>
      </c>
      <c r="AG12" s="25">
        <f t="shared" si="11"/>
        <v>0</v>
      </c>
      <c r="AH12" s="105">
        <f>AG11+AG13+AG18+AG24+AG28</f>
        <v>2</v>
      </c>
      <c r="AI12" s="108">
        <f>AH12</f>
        <v>2</v>
      </c>
    </row>
    <row r="13" spans="1:35" ht="21" customHeight="1">
      <c r="A13" s="25">
        <v>7</v>
      </c>
      <c r="B13" s="32"/>
      <c r="C13" s="32">
        <v>1</v>
      </c>
      <c r="D13" s="32"/>
      <c r="E13" s="24"/>
      <c r="F13" s="25">
        <f>B13*2</f>
        <v>0</v>
      </c>
      <c r="G13" s="25">
        <f t="shared" si="1"/>
        <v>1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>
        <v>1</v>
      </c>
      <c r="P13" s="32"/>
      <c r="Q13" s="24"/>
      <c r="R13" s="25">
        <f>N13*2</f>
        <v>0</v>
      </c>
      <c r="S13" s="25">
        <f t="shared" si="5"/>
        <v>1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/>
      <c r="AA13" s="32">
        <v>1</v>
      </c>
      <c r="AB13" s="32"/>
      <c r="AC13" s="24"/>
      <c r="AD13" s="25">
        <f>Z13*2</f>
        <v>0</v>
      </c>
      <c r="AE13" s="25">
        <f t="shared" si="9"/>
        <v>1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/>
      <c r="C14" s="32">
        <v>1</v>
      </c>
      <c r="D14" s="32"/>
      <c r="E14" s="24"/>
      <c r="F14" s="25">
        <f t="shared" ref="F14:F19" si="12">B14*0</f>
        <v>0</v>
      </c>
      <c r="G14" s="25">
        <f t="shared" si="1"/>
        <v>1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/>
      <c r="O14" s="32">
        <v>1</v>
      </c>
      <c r="P14" s="32"/>
      <c r="Q14" s="24"/>
      <c r="R14" s="25">
        <f t="shared" ref="R14:R19" si="14">N14*0</f>
        <v>0</v>
      </c>
      <c r="S14" s="25">
        <f t="shared" si="5"/>
        <v>1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/>
      <c r="AA14" s="32">
        <v>1</v>
      </c>
      <c r="AB14" s="32"/>
      <c r="AC14" s="24"/>
      <c r="AD14" s="25">
        <f t="shared" ref="AD14:AD19" si="16">Z14*0</f>
        <v>0</v>
      </c>
      <c r="AE14" s="25">
        <f t="shared" si="9"/>
        <v>1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/>
      <c r="D15" s="32">
        <v>1</v>
      </c>
      <c r="E15" s="24"/>
      <c r="F15" s="25">
        <f t="shared" si="12"/>
        <v>0</v>
      </c>
      <c r="G15" s="25">
        <f t="shared" si="1"/>
        <v>0</v>
      </c>
      <c r="H15" s="25">
        <f t="shared" si="13"/>
        <v>2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>
        <v>1</v>
      </c>
      <c r="P15" s="32"/>
      <c r="Q15" s="24"/>
      <c r="R15" s="25">
        <f t="shared" si="14"/>
        <v>0</v>
      </c>
      <c r="S15" s="25">
        <f t="shared" si="5"/>
        <v>1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/>
      <c r="AA15" s="32"/>
      <c r="AB15" s="32">
        <v>1</v>
      </c>
      <c r="AC15" s="24"/>
      <c r="AD15" s="25">
        <f t="shared" si="16"/>
        <v>0</v>
      </c>
      <c r="AE15" s="25">
        <f t="shared" si="9"/>
        <v>0</v>
      </c>
      <c r="AF15" s="25">
        <f t="shared" si="17"/>
        <v>2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/>
      <c r="C16" s="32">
        <v>1</v>
      </c>
      <c r="D16" s="32"/>
      <c r="E16" s="24"/>
      <c r="F16" s="25">
        <f t="shared" si="12"/>
        <v>0</v>
      </c>
      <c r="G16" s="25">
        <f t="shared" si="1"/>
        <v>1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>
        <v>1</v>
      </c>
      <c r="O16" s="32"/>
      <c r="P16" s="32"/>
      <c r="Q16" s="24"/>
      <c r="R16" s="25">
        <f t="shared" si="14"/>
        <v>0</v>
      </c>
      <c r="S16" s="25">
        <f t="shared" si="5"/>
        <v>0</v>
      </c>
      <c r="T16" s="25">
        <f t="shared" si="15"/>
        <v>0</v>
      </c>
      <c r="U16" s="25">
        <f t="shared" si="7"/>
        <v>0</v>
      </c>
      <c r="V16" s="24"/>
      <c r="W16" s="107" t="s">
        <v>99</v>
      </c>
      <c r="Y16" s="25">
        <v>10</v>
      </c>
      <c r="Z16" s="32"/>
      <c r="AA16" s="32">
        <v>1</v>
      </c>
      <c r="AB16" s="32"/>
      <c r="AC16" s="24"/>
      <c r="AD16" s="25">
        <f t="shared" si="16"/>
        <v>0</v>
      </c>
      <c r="AE16" s="25">
        <f t="shared" si="9"/>
        <v>1</v>
      </c>
      <c r="AF16" s="25">
        <f t="shared" si="17"/>
        <v>0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>
        <v>1</v>
      </c>
      <c r="D17" s="32"/>
      <c r="E17" s="24"/>
      <c r="F17" s="25">
        <f t="shared" si="12"/>
        <v>0</v>
      </c>
      <c r="G17" s="25">
        <f t="shared" si="1"/>
        <v>1</v>
      </c>
      <c r="H17" s="25">
        <f t="shared" si="13"/>
        <v>0</v>
      </c>
      <c r="I17" s="25">
        <f t="shared" si="3"/>
        <v>0</v>
      </c>
      <c r="J17" s="105">
        <f>I8+I16+I21+I27+I31</f>
        <v>2</v>
      </c>
      <c r="K17" s="108">
        <f>J17</f>
        <v>2</v>
      </c>
      <c r="M17" s="25">
        <v>11</v>
      </c>
      <c r="N17" s="32"/>
      <c r="O17" s="32"/>
      <c r="P17" s="32">
        <v>1</v>
      </c>
      <c r="Q17" s="24"/>
      <c r="R17" s="25">
        <f t="shared" si="14"/>
        <v>0</v>
      </c>
      <c r="S17" s="25">
        <f t="shared" si="5"/>
        <v>0</v>
      </c>
      <c r="T17" s="25">
        <f t="shared" si="15"/>
        <v>2</v>
      </c>
      <c r="U17" s="25">
        <f t="shared" si="7"/>
        <v>0</v>
      </c>
      <c r="V17" s="105">
        <f>U8+U16+U21+U27+U31</f>
        <v>2</v>
      </c>
      <c r="W17" s="108">
        <f>V17</f>
        <v>2</v>
      </c>
      <c r="Y17" s="25">
        <v>11</v>
      </c>
      <c r="Z17" s="32"/>
      <c r="AA17" s="32">
        <v>1</v>
      </c>
      <c r="AB17" s="32"/>
      <c r="AC17" s="24"/>
      <c r="AD17" s="25">
        <f t="shared" si="16"/>
        <v>0</v>
      </c>
      <c r="AE17" s="25">
        <f t="shared" si="9"/>
        <v>1</v>
      </c>
      <c r="AF17" s="25">
        <f t="shared" si="17"/>
        <v>0</v>
      </c>
      <c r="AG17" s="25">
        <f t="shared" si="11"/>
        <v>0</v>
      </c>
      <c r="AH17" s="105">
        <f>AG8+AG16+AG21+AG27+AG31</f>
        <v>0</v>
      </c>
      <c r="AI17" s="108">
        <f>AH17</f>
        <v>0</v>
      </c>
    </row>
    <row r="18" spans="1:35" ht="21" customHeight="1">
      <c r="A18" s="25">
        <v>12</v>
      </c>
      <c r="B18" s="32">
        <v>1</v>
      </c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>
        <v>1</v>
      </c>
      <c r="O18" s="32"/>
      <c r="P18" s="32"/>
      <c r="Q18" s="24"/>
      <c r="R18" s="25">
        <f t="shared" si="14"/>
        <v>0</v>
      </c>
      <c r="S18" s="25">
        <f t="shared" si="5"/>
        <v>0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>
        <v>1</v>
      </c>
      <c r="AA18" s="32"/>
      <c r="AB18" s="32"/>
      <c r="AC18" s="24"/>
      <c r="AD18" s="25">
        <f t="shared" si="16"/>
        <v>0</v>
      </c>
      <c r="AE18" s="25">
        <f t="shared" si="9"/>
        <v>0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>
        <v>1</v>
      </c>
      <c r="C19" s="32"/>
      <c r="D19" s="32"/>
      <c r="E19" s="24"/>
      <c r="F19" s="25">
        <f t="shared" si="12"/>
        <v>0</v>
      </c>
      <c r="G19" s="25">
        <f t="shared" si="1"/>
        <v>0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>
        <v>1</v>
      </c>
      <c r="O19" s="32"/>
      <c r="P19" s="32"/>
      <c r="Q19" s="24"/>
      <c r="R19" s="25">
        <f t="shared" si="14"/>
        <v>0</v>
      </c>
      <c r="S19" s="25">
        <f t="shared" si="5"/>
        <v>0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>
        <v>1</v>
      </c>
      <c r="AA19" s="32"/>
      <c r="AB19" s="32"/>
      <c r="AC19" s="24"/>
      <c r="AD19" s="25">
        <f t="shared" si="16"/>
        <v>0</v>
      </c>
      <c r="AE19" s="25">
        <f t="shared" si="9"/>
        <v>0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/>
      <c r="C20" s="32"/>
      <c r="D20" s="32">
        <v>1</v>
      </c>
      <c r="E20" s="24"/>
      <c r="F20" s="25">
        <f>B20*2</f>
        <v>0</v>
      </c>
      <c r="G20" s="25">
        <f t="shared" si="1"/>
        <v>0</v>
      </c>
      <c r="H20" s="25">
        <f>D20*0</f>
        <v>0</v>
      </c>
      <c r="I20" s="25">
        <f t="shared" si="3"/>
        <v>0</v>
      </c>
      <c r="J20" s="24"/>
      <c r="K20" s="107" t="s">
        <v>100</v>
      </c>
      <c r="M20" s="25">
        <v>14</v>
      </c>
      <c r="N20" s="32"/>
      <c r="O20" s="32">
        <v>1</v>
      </c>
      <c r="P20" s="32"/>
      <c r="Q20" s="24"/>
      <c r="R20" s="25">
        <f>N20*2</f>
        <v>0</v>
      </c>
      <c r="S20" s="25">
        <f t="shared" si="5"/>
        <v>1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/>
      <c r="AA20" s="32">
        <v>1</v>
      </c>
      <c r="AB20" s="32"/>
      <c r="AC20" s="24"/>
      <c r="AD20" s="25">
        <f>Z20*2</f>
        <v>0</v>
      </c>
      <c r="AE20" s="25">
        <f t="shared" si="9"/>
        <v>1</v>
      </c>
      <c r="AF20" s="25">
        <f>AB20*0</f>
        <v>0</v>
      </c>
      <c r="AG20" s="25">
        <f t="shared" si="11"/>
        <v>0</v>
      </c>
      <c r="AH20" s="24"/>
      <c r="AI20" s="107" t="s">
        <v>100</v>
      </c>
    </row>
    <row r="21" spans="1:35" ht="21" customHeight="1">
      <c r="A21" s="25">
        <v>15</v>
      </c>
      <c r="B21" s="32">
        <v>1</v>
      </c>
      <c r="C21" s="32"/>
      <c r="D21" s="32"/>
      <c r="E21" s="24"/>
      <c r="F21" s="25">
        <f>B21*2</f>
        <v>2</v>
      </c>
      <c r="G21" s="25">
        <f t="shared" si="1"/>
        <v>0</v>
      </c>
      <c r="H21" s="25">
        <f>D21*0</f>
        <v>0</v>
      </c>
      <c r="I21" s="25">
        <f t="shared" si="3"/>
        <v>2</v>
      </c>
      <c r="J21" s="24"/>
      <c r="K21" s="107" t="s">
        <v>101</v>
      </c>
      <c r="M21" s="25">
        <v>15</v>
      </c>
      <c r="N21" s="32">
        <v>1</v>
      </c>
      <c r="O21" s="32"/>
      <c r="P21" s="32"/>
      <c r="Q21" s="24"/>
      <c r="R21" s="25">
        <f>N21*2</f>
        <v>2</v>
      </c>
      <c r="S21" s="25">
        <f t="shared" si="5"/>
        <v>0</v>
      </c>
      <c r="T21" s="25">
        <f>P21*0</f>
        <v>0</v>
      </c>
      <c r="U21" s="25">
        <f t="shared" si="7"/>
        <v>2</v>
      </c>
      <c r="V21" s="24"/>
      <c r="W21" s="107" t="s">
        <v>101</v>
      </c>
      <c r="Y21" s="25">
        <v>15</v>
      </c>
      <c r="Z21" s="32"/>
      <c r="AA21" s="32">
        <v>1</v>
      </c>
      <c r="AB21" s="32"/>
      <c r="AC21" s="24"/>
      <c r="AD21" s="25">
        <f>Z21*2</f>
        <v>0</v>
      </c>
      <c r="AE21" s="25">
        <f t="shared" si="9"/>
        <v>1</v>
      </c>
      <c r="AF21" s="25">
        <f>AB21*0</f>
        <v>0</v>
      </c>
      <c r="AG21" s="25">
        <f t="shared" si="11"/>
        <v>0</v>
      </c>
      <c r="AH21" s="24"/>
      <c r="AI21" s="107" t="s">
        <v>101</v>
      </c>
    </row>
    <row r="22" spans="1:35" ht="21" customHeight="1">
      <c r="A22" s="25">
        <v>16</v>
      </c>
      <c r="B22" s="32"/>
      <c r="C22" s="32">
        <v>1</v>
      </c>
      <c r="D22" s="32"/>
      <c r="E22" s="24"/>
      <c r="F22" s="25">
        <f>B22*0</f>
        <v>0</v>
      </c>
      <c r="G22" s="25">
        <f t="shared" si="1"/>
        <v>1</v>
      </c>
      <c r="H22" s="25">
        <f>D22*2</f>
        <v>0</v>
      </c>
      <c r="I22" s="25">
        <f t="shared" si="3"/>
        <v>0</v>
      </c>
      <c r="J22" s="105">
        <f>I12+I17+I20+I25+I29</f>
        <v>0</v>
      </c>
      <c r="K22" s="108">
        <f>J22</f>
        <v>0</v>
      </c>
      <c r="M22" s="25">
        <v>16</v>
      </c>
      <c r="N22" s="32"/>
      <c r="O22" s="32">
        <v>1</v>
      </c>
      <c r="P22" s="32"/>
      <c r="Q22" s="24"/>
      <c r="R22" s="25">
        <f>N22*0</f>
        <v>0</v>
      </c>
      <c r="S22" s="25">
        <f t="shared" si="5"/>
        <v>1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/>
      <c r="AA22" s="32">
        <v>1</v>
      </c>
      <c r="AB22" s="32"/>
      <c r="AC22" s="24"/>
      <c r="AD22" s="25">
        <f>Z22*0</f>
        <v>0</v>
      </c>
      <c r="AE22" s="25">
        <f t="shared" si="9"/>
        <v>1</v>
      </c>
      <c r="AF22" s="25">
        <f>AB22*2</f>
        <v>0</v>
      </c>
      <c r="AG22" s="25">
        <f t="shared" si="11"/>
        <v>0</v>
      </c>
      <c r="AH22" s="105">
        <f>AG12+AG17+AG20+AG25+AG29</f>
        <v>0</v>
      </c>
      <c r="AI22" s="108">
        <f>AH22</f>
        <v>0</v>
      </c>
    </row>
    <row r="23" spans="1:35" ht="21" customHeight="1">
      <c r="A23" s="25">
        <v>17</v>
      </c>
      <c r="B23" s="32"/>
      <c r="C23" s="32"/>
      <c r="D23" s="32">
        <v>1</v>
      </c>
      <c r="E23" s="24"/>
      <c r="F23" s="25">
        <f>B23*2</f>
        <v>0</v>
      </c>
      <c r="G23" s="25">
        <f t="shared" si="1"/>
        <v>0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/>
      <c r="O23" s="32">
        <v>1</v>
      </c>
      <c r="P23" s="32"/>
      <c r="Q23" s="24"/>
      <c r="R23" s="25">
        <f>N23*2</f>
        <v>0</v>
      </c>
      <c r="S23" s="25">
        <f t="shared" si="5"/>
        <v>1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/>
      <c r="AA23" s="32">
        <v>1</v>
      </c>
      <c r="AB23" s="32"/>
      <c r="AC23" s="24"/>
      <c r="AD23" s="25">
        <f>Z23*2</f>
        <v>0</v>
      </c>
      <c r="AE23" s="25">
        <f t="shared" si="9"/>
        <v>1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>
        <v>1</v>
      </c>
      <c r="C24" s="32"/>
      <c r="D24" s="32"/>
      <c r="E24" s="24"/>
      <c r="F24" s="25">
        <f>B24*2</f>
        <v>2</v>
      </c>
      <c r="G24" s="25">
        <f t="shared" si="1"/>
        <v>0</v>
      </c>
      <c r="H24" s="25">
        <f>D24*0</f>
        <v>0</v>
      </c>
      <c r="I24" s="25">
        <f t="shared" si="3"/>
        <v>2</v>
      </c>
      <c r="J24" s="24"/>
      <c r="K24" s="25"/>
      <c r="M24" s="25">
        <v>18</v>
      </c>
      <c r="N24" s="32">
        <v>1</v>
      </c>
      <c r="O24" s="32"/>
      <c r="P24" s="32"/>
      <c r="Q24" s="24"/>
      <c r="R24" s="25">
        <f>N24*2</f>
        <v>2</v>
      </c>
      <c r="S24" s="25">
        <f t="shared" si="5"/>
        <v>0</v>
      </c>
      <c r="T24" s="25">
        <f>P24*0</f>
        <v>0</v>
      </c>
      <c r="U24" s="25">
        <f t="shared" si="7"/>
        <v>2</v>
      </c>
      <c r="V24" s="24"/>
      <c r="W24" s="25"/>
      <c r="Y24" s="25">
        <v>18</v>
      </c>
      <c r="Z24" s="32">
        <v>1</v>
      </c>
      <c r="AA24" s="32"/>
      <c r="AB24" s="32"/>
      <c r="AC24" s="24"/>
      <c r="AD24" s="25">
        <f>Z24*2</f>
        <v>2</v>
      </c>
      <c r="AE24" s="25">
        <f t="shared" si="9"/>
        <v>0</v>
      </c>
      <c r="AF24" s="25">
        <f>AB24*0</f>
        <v>0</v>
      </c>
      <c r="AG24" s="25">
        <f t="shared" si="11"/>
        <v>2</v>
      </c>
      <c r="AH24" s="24"/>
      <c r="AI24" s="25"/>
    </row>
    <row r="25" spans="1:35" ht="21" customHeight="1">
      <c r="A25" s="25">
        <v>19</v>
      </c>
      <c r="B25" s="32">
        <v>1</v>
      </c>
      <c r="C25" s="32"/>
      <c r="D25" s="32"/>
      <c r="E25" s="24"/>
      <c r="F25" s="25">
        <f t="shared" ref="F25:F31" si="18">B25*0</f>
        <v>0</v>
      </c>
      <c r="G25" s="25">
        <f t="shared" si="1"/>
        <v>0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>
        <v>1</v>
      </c>
      <c r="O25" s="32"/>
      <c r="P25" s="32"/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>
        <v>1</v>
      </c>
      <c r="AA25" s="32"/>
      <c r="AB25" s="32"/>
      <c r="AC25" s="24"/>
      <c r="AD25" s="25">
        <f t="shared" ref="AD25:AD31" si="22">Z25*0</f>
        <v>0</v>
      </c>
      <c r="AE25" s="25">
        <f t="shared" si="9"/>
        <v>0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>
        <v>1</v>
      </c>
      <c r="D26" s="32"/>
      <c r="E26" s="24"/>
      <c r="F26" s="25">
        <f t="shared" si="18"/>
        <v>0</v>
      </c>
      <c r="G26" s="25">
        <f t="shared" si="1"/>
        <v>1</v>
      </c>
      <c r="H26" s="25">
        <f t="shared" si="19"/>
        <v>0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>
        <v>1</v>
      </c>
      <c r="P26" s="32"/>
      <c r="Q26" s="24"/>
      <c r="R26" s="25">
        <f t="shared" si="20"/>
        <v>0</v>
      </c>
      <c r="S26" s="25">
        <f t="shared" si="5"/>
        <v>1</v>
      </c>
      <c r="T26" s="25">
        <f t="shared" si="21"/>
        <v>0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/>
      <c r="AB26" s="32">
        <v>1</v>
      </c>
      <c r="AC26" s="24"/>
      <c r="AD26" s="25">
        <f t="shared" si="22"/>
        <v>0</v>
      </c>
      <c r="AE26" s="25">
        <f t="shared" si="9"/>
        <v>0</v>
      </c>
      <c r="AF26" s="25">
        <f t="shared" si="23"/>
        <v>2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>
        <v>1</v>
      </c>
      <c r="D27" s="32"/>
      <c r="E27" s="24"/>
      <c r="F27" s="25">
        <f t="shared" si="18"/>
        <v>0</v>
      </c>
      <c r="G27" s="25">
        <f t="shared" si="1"/>
        <v>1</v>
      </c>
      <c r="H27" s="25">
        <f t="shared" si="19"/>
        <v>0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/>
      <c r="O27" s="32">
        <v>1</v>
      </c>
      <c r="P27" s="32"/>
      <c r="Q27" s="24"/>
      <c r="R27" s="25">
        <f t="shared" si="20"/>
        <v>0</v>
      </c>
      <c r="S27" s="25">
        <f t="shared" si="5"/>
        <v>1</v>
      </c>
      <c r="T27" s="25">
        <f t="shared" si="21"/>
        <v>0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/>
      <c r="AA27" s="32"/>
      <c r="AB27" s="32">
        <v>1</v>
      </c>
      <c r="AC27" s="24"/>
      <c r="AD27" s="25">
        <f t="shared" si="22"/>
        <v>0</v>
      </c>
      <c r="AE27" s="25">
        <f t="shared" si="9"/>
        <v>0</v>
      </c>
      <c r="AF27" s="25">
        <f t="shared" si="23"/>
        <v>2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>
        <v>1</v>
      </c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>
        <v>1</v>
      </c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>
        <v>1</v>
      </c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>
        <v>1</v>
      </c>
      <c r="C29" s="32"/>
      <c r="D29" s="32"/>
      <c r="E29" s="24"/>
      <c r="F29" s="25">
        <f t="shared" si="18"/>
        <v>0</v>
      </c>
      <c r="G29" s="25">
        <f t="shared" si="1"/>
        <v>0</v>
      </c>
      <c r="H29" s="25">
        <f t="shared" si="19"/>
        <v>0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>
        <v>1</v>
      </c>
      <c r="P29" s="32"/>
      <c r="Q29" s="24"/>
      <c r="R29" s="25">
        <f t="shared" si="20"/>
        <v>0</v>
      </c>
      <c r="S29" s="25">
        <f t="shared" si="5"/>
        <v>1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/>
      <c r="AA29" s="32">
        <v>1</v>
      </c>
      <c r="AB29" s="32"/>
      <c r="AC29" s="24"/>
      <c r="AD29" s="25">
        <f t="shared" si="22"/>
        <v>0</v>
      </c>
      <c r="AE29" s="25">
        <f t="shared" si="9"/>
        <v>1</v>
      </c>
      <c r="AF29" s="25">
        <f t="shared" si="23"/>
        <v>0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/>
      <c r="C30" s="32">
        <v>1</v>
      </c>
      <c r="D30" s="32"/>
      <c r="E30" s="24"/>
      <c r="F30" s="25">
        <f t="shared" si="18"/>
        <v>0</v>
      </c>
      <c r="G30" s="25">
        <f t="shared" si="1"/>
        <v>1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/>
      <c r="O30" s="32">
        <v>1</v>
      </c>
      <c r="P30" s="32"/>
      <c r="Q30" s="24"/>
      <c r="R30" s="25">
        <f t="shared" si="20"/>
        <v>0</v>
      </c>
      <c r="S30" s="25">
        <f t="shared" si="5"/>
        <v>1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/>
      <c r="AA30" s="32">
        <v>1</v>
      </c>
      <c r="AB30" s="32"/>
      <c r="AC30" s="24"/>
      <c r="AD30" s="25">
        <f t="shared" si="22"/>
        <v>0</v>
      </c>
      <c r="AE30" s="25">
        <f t="shared" si="9"/>
        <v>1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>
        <v>1</v>
      </c>
      <c r="D31" s="32"/>
      <c r="E31" s="24"/>
      <c r="F31" s="25">
        <f t="shared" si="18"/>
        <v>0</v>
      </c>
      <c r="G31" s="25">
        <f t="shared" si="1"/>
        <v>1</v>
      </c>
      <c r="H31" s="25">
        <f t="shared" si="19"/>
        <v>0</v>
      </c>
      <c r="I31" s="25">
        <f t="shared" si="3"/>
        <v>0</v>
      </c>
      <c r="J31" s="24"/>
      <c r="K31" s="108">
        <f>K7+K12+K17+K22</f>
        <v>4</v>
      </c>
      <c r="M31" s="25">
        <v>25</v>
      </c>
      <c r="N31" s="32"/>
      <c r="O31" s="32">
        <v>1</v>
      </c>
      <c r="P31" s="32"/>
      <c r="Q31" s="24"/>
      <c r="R31" s="25">
        <f t="shared" si="20"/>
        <v>0</v>
      </c>
      <c r="S31" s="25">
        <f t="shared" si="5"/>
        <v>1</v>
      </c>
      <c r="T31" s="25">
        <f t="shared" si="21"/>
        <v>0</v>
      </c>
      <c r="U31" s="25">
        <f t="shared" si="7"/>
        <v>0</v>
      </c>
      <c r="V31" s="24"/>
      <c r="W31" s="108">
        <f>W7+W12+W17+W22</f>
        <v>4</v>
      </c>
      <c r="Y31" s="25">
        <v>25</v>
      </c>
      <c r="Z31" s="32"/>
      <c r="AA31" s="32">
        <v>1</v>
      </c>
      <c r="AB31" s="32"/>
      <c r="AC31" s="24"/>
      <c r="AD31" s="25">
        <f t="shared" si="22"/>
        <v>0</v>
      </c>
      <c r="AE31" s="25">
        <f t="shared" si="9"/>
        <v>1</v>
      </c>
      <c r="AF31" s="25">
        <f t="shared" si="23"/>
        <v>0</v>
      </c>
      <c r="AG31" s="25">
        <f t="shared" si="11"/>
        <v>0</v>
      </c>
      <c r="AH31" s="24"/>
      <c r="AI31" s="108">
        <f>AI7+AI12+AI17+AI22</f>
        <v>2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7"/>
  </sheetPr>
  <dimension ref="A1:AI41"/>
  <sheetViews>
    <sheetView topLeftCell="W1" zoomScale="150" workbookViewId="0">
      <selection activeCell="Z31" sqref="Z31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 t="str">
        <f>รายชื่อ!B17</f>
        <v>เด็กหญิง</v>
      </c>
      <c r="C3" s="110" t="str">
        <f>รายชื่อ!C17</f>
        <v>ชัยมากา</v>
      </c>
      <c r="D3" s="110" t="str">
        <f>รายชื่อ!D17</f>
        <v>อีเคชูกวู</v>
      </c>
      <c r="E3" s="60"/>
      <c r="F3" s="103"/>
      <c r="G3" s="165"/>
      <c r="H3" s="165"/>
      <c r="I3" s="165"/>
      <c r="J3" s="25"/>
      <c r="K3" s="106" t="s">
        <v>41</v>
      </c>
      <c r="M3" s="25" t="s">
        <v>85</v>
      </c>
      <c r="N3" s="110" t="str">
        <f>รายชื่อ!B17</f>
        <v>เด็กหญิง</v>
      </c>
      <c r="O3" s="110" t="str">
        <f>รายชื่อ!C17</f>
        <v>ชัยมากา</v>
      </c>
      <c r="P3" s="110" t="str">
        <f>รายชื่อ!D17</f>
        <v>อีเคชูกวู</v>
      </c>
      <c r="Q3" s="60"/>
      <c r="R3" s="103"/>
      <c r="S3" s="165"/>
      <c r="T3" s="165"/>
      <c r="U3" s="165"/>
      <c r="V3" s="25"/>
      <c r="W3" s="106" t="s">
        <v>41</v>
      </c>
      <c r="Y3" s="25" t="s">
        <v>85</v>
      </c>
      <c r="Z3" s="110" t="str">
        <f>รายชื่อ!B17</f>
        <v>เด็กหญิง</v>
      </c>
      <c r="AA3" s="110" t="str">
        <f>รายชื่อ!C17</f>
        <v>ชัยมากา</v>
      </c>
      <c r="AB3" s="110" t="str">
        <f>รายชื่อ!D17</f>
        <v>อีเคชูกวู</v>
      </c>
      <c r="AC3" s="60"/>
      <c r="AD3" s="103"/>
      <c r="AE3" s="165"/>
      <c r="AF3" s="165"/>
      <c r="AG3" s="165"/>
      <c r="AH3" s="25"/>
      <c r="AI3" s="106" t="s">
        <v>41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/>
      <c r="C7" s="32">
        <v>1</v>
      </c>
      <c r="D7" s="32"/>
      <c r="E7" s="24"/>
      <c r="F7" s="25">
        <f t="shared" ref="F7:F12" si="0">B7*0</f>
        <v>0</v>
      </c>
      <c r="G7" s="25">
        <f t="shared" ref="G7:G31" si="1">C7*1</f>
        <v>1</v>
      </c>
      <c r="H7" s="25">
        <f t="shared" ref="H7:H12" si="2">D7*2</f>
        <v>0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>
        <v>1</v>
      </c>
      <c r="O7" s="32"/>
      <c r="P7" s="32"/>
      <c r="Q7" s="24"/>
      <c r="R7" s="25">
        <f t="shared" ref="R7:R12" si="4">N7*0</f>
        <v>0</v>
      </c>
      <c r="S7" s="25">
        <f t="shared" ref="S7:S31" si="5">O7*1</f>
        <v>0</v>
      </c>
      <c r="T7" s="25">
        <f t="shared" ref="T7:T12" si="6">P7*2</f>
        <v>0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>
        <v>1</v>
      </c>
      <c r="AA7" s="32"/>
      <c r="AB7" s="32"/>
      <c r="AC7" s="24"/>
      <c r="AD7" s="25">
        <f t="shared" ref="AD7:AD12" si="8">Z7*0</f>
        <v>0</v>
      </c>
      <c r="AE7" s="25">
        <f t="shared" ref="AE7:AE31" si="9">AA7*1</f>
        <v>0</v>
      </c>
      <c r="AF7" s="25">
        <f t="shared" ref="AF7:AF12" si="10">AB7*2</f>
        <v>0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>
        <v>1</v>
      </c>
      <c r="C8" s="32"/>
      <c r="D8" s="32"/>
      <c r="E8" s="24"/>
      <c r="F8" s="25">
        <f t="shared" si="0"/>
        <v>0</v>
      </c>
      <c r="G8" s="25">
        <f t="shared" si="1"/>
        <v>0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/>
      <c r="O8" s="32"/>
      <c r="P8" s="32">
        <v>1</v>
      </c>
      <c r="Q8" s="24"/>
      <c r="R8" s="25">
        <f t="shared" si="4"/>
        <v>0</v>
      </c>
      <c r="S8" s="25">
        <f t="shared" si="5"/>
        <v>0</v>
      </c>
      <c r="T8" s="25">
        <f t="shared" si="6"/>
        <v>2</v>
      </c>
      <c r="U8" s="25">
        <f t="shared" si="7"/>
        <v>0</v>
      </c>
      <c r="V8" s="24"/>
      <c r="W8" s="25"/>
      <c r="Y8" s="25">
        <v>2</v>
      </c>
      <c r="Z8" s="32">
        <v>1</v>
      </c>
      <c r="AA8" s="32"/>
      <c r="AB8" s="32"/>
      <c r="AC8" s="24"/>
      <c r="AD8" s="25">
        <f t="shared" si="8"/>
        <v>0</v>
      </c>
      <c r="AE8" s="25">
        <f t="shared" si="9"/>
        <v>0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>
        <v>1</v>
      </c>
      <c r="C9" s="32"/>
      <c r="D9" s="32"/>
      <c r="E9" s="24"/>
      <c r="F9" s="25">
        <f t="shared" si="0"/>
        <v>0</v>
      </c>
      <c r="G9" s="25">
        <f t="shared" si="1"/>
        <v>0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>
        <v>1</v>
      </c>
      <c r="O9" s="32"/>
      <c r="P9" s="32"/>
      <c r="Q9" s="24"/>
      <c r="R9" s="25">
        <f t="shared" si="4"/>
        <v>0</v>
      </c>
      <c r="S9" s="25">
        <f t="shared" si="5"/>
        <v>0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/>
      <c r="AA9" s="32">
        <v>1</v>
      </c>
      <c r="AB9" s="32"/>
      <c r="AC9" s="24"/>
      <c r="AD9" s="25">
        <f t="shared" si="8"/>
        <v>0</v>
      </c>
      <c r="AE9" s="25">
        <f t="shared" si="9"/>
        <v>1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>
        <v>1</v>
      </c>
      <c r="D10" s="32"/>
      <c r="E10" s="24"/>
      <c r="F10" s="25">
        <f t="shared" si="0"/>
        <v>0</v>
      </c>
      <c r="G10" s="25">
        <f t="shared" si="1"/>
        <v>1</v>
      </c>
      <c r="H10" s="25">
        <f t="shared" si="2"/>
        <v>0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>
        <v>1</v>
      </c>
      <c r="P10" s="32"/>
      <c r="Q10" s="24"/>
      <c r="R10" s="25">
        <f t="shared" si="4"/>
        <v>0</v>
      </c>
      <c r="S10" s="25">
        <f t="shared" si="5"/>
        <v>1</v>
      </c>
      <c r="T10" s="25">
        <f t="shared" si="6"/>
        <v>0</v>
      </c>
      <c r="U10" s="25">
        <f t="shared" si="7"/>
        <v>0</v>
      </c>
      <c r="V10" s="24"/>
      <c r="W10" s="107" t="s">
        <v>96</v>
      </c>
      <c r="Y10" s="25">
        <v>4</v>
      </c>
      <c r="Z10" s="32">
        <v>1</v>
      </c>
      <c r="AA10" s="32"/>
      <c r="AB10" s="32"/>
      <c r="AC10" s="24"/>
      <c r="AD10" s="25">
        <f t="shared" si="8"/>
        <v>0</v>
      </c>
      <c r="AE10" s="25">
        <f t="shared" si="9"/>
        <v>0</v>
      </c>
      <c r="AF10" s="25">
        <f t="shared" si="10"/>
        <v>0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/>
      <c r="C11" s="32">
        <v>1</v>
      </c>
      <c r="D11" s="32"/>
      <c r="E11" s="24"/>
      <c r="F11" s="25">
        <f t="shared" si="0"/>
        <v>0</v>
      </c>
      <c r="G11" s="25">
        <f t="shared" si="1"/>
        <v>1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/>
      <c r="O11" s="32">
        <v>1</v>
      </c>
      <c r="P11" s="32"/>
      <c r="Q11" s="24"/>
      <c r="R11" s="25">
        <f t="shared" si="4"/>
        <v>0</v>
      </c>
      <c r="S11" s="25">
        <f t="shared" si="5"/>
        <v>1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/>
      <c r="AA11" s="32"/>
      <c r="AB11" s="32">
        <v>1</v>
      </c>
      <c r="AC11" s="24"/>
      <c r="AD11" s="25">
        <f t="shared" si="8"/>
        <v>0</v>
      </c>
      <c r="AE11" s="25">
        <f t="shared" si="9"/>
        <v>0</v>
      </c>
      <c r="AF11" s="25">
        <f t="shared" si="10"/>
        <v>2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/>
      <c r="C12" s="32">
        <v>1</v>
      </c>
      <c r="D12" s="32"/>
      <c r="E12" s="24"/>
      <c r="F12" s="25">
        <f t="shared" si="0"/>
        <v>0</v>
      </c>
      <c r="G12" s="25">
        <f t="shared" si="1"/>
        <v>1</v>
      </c>
      <c r="H12" s="25">
        <f t="shared" si="2"/>
        <v>0</v>
      </c>
      <c r="I12" s="25">
        <f t="shared" si="3"/>
        <v>0</v>
      </c>
      <c r="J12" s="105">
        <f>I11+I13+I18+I24+I28</f>
        <v>4</v>
      </c>
      <c r="K12" s="108">
        <f>J12</f>
        <v>4</v>
      </c>
      <c r="M12" s="25">
        <v>6</v>
      </c>
      <c r="N12" s="32">
        <v>1</v>
      </c>
      <c r="O12" s="32"/>
      <c r="P12" s="32"/>
      <c r="Q12" s="24"/>
      <c r="R12" s="25">
        <f t="shared" si="4"/>
        <v>0</v>
      </c>
      <c r="S12" s="25">
        <f t="shared" si="5"/>
        <v>0</v>
      </c>
      <c r="T12" s="25">
        <f t="shared" si="6"/>
        <v>0</v>
      </c>
      <c r="U12" s="25">
        <f t="shared" si="7"/>
        <v>0</v>
      </c>
      <c r="V12" s="105">
        <f>U11+U13+U18+U24+U28</f>
        <v>4</v>
      </c>
      <c r="W12" s="108">
        <f>V12</f>
        <v>4</v>
      </c>
      <c r="Y12" s="25">
        <v>6</v>
      </c>
      <c r="Z12" s="32"/>
      <c r="AA12" s="32">
        <v>1</v>
      </c>
      <c r="AB12" s="32"/>
      <c r="AC12" s="24"/>
      <c r="AD12" s="25">
        <f t="shared" si="8"/>
        <v>0</v>
      </c>
      <c r="AE12" s="25">
        <f t="shared" si="9"/>
        <v>1</v>
      </c>
      <c r="AF12" s="25">
        <f t="shared" si="10"/>
        <v>0</v>
      </c>
      <c r="AG12" s="25">
        <f t="shared" si="11"/>
        <v>0</v>
      </c>
      <c r="AH12" s="105">
        <f>AG11+AG13+AG18+AG24+AG28</f>
        <v>2</v>
      </c>
      <c r="AI12" s="108">
        <f>AH12</f>
        <v>2</v>
      </c>
    </row>
    <row r="13" spans="1:35" ht="21" customHeight="1">
      <c r="A13" s="25">
        <v>7</v>
      </c>
      <c r="B13" s="32">
        <v>1</v>
      </c>
      <c r="C13" s="32"/>
      <c r="D13" s="32"/>
      <c r="E13" s="24"/>
      <c r="F13" s="25">
        <f>B13*2</f>
        <v>2</v>
      </c>
      <c r="G13" s="25">
        <f t="shared" si="1"/>
        <v>0</v>
      </c>
      <c r="H13" s="25">
        <f>D13*0</f>
        <v>0</v>
      </c>
      <c r="I13" s="25">
        <f t="shared" si="3"/>
        <v>2</v>
      </c>
      <c r="J13" s="24"/>
      <c r="K13" s="25"/>
      <c r="M13" s="25">
        <v>7</v>
      </c>
      <c r="N13" s="32">
        <v>1</v>
      </c>
      <c r="O13" s="32"/>
      <c r="P13" s="32"/>
      <c r="Q13" s="24"/>
      <c r="R13" s="25">
        <f>N13*2</f>
        <v>2</v>
      </c>
      <c r="S13" s="25">
        <f t="shared" si="5"/>
        <v>0</v>
      </c>
      <c r="T13" s="25">
        <f>P13*0</f>
        <v>0</v>
      </c>
      <c r="U13" s="25">
        <f t="shared" si="7"/>
        <v>2</v>
      </c>
      <c r="V13" s="24"/>
      <c r="W13" s="25"/>
      <c r="Y13" s="25">
        <v>7</v>
      </c>
      <c r="Z13" s="32">
        <v>1</v>
      </c>
      <c r="AA13" s="32"/>
      <c r="AB13" s="32"/>
      <c r="AC13" s="24"/>
      <c r="AD13" s="25">
        <f>Z13*2</f>
        <v>2</v>
      </c>
      <c r="AE13" s="25">
        <f t="shared" si="9"/>
        <v>0</v>
      </c>
      <c r="AF13" s="25">
        <f>AB13*0</f>
        <v>0</v>
      </c>
      <c r="AG13" s="25">
        <f t="shared" si="11"/>
        <v>2</v>
      </c>
      <c r="AH13" s="24"/>
      <c r="AI13" s="25"/>
    </row>
    <row r="14" spans="1:35" ht="21" customHeight="1">
      <c r="A14" s="25">
        <v>8</v>
      </c>
      <c r="B14" s="32">
        <v>1</v>
      </c>
      <c r="C14" s="32"/>
      <c r="D14" s="32"/>
      <c r="E14" s="24"/>
      <c r="F14" s="25">
        <f t="shared" ref="F14:F19" si="12">B14*0</f>
        <v>0</v>
      </c>
      <c r="G14" s="25">
        <f t="shared" si="1"/>
        <v>0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>
        <v>1</v>
      </c>
      <c r="O14" s="32"/>
      <c r="P14" s="32"/>
      <c r="Q14" s="24"/>
      <c r="R14" s="25">
        <f t="shared" ref="R14:R19" si="14">N14*0</f>
        <v>0</v>
      </c>
      <c r="S14" s="25">
        <f t="shared" si="5"/>
        <v>0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>
        <v>1</v>
      </c>
      <c r="AA14" s="32"/>
      <c r="AB14" s="32"/>
      <c r="AC14" s="24"/>
      <c r="AD14" s="25">
        <f t="shared" ref="AD14:AD19" si="16">Z14*0</f>
        <v>0</v>
      </c>
      <c r="AE14" s="25">
        <f t="shared" si="9"/>
        <v>0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>
        <v>1</v>
      </c>
      <c r="D15" s="32"/>
      <c r="E15" s="24"/>
      <c r="F15" s="25">
        <f t="shared" si="12"/>
        <v>0</v>
      </c>
      <c r="G15" s="25">
        <f t="shared" si="1"/>
        <v>1</v>
      </c>
      <c r="H15" s="25">
        <f t="shared" si="13"/>
        <v>0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>
        <v>1</v>
      </c>
      <c r="P15" s="32"/>
      <c r="Q15" s="24"/>
      <c r="R15" s="25">
        <f t="shared" si="14"/>
        <v>0</v>
      </c>
      <c r="S15" s="25">
        <f t="shared" si="5"/>
        <v>1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/>
      <c r="AA15" s="32">
        <v>1</v>
      </c>
      <c r="AB15" s="32"/>
      <c r="AC15" s="24"/>
      <c r="AD15" s="25">
        <f t="shared" si="16"/>
        <v>0</v>
      </c>
      <c r="AE15" s="25">
        <f t="shared" si="9"/>
        <v>1</v>
      </c>
      <c r="AF15" s="25">
        <f t="shared" si="17"/>
        <v>0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/>
      <c r="C16" s="32">
        <v>1</v>
      </c>
      <c r="D16" s="32"/>
      <c r="E16" s="24"/>
      <c r="F16" s="25">
        <f t="shared" si="12"/>
        <v>0</v>
      </c>
      <c r="G16" s="25">
        <f t="shared" si="1"/>
        <v>1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/>
      <c r="O16" s="32"/>
      <c r="P16" s="32">
        <v>1</v>
      </c>
      <c r="Q16" s="24"/>
      <c r="R16" s="25">
        <f t="shared" si="14"/>
        <v>0</v>
      </c>
      <c r="S16" s="25">
        <f t="shared" si="5"/>
        <v>0</v>
      </c>
      <c r="T16" s="25">
        <f t="shared" si="15"/>
        <v>2</v>
      </c>
      <c r="U16" s="25">
        <f t="shared" si="7"/>
        <v>0</v>
      </c>
      <c r="V16" s="24"/>
      <c r="W16" s="107" t="s">
        <v>99</v>
      </c>
      <c r="Y16" s="25">
        <v>10</v>
      </c>
      <c r="Z16" s="32"/>
      <c r="AA16" s="32"/>
      <c r="AB16" s="32">
        <v>1</v>
      </c>
      <c r="AC16" s="24"/>
      <c r="AD16" s="25">
        <f t="shared" si="16"/>
        <v>0</v>
      </c>
      <c r="AE16" s="25">
        <f t="shared" si="9"/>
        <v>0</v>
      </c>
      <c r="AF16" s="25">
        <f t="shared" si="17"/>
        <v>2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>
        <v>1</v>
      </c>
      <c r="D17" s="32"/>
      <c r="E17" s="24"/>
      <c r="F17" s="25">
        <f t="shared" si="12"/>
        <v>0</v>
      </c>
      <c r="G17" s="25">
        <f t="shared" si="1"/>
        <v>1</v>
      </c>
      <c r="H17" s="25">
        <f t="shared" si="13"/>
        <v>0</v>
      </c>
      <c r="I17" s="25">
        <f t="shared" si="3"/>
        <v>0</v>
      </c>
      <c r="J17" s="105">
        <f>I8+I16+I21+I27+I31</f>
        <v>2</v>
      </c>
      <c r="K17" s="108">
        <f>J17</f>
        <v>2</v>
      </c>
      <c r="M17" s="25">
        <v>11</v>
      </c>
      <c r="N17" s="32"/>
      <c r="O17" s="32"/>
      <c r="P17" s="32">
        <v>1</v>
      </c>
      <c r="Q17" s="24"/>
      <c r="R17" s="25">
        <f t="shared" si="14"/>
        <v>0</v>
      </c>
      <c r="S17" s="25">
        <f t="shared" si="5"/>
        <v>0</v>
      </c>
      <c r="T17" s="25">
        <f t="shared" si="15"/>
        <v>2</v>
      </c>
      <c r="U17" s="25">
        <f t="shared" si="7"/>
        <v>0</v>
      </c>
      <c r="V17" s="105">
        <f>U8+U16+U21+U27+U31</f>
        <v>0</v>
      </c>
      <c r="W17" s="108">
        <f>V17</f>
        <v>0</v>
      </c>
      <c r="Y17" s="25">
        <v>11</v>
      </c>
      <c r="Z17" s="32"/>
      <c r="AA17" s="32">
        <v>1</v>
      </c>
      <c r="AB17" s="32"/>
      <c r="AC17" s="24"/>
      <c r="AD17" s="25">
        <f t="shared" si="16"/>
        <v>0</v>
      </c>
      <c r="AE17" s="25">
        <f t="shared" si="9"/>
        <v>1</v>
      </c>
      <c r="AF17" s="25">
        <f t="shared" si="17"/>
        <v>0</v>
      </c>
      <c r="AG17" s="25">
        <f t="shared" si="11"/>
        <v>0</v>
      </c>
      <c r="AH17" s="105">
        <f>AG8+AG16+AG21+AG27+AG31</f>
        <v>2</v>
      </c>
      <c r="AI17" s="108">
        <f>AH17</f>
        <v>2</v>
      </c>
    </row>
    <row r="18" spans="1:35" ht="21" customHeight="1">
      <c r="A18" s="25">
        <v>12</v>
      </c>
      <c r="B18" s="32">
        <v>1</v>
      </c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/>
      <c r="O18" s="32"/>
      <c r="P18" s="32">
        <v>1</v>
      </c>
      <c r="Q18" s="24"/>
      <c r="R18" s="25">
        <f t="shared" si="14"/>
        <v>0</v>
      </c>
      <c r="S18" s="25">
        <f t="shared" si="5"/>
        <v>0</v>
      </c>
      <c r="T18" s="25">
        <f t="shared" si="15"/>
        <v>2</v>
      </c>
      <c r="U18" s="25">
        <f t="shared" si="7"/>
        <v>0</v>
      </c>
      <c r="V18" s="24"/>
      <c r="W18" s="25"/>
      <c r="Y18" s="25">
        <v>12</v>
      </c>
      <c r="Z18" s="32"/>
      <c r="AA18" s="32"/>
      <c r="AB18" s="32">
        <v>1</v>
      </c>
      <c r="AC18" s="24"/>
      <c r="AD18" s="25">
        <f t="shared" si="16"/>
        <v>0</v>
      </c>
      <c r="AE18" s="25">
        <f t="shared" si="9"/>
        <v>0</v>
      </c>
      <c r="AF18" s="25">
        <f t="shared" si="17"/>
        <v>2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>
        <v>1</v>
      </c>
      <c r="C19" s="32"/>
      <c r="D19" s="32"/>
      <c r="E19" s="24"/>
      <c r="F19" s="25">
        <f t="shared" si="12"/>
        <v>0</v>
      </c>
      <c r="G19" s="25">
        <f t="shared" si="1"/>
        <v>0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>
        <v>1</v>
      </c>
      <c r="O19" s="32"/>
      <c r="P19" s="32"/>
      <c r="Q19" s="24"/>
      <c r="R19" s="25">
        <f t="shared" si="14"/>
        <v>0</v>
      </c>
      <c r="S19" s="25">
        <f t="shared" si="5"/>
        <v>0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>
        <v>1</v>
      </c>
      <c r="AA19" s="32"/>
      <c r="AB19" s="32"/>
      <c r="AC19" s="24"/>
      <c r="AD19" s="25">
        <f t="shared" si="16"/>
        <v>0</v>
      </c>
      <c r="AE19" s="25">
        <f t="shared" si="9"/>
        <v>0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>
        <v>1</v>
      </c>
      <c r="C20" s="32"/>
      <c r="D20" s="32"/>
      <c r="E20" s="24"/>
      <c r="F20" s="25">
        <f>B20*2</f>
        <v>2</v>
      </c>
      <c r="G20" s="25">
        <f t="shared" si="1"/>
        <v>0</v>
      </c>
      <c r="H20" s="25">
        <f>D20*0</f>
        <v>0</v>
      </c>
      <c r="I20" s="25">
        <f t="shared" si="3"/>
        <v>2</v>
      </c>
      <c r="J20" s="24"/>
      <c r="K20" s="107" t="s">
        <v>100</v>
      </c>
      <c r="M20" s="25">
        <v>14</v>
      </c>
      <c r="N20" s="32"/>
      <c r="O20" s="32">
        <v>1</v>
      </c>
      <c r="P20" s="32"/>
      <c r="Q20" s="24"/>
      <c r="R20" s="25">
        <f>N20*2</f>
        <v>0</v>
      </c>
      <c r="S20" s="25">
        <f t="shared" si="5"/>
        <v>1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>
        <v>1</v>
      </c>
      <c r="AA20" s="32"/>
      <c r="AB20" s="32"/>
      <c r="AC20" s="24"/>
      <c r="AD20" s="25">
        <f>Z20*2</f>
        <v>2</v>
      </c>
      <c r="AE20" s="25">
        <f t="shared" si="9"/>
        <v>0</v>
      </c>
      <c r="AF20" s="25">
        <f>AB20*0</f>
        <v>0</v>
      </c>
      <c r="AG20" s="25">
        <f t="shared" si="11"/>
        <v>2</v>
      </c>
      <c r="AH20" s="24"/>
      <c r="AI20" s="107" t="s">
        <v>100</v>
      </c>
    </row>
    <row r="21" spans="1:35" ht="21" customHeight="1">
      <c r="A21" s="25">
        <v>15</v>
      </c>
      <c r="B21" s="32">
        <v>1</v>
      </c>
      <c r="C21" s="32"/>
      <c r="D21" s="32"/>
      <c r="E21" s="24"/>
      <c r="F21" s="25">
        <f>B21*2</f>
        <v>2</v>
      </c>
      <c r="G21" s="25">
        <f t="shared" si="1"/>
        <v>0</v>
      </c>
      <c r="H21" s="25">
        <f>D21*0</f>
        <v>0</v>
      </c>
      <c r="I21" s="25">
        <f t="shared" si="3"/>
        <v>2</v>
      </c>
      <c r="J21" s="24"/>
      <c r="K21" s="107" t="s">
        <v>101</v>
      </c>
      <c r="M21" s="25">
        <v>15</v>
      </c>
      <c r="N21" s="32"/>
      <c r="O21" s="32"/>
      <c r="P21" s="32">
        <v>1</v>
      </c>
      <c r="Q21" s="24"/>
      <c r="R21" s="25">
        <f>N21*2</f>
        <v>0</v>
      </c>
      <c r="S21" s="25">
        <f t="shared" si="5"/>
        <v>0</v>
      </c>
      <c r="T21" s="25">
        <f>P21*0</f>
        <v>0</v>
      </c>
      <c r="U21" s="25">
        <f t="shared" si="7"/>
        <v>0</v>
      </c>
      <c r="V21" s="24"/>
      <c r="W21" s="107" t="s">
        <v>101</v>
      </c>
      <c r="Y21" s="25">
        <v>15</v>
      </c>
      <c r="Z21" s="32">
        <v>1</v>
      </c>
      <c r="AA21" s="32"/>
      <c r="AB21" s="32"/>
      <c r="AC21" s="24"/>
      <c r="AD21" s="25">
        <f>Z21*2</f>
        <v>2</v>
      </c>
      <c r="AE21" s="25">
        <f t="shared" si="9"/>
        <v>0</v>
      </c>
      <c r="AF21" s="25">
        <f>AB21*0</f>
        <v>0</v>
      </c>
      <c r="AG21" s="25">
        <f t="shared" si="11"/>
        <v>2</v>
      </c>
      <c r="AH21" s="24"/>
      <c r="AI21" s="107" t="s">
        <v>101</v>
      </c>
    </row>
    <row r="22" spans="1:35" ht="21" customHeight="1">
      <c r="A22" s="25">
        <v>16</v>
      </c>
      <c r="B22" s="32">
        <v>1</v>
      </c>
      <c r="C22" s="32"/>
      <c r="D22" s="32"/>
      <c r="E22" s="24"/>
      <c r="F22" s="25">
        <f>B22*0</f>
        <v>0</v>
      </c>
      <c r="G22" s="25">
        <f t="shared" si="1"/>
        <v>0</v>
      </c>
      <c r="H22" s="25">
        <f>D22*2</f>
        <v>0</v>
      </c>
      <c r="I22" s="25">
        <f t="shared" si="3"/>
        <v>0</v>
      </c>
      <c r="J22" s="105">
        <f>I12+I17+I20+I25+I29</f>
        <v>2</v>
      </c>
      <c r="K22" s="108">
        <f>J22</f>
        <v>2</v>
      </c>
      <c r="M22" s="25">
        <v>16</v>
      </c>
      <c r="N22" s="32">
        <v>1</v>
      </c>
      <c r="O22" s="32"/>
      <c r="P22" s="32"/>
      <c r="Q22" s="24"/>
      <c r="R22" s="25">
        <f>N22*0</f>
        <v>0</v>
      </c>
      <c r="S22" s="25">
        <f t="shared" si="5"/>
        <v>0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/>
      <c r="AA22" s="32">
        <v>1</v>
      </c>
      <c r="AB22" s="32"/>
      <c r="AC22" s="24"/>
      <c r="AD22" s="25">
        <f>Z22*0</f>
        <v>0</v>
      </c>
      <c r="AE22" s="25">
        <f t="shared" si="9"/>
        <v>1</v>
      </c>
      <c r="AF22" s="25">
        <f>AB22*2</f>
        <v>0</v>
      </c>
      <c r="AG22" s="25">
        <f t="shared" si="11"/>
        <v>0</v>
      </c>
      <c r="AH22" s="105">
        <f>AG12+AG17+AG20+AG25+AG29</f>
        <v>2</v>
      </c>
      <c r="AI22" s="108">
        <f>AH22</f>
        <v>2</v>
      </c>
    </row>
    <row r="23" spans="1:35" ht="21" customHeight="1">
      <c r="A23" s="25">
        <v>17</v>
      </c>
      <c r="B23" s="32">
        <v>1</v>
      </c>
      <c r="C23" s="32"/>
      <c r="D23" s="32"/>
      <c r="E23" s="24"/>
      <c r="F23" s="25">
        <f>B23*2</f>
        <v>2</v>
      </c>
      <c r="G23" s="25">
        <f t="shared" si="1"/>
        <v>0</v>
      </c>
      <c r="H23" s="25">
        <f>D23*0</f>
        <v>0</v>
      </c>
      <c r="I23" s="25">
        <f t="shared" si="3"/>
        <v>2</v>
      </c>
      <c r="J23" s="24"/>
      <c r="K23" s="25"/>
      <c r="M23" s="25">
        <v>17</v>
      </c>
      <c r="N23" s="32"/>
      <c r="O23" s="32">
        <v>1</v>
      </c>
      <c r="P23" s="32"/>
      <c r="Q23" s="24"/>
      <c r="R23" s="25">
        <f>N23*2</f>
        <v>0</v>
      </c>
      <c r="S23" s="25">
        <f t="shared" si="5"/>
        <v>1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>
        <v>1</v>
      </c>
      <c r="AA23" s="32"/>
      <c r="AB23" s="32"/>
      <c r="AC23" s="24"/>
      <c r="AD23" s="25">
        <f>Z23*2</f>
        <v>2</v>
      </c>
      <c r="AE23" s="25">
        <f t="shared" si="9"/>
        <v>0</v>
      </c>
      <c r="AF23" s="25">
        <f>AB23*0</f>
        <v>0</v>
      </c>
      <c r="AG23" s="25">
        <f t="shared" si="11"/>
        <v>2</v>
      </c>
      <c r="AH23" s="24"/>
      <c r="AI23" s="25"/>
    </row>
    <row r="24" spans="1:35" ht="21" customHeight="1">
      <c r="A24" s="25">
        <v>18</v>
      </c>
      <c r="B24" s="32">
        <v>1</v>
      </c>
      <c r="C24" s="32"/>
      <c r="D24" s="32"/>
      <c r="E24" s="24"/>
      <c r="F24" s="25">
        <f>B24*2</f>
        <v>2</v>
      </c>
      <c r="G24" s="25">
        <f t="shared" si="1"/>
        <v>0</v>
      </c>
      <c r="H24" s="25">
        <f>D24*0</f>
        <v>0</v>
      </c>
      <c r="I24" s="25">
        <f t="shared" si="3"/>
        <v>2</v>
      </c>
      <c r="J24" s="24"/>
      <c r="K24" s="25"/>
      <c r="M24" s="25">
        <v>18</v>
      </c>
      <c r="N24" s="32">
        <v>1</v>
      </c>
      <c r="O24" s="32"/>
      <c r="P24" s="32"/>
      <c r="Q24" s="24"/>
      <c r="R24" s="25">
        <f>N24*2</f>
        <v>2</v>
      </c>
      <c r="S24" s="25">
        <f t="shared" si="5"/>
        <v>0</v>
      </c>
      <c r="T24" s="25">
        <f>P24*0</f>
        <v>0</v>
      </c>
      <c r="U24" s="25">
        <f t="shared" si="7"/>
        <v>2</v>
      </c>
      <c r="V24" s="24"/>
      <c r="W24" s="25"/>
      <c r="Y24" s="25">
        <v>18</v>
      </c>
      <c r="Z24" s="32"/>
      <c r="AA24" s="32"/>
      <c r="AB24" s="32">
        <v>1</v>
      </c>
      <c r="AC24" s="24"/>
      <c r="AD24" s="25">
        <f>Z24*2</f>
        <v>0</v>
      </c>
      <c r="AE24" s="25">
        <f t="shared" si="9"/>
        <v>0</v>
      </c>
      <c r="AF24" s="25">
        <f>AB24*0</f>
        <v>0</v>
      </c>
      <c r="AG24" s="25">
        <f t="shared" si="11"/>
        <v>0</v>
      </c>
      <c r="AH24" s="24"/>
      <c r="AI24" s="25"/>
    </row>
    <row r="25" spans="1:35" ht="21" customHeight="1">
      <c r="A25" s="25">
        <v>19</v>
      </c>
      <c r="B25" s="32"/>
      <c r="C25" s="32">
        <v>1</v>
      </c>
      <c r="D25" s="32"/>
      <c r="E25" s="24"/>
      <c r="F25" s="25">
        <f t="shared" ref="F25:F31" si="18">B25*0</f>
        <v>0</v>
      </c>
      <c r="G25" s="25">
        <f t="shared" si="1"/>
        <v>1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/>
      <c r="O25" s="32"/>
      <c r="P25" s="32">
        <v>1</v>
      </c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2</v>
      </c>
      <c r="U25" s="25">
        <f t="shared" si="7"/>
        <v>0</v>
      </c>
      <c r="V25" s="24"/>
      <c r="W25" s="107" t="s">
        <v>102</v>
      </c>
      <c r="Y25" s="25">
        <v>19</v>
      </c>
      <c r="Z25" s="32"/>
      <c r="AA25" s="32"/>
      <c r="AB25" s="32">
        <v>1</v>
      </c>
      <c r="AC25" s="24"/>
      <c r="AD25" s="25">
        <f t="shared" ref="AD25:AD31" si="22">Z25*0</f>
        <v>0</v>
      </c>
      <c r="AE25" s="25">
        <f t="shared" si="9"/>
        <v>0</v>
      </c>
      <c r="AF25" s="25">
        <f t="shared" ref="AF25:AF31" si="23">AB25*2</f>
        <v>2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>
        <v>1</v>
      </c>
      <c r="D26" s="32"/>
      <c r="E26" s="24"/>
      <c r="F26" s="25">
        <f t="shared" si="18"/>
        <v>0</v>
      </c>
      <c r="G26" s="25">
        <f t="shared" si="1"/>
        <v>1</v>
      </c>
      <c r="H26" s="25">
        <f t="shared" si="19"/>
        <v>0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>
        <v>1</v>
      </c>
      <c r="P26" s="32"/>
      <c r="Q26" s="24"/>
      <c r="R26" s="25">
        <f t="shared" si="20"/>
        <v>0</v>
      </c>
      <c r="S26" s="25">
        <f t="shared" si="5"/>
        <v>1</v>
      </c>
      <c r="T26" s="25">
        <f t="shared" si="21"/>
        <v>0</v>
      </c>
      <c r="U26" s="25">
        <f t="shared" si="7"/>
        <v>0</v>
      </c>
      <c r="V26" s="24"/>
      <c r="W26" s="107" t="s">
        <v>103</v>
      </c>
      <c r="Y26" s="25">
        <v>20</v>
      </c>
      <c r="Z26" s="32">
        <v>1</v>
      </c>
      <c r="AA26" s="32"/>
      <c r="AB26" s="32"/>
      <c r="AC26" s="24"/>
      <c r="AD26" s="25">
        <f t="shared" si="22"/>
        <v>0</v>
      </c>
      <c r="AE26" s="25">
        <f t="shared" si="9"/>
        <v>0</v>
      </c>
      <c r="AF26" s="25">
        <f t="shared" si="23"/>
        <v>0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>
        <v>1</v>
      </c>
      <c r="C27" s="32"/>
      <c r="D27" s="32"/>
      <c r="E27" s="24"/>
      <c r="F27" s="25">
        <f t="shared" si="18"/>
        <v>0</v>
      </c>
      <c r="G27" s="25">
        <f t="shared" si="1"/>
        <v>0</v>
      </c>
      <c r="H27" s="25">
        <f t="shared" si="19"/>
        <v>0</v>
      </c>
      <c r="I27" s="25">
        <f t="shared" si="3"/>
        <v>0</v>
      </c>
      <c r="J27" s="105">
        <f>I7+I10+I15+I23+I26</f>
        <v>2</v>
      </c>
      <c r="K27" s="108">
        <f>J27</f>
        <v>2</v>
      </c>
      <c r="M27" s="25">
        <v>21</v>
      </c>
      <c r="N27" s="32">
        <v>1</v>
      </c>
      <c r="O27" s="32"/>
      <c r="P27" s="32"/>
      <c r="Q27" s="24"/>
      <c r="R27" s="25">
        <f t="shared" si="20"/>
        <v>0</v>
      </c>
      <c r="S27" s="25">
        <f t="shared" si="5"/>
        <v>0</v>
      </c>
      <c r="T27" s="25">
        <f t="shared" si="21"/>
        <v>0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>
        <v>1</v>
      </c>
      <c r="AA27" s="32"/>
      <c r="AB27" s="32"/>
      <c r="AC27" s="24"/>
      <c r="AD27" s="25">
        <f t="shared" si="22"/>
        <v>0</v>
      </c>
      <c r="AE27" s="25">
        <f t="shared" si="9"/>
        <v>0</v>
      </c>
      <c r="AF27" s="25">
        <f t="shared" si="23"/>
        <v>0</v>
      </c>
      <c r="AG27" s="25">
        <f t="shared" si="11"/>
        <v>0</v>
      </c>
      <c r="AH27" s="105">
        <f>AG7+AG10+AG15+AG23+AG26</f>
        <v>2</v>
      </c>
      <c r="AI27" s="108">
        <f>AH27</f>
        <v>2</v>
      </c>
    </row>
    <row r="28" spans="1:35" ht="21" customHeight="1">
      <c r="A28" s="25">
        <v>22</v>
      </c>
      <c r="B28" s="32">
        <v>1</v>
      </c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>
        <v>1</v>
      </c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/>
      <c r="AA28" s="32"/>
      <c r="AB28" s="32">
        <v>1</v>
      </c>
      <c r="AC28" s="24"/>
      <c r="AD28" s="25">
        <f t="shared" si="22"/>
        <v>0</v>
      </c>
      <c r="AE28" s="25">
        <f t="shared" si="9"/>
        <v>0</v>
      </c>
      <c r="AF28" s="25">
        <f t="shared" si="23"/>
        <v>2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/>
      <c r="C29" s="32"/>
      <c r="D29" s="32">
        <v>1</v>
      </c>
      <c r="E29" s="24"/>
      <c r="F29" s="25">
        <f t="shared" si="18"/>
        <v>0</v>
      </c>
      <c r="G29" s="25">
        <f t="shared" si="1"/>
        <v>0</v>
      </c>
      <c r="H29" s="25">
        <f t="shared" si="19"/>
        <v>2</v>
      </c>
      <c r="I29" s="25">
        <f t="shared" si="3"/>
        <v>0</v>
      </c>
      <c r="J29" s="24"/>
      <c r="K29" s="107" t="s">
        <v>104</v>
      </c>
      <c r="M29" s="25">
        <v>23</v>
      </c>
      <c r="N29" s="32">
        <v>1</v>
      </c>
      <c r="O29" s="32"/>
      <c r="P29" s="32"/>
      <c r="Q29" s="24"/>
      <c r="R29" s="25">
        <f t="shared" si="20"/>
        <v>0</v>
      </c>
      <c r="S29" s="25">
        <f t="shared" si="5"/>
        <v>0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/>
      <c r="AA29" s="32">
        <v>1</v>
      </c>
      <c r="AB29" s="32"/>
      <c r="AC29" s="24"/>
      <c r="AD29" s="25">
        <f t="shared" si="22"/>
        <v>0</v>
      </c>
      <c r="AE29" s="25">
        <f t="shared" si="9"/>
        <v>1</v>
      </c>
      <c r="AF29" s="25">
        <f t="shared" si="23"/>
        <v>0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>
        <v>1</v>
      </c>
      <c r="C30" s="32"/>
      <c r="D30" s="32"/>
      <c r="E30" s="24"/>
      <c r="F30" s="25">
        <f t="shared" si="18"/>
        <v>0</v>
      </c>
      <c r="G30" s="25">
        <f t="shared" si="1"/>
        <v>0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>
        <v>1</v>
      </c>
      <c r="O30" s="32"/>
      <c r="P30" s="32"/>
      <c r="Q30" s="24"/>
      <c r="R30" s="25">
        <f t="shared" si="20"/>
        <v>0</v>
      </c>
      <c r="S30" s="25">
        <f t="shared" si="5"/>
        <v>0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>
        <v>1</v>
      </c>
      <c r="AA30" s="32"/>
      <c r="AB30" s="32"/>
      <c r="AC30" s="24"/>
      <c r="AD30" s="25">
        <f t="shared" si="22"/>
        <v>0</v>
      </c>
      <c r="AE30" s="25">
        <f t="shared" si="9"/>
        <v>0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>
        <v>1</v>
      </c>
      <c r="C31" s="32"/>
      <c r="D31" s="32"/>
      <c r="E31" s="24"/>
      <c r="F31" s="25">
        <f t="shared" si="18"/>
        <v>0</v>
      </c>
      <c r="G31" s="25">
        <f t="shared" si="1"/>
        <v>0</v>
      </c>
      <c r="H31" s="25">
        <f t="shared" si="19"/>
        <v>0</v>
      </c>
      <c r="I31" s="25">
        <f t="shared" si="3"/>
        <v>0</v>
      </c>
      <c r="J31" s="24"/>
      <c r="K31" s="108">
        <f>K7+K12+K17+K22</f>
        <v>8</v>
      </c>
      <c r="M31" s="25">
        <v>25</v>
      </c>
      <c r="N31" s="32">
        <v>1</v>
      </c>
      <c r="O31" s="32"/>
      <c r="P31" s="32"/>
      <c r="Q31" s="24"/>
      <c r="R31" s="25">
        <f t="shared" si="20"/>
        <v>0</v>
      </c>
      <c r="S31" s="25">
        <f t="shared" si="5"/>
        <v>0</v>
      </c>
      <c r="T31" s="25">
        <f t="shared" si="21"/>
        <v>0</v>
      </c>
      <c r="U31" s="25">
        <f t="shared" si="7"/>
        <v>0</v>
      </c>
      <c r="V31" s="24"/>
      <c r="W31" s="108">
        <f>W7+W12+W17+W22</f>
        <v>4</v>
      </c>
      <c r="Y31" s="25">
        <v>25</v>
      </c>
      <c r="Z31" s="32">
        <v>1</v>
      </c>
      <c r="AA31" s="32"/>
      <c r="AB31" s="32"/>
      <c r="AC31" s="24"/>
      <c r="AD31" s="25">
        <f t="shared" si="22"/>
        <v>0</v>
      </c>
      <c r="AE31" s="25">
        <f t="shared" si="9"/>
        <v>0</v>
      </c>
      <c r="AF31" s="25">
        <f t="shared" si="23"/>
        <v>0</v>
      </c>
      <c r="AG31" s="25">
        <f t="shared" si="11"/>
        <v>0</v>
      </c>
      <c r="AH31" s="24"/>
      <c r="AI31" s="108">
        <f>AI7+AI12+AI17+AI22</f>
        <v>6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7"/>
  </sheetPr>
  <dimension ref="A1:AI41"/>
  <sheetViews>
    <sheetView topLeftCell="Q1" zoomScale="150" workbookViewId="0">
      <selection activeCell="AA31" sqref="AA31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 t="str">
        <f>รายชื่อ!B18</f>
        <v>เด็กหญิง</v>
      </c>
      <c r="C3" s="110" t="str">
        <f>รายชื่อ!C18</f>
        <v>ภาสินี</v>
      </c>
      <c r="D3" s="110" t="str">
        <f>รายชื่อ!D18</f>
        <v>ภู่ดัด</v>
      </c>
      <c r="E3" s="60"/>
      <c r="F3" s="103"/>
      <c r="G3" s="165"/>
      <c r="H3" s="165"/>
      <c r="I3" s="165"/>
      <c r="J3" s="25"/>
      <c r="K3" s="106" t="s">
        <v>42</v>
      </c>
      <c r="M3" s="25" t="s">
        <v>85</v>
      </c>
      <c r="N3" s="110" t="str">
        <f>รายชื่อ!B18</f>
        <v>เด็กหญิง</v>
      </c>
      <c r="O3" s="110" t="str">
        <f>รายชื่อ!C18</f>
        <v>ภาสินี</v>
      </c>
      <c r="P3" s="110" t="str">
        <f>รายชื่อ!D18</f>
        <v>ภู่ดัด</v>
      </c>
      <c r="Q3" s="60"/>
      <c r="R3" s="103"/>
      <c r="S3" s="165"/>
      <c r="T3" s="165"/>
      <c r="U3" s="165"/>
      <c r="V3" s="25"/>
      <c r="W3" s="106" t="s">
        <v>42</v>
      </c>
      <c r="Y3" s="25" t="s">
        <v>85</v>
      </c>
      <c r="Z3" s="110" t="str">
        <f>รายชื่อ!B18</f>
        <v>เด็กหญิง</v>
      </c>
      <c r="AA3" s="110" t="str">
        <f>รายชื่อ!C18</f>
        <v>ภาสินี</v>
      </c>
      <c r="AB3" s="110" t="str">
        <f>รายชื่อ!D18</f>
        <v>ภู่ดัด</v>
      </c>
      <c r="AC3" s="60"/>
      <c r="AD3" s="103"/>
      <c r="AE3" s="165"/>
      <c r="AF3" s="165"/>
      <c r="AG3" s="165"/>
      <c r="AH3" s="25"/>
      <c r="AI3" s="106" t="s">
        <v>42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/>
      <c r="C7" s="32"/>
      <c r="D7" s="32">
        <v>1</v>
      </c>
      <c r="E7" s="24"/>
      <c r="F7" s="25">
        <f t="shared" ref="F7:F12" si="0">B7*0</f>
        <v>0</v>
      </c>
      <c r="G7" s="25">
        <f t="shared" ref="G7:G31" si="1">C7*1</f>
        <v>0</v>
      </c>
      <c r="H7" s="25">
        <f t="shared" ref="H7:H12" si="2">D7*2</f>
        <v>2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/>
      <c r="O7" s="32"/>
      <c r="P7" s="32">
        <v>1</v>
      </c>
      <c r="Q7" s="24"/>
      <c r="R7" s="25">
        <f t="shared" ref="R7:R12" si="4">N7*0</f>
        <v>0</v>
      </c>
      <c r="S7" s="25">
        <f t="shared" ref="S7:S31" si="5">O7*1</f>
        <v>0</v>
      </c>
      <c r="T7" s="25">
        <f t="shared" ref="T7:T12" si="6">P7*2</f>
        <v>2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/>
      <c r="AB7" s="32">
        <v>1</v>
      </c>
      <c r="AC7" s="24"/>
      <c r="AD7" s="25">
        <f t="shared" ref="AD7:AD12" si="8">Z7*0</f>
        <v>0</v>
      </c>
      <c r="AE7" s="25">
        <f t="shared" ref="AE7:AE31" si="9">AA7*1</f>
        <v>0</v>
      </c>
      <c r="AF7" s="25">
        <f t="shared" ref="AF7:AF12" si="10">AB7*2</f>
        <v>2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>
        <v>1</v>
      </c>
      <c r="C8" s="32"/>
      <c r="D8" s="32"/>
      <c r="E8" s="24"/>
      <c r="F8" s="25">
        <f t="shared" si="0"/>
        <v>0</v>
      </c>
      <c r="G8" s="25">
        <f t="shared" si="1"/>
        <v>0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>
        <v>1</v>
      </c>
      <c r="O8" s="32"/>
      <c r="P8" s="32"/>
      <c r="Q8" s="24"/>
      <c r="R8" s="25">
        <f t="shared" si="4"/>
        <v>0</v>
      </c>
      <c r="S8" s="25">
        <f t="shared" si="5"/>
        <v>0</v>
      </c>
      <c r="T8" s="25">
        <f t="shared" si="6"/>
        <v>0</v>
      </c>
      <c r="U8" s="25">
        <f t="shared" si="7"/>
        <v>0</v>
      </c>
      <c r="V8" s="24"/>
      <c r="W8" s="25"/>
      <c r="Y8" s="25">
        <v>2</v>
      </c>
      <c r="Z8" s="32">
        <v>1</v>
      </c>
      <c r="AA8" s="32"/>
      <c r="AB8" s="32"/>
      <c r="AC8" s="24"/>
      <c r="AD8" s="25">
        <f t="shared" si="8"/>
        <v>0</v>
      </c>
      <c r="AE8" s="25">
        <f t="shared" si="9"/>
        <v>0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>
        <v>1</v>
      </c>
      <c r="C9" s="32"/>
      <c r="D9" s="32"/>
      <c r="E9" s="24"/>
      <c r="F9" s="25">
        <f t="shared" si="0"/>
        <v>0</v>
      </c>
      <c r="G9" s="25">
        <f t="shared" si="1"/>
        <v>0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>
        <v>1</v>
      </c>
      <c r="O9" s="32"/>
      <c r="P9" s="32"/>
      <c r="Q9" s="24"/>
      <c r="R9" s="25">
        <f t="shared" si="4"/>
        <v>0</v>
      </c>
      <c r="S9" s="25">
        <f t="shared" si="5"/>
        <v>0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>
        <v>1</v>
      </c>
      <c r="AA9" s="32"/>
      <c r="AB9" s="32"/>
      <c r="AC9" s="24"/>
      <c r="AD9" s="25">
        <f t="shared" si="8"/>
        <v>0</v>
      </c>
      <c r="AE9" s="25">
        <f t="shared" si="9"/>
        <v>0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/>
      <c r="D10" s="32">
        <v>1</v>
      </c>
      <c r="E10" s="24"/>
      <c r="F10" s="25">
        <f t="shared" si="0"/>
        <v>0</v>
      </c>
      <c r="G10" s="25">
        <f t="shared" si="1"/>
        <v>0</v>
      </c>
      <c r="H10" s="25">
        <f t="shared" si="2"/>
        <v>2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/>
      <c r="P10" s="32">
        <v>1</v>
      </c>
      <c r="Q10" s="24"/>
      <c r="R10" s="25">
        <f t="shared" si="4"/>
        <v>0</v>
      </c>
      <c r="S10" s="25">
        <f t="shared" si="5"/>
        <v>0</v>
      </c>
      <c r="T10" s="25">
        <f t="shared" si="6"/>
        <v>2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/>
      <c r="AB10" s="32">
        <v>1</v>
      </c>
      <c r="AC10" s="24"/>
      <c r="AD10" s="25">
        <f t="shared" si="8"/>
        <v>0</v>
      </c>
      <c r="AE10" s="25">
        <f t="shared" si="9"/>
        <v>0</v>
      </c>
      <c r="AF10" s="25">
        <f t="shared" si="10"/>
        <v>2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>
        <v>1</v>
      </c>
      <c r="C11" s="32"/>
      <c r="D11" s="32"/>
      <c r="E11" s="24"/>
      <c r="F11" s="25">
        <f t="shared" si="0"/>
        <v>0</v>
      </c>
      <c r="G11" s="25">
        <f t="shared" si="1"/>
        <v>0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>
        <v>1</v>
      </c>
      <c r="O11" s="32"/>
      <c r="P11" s="32"/>
      <c r="Q11" s="24"/>
      <c r="R11" s="25">
        <f t="shared" si="4"/>
        <v>0</v>
      </c>
      <c r="S11" s="25">
        <f t="shared" si="5"/>
        <v>0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>
        <v>1</v>
      </c>
      <c r="AA11" s="32"/>
      <c r="AB11" s="32"/>
      <c r="AC11" s="24"/>
      <c r="AD11" s="25">
        <f t="shared" si="8"/>
        <v>0</v>
      </c>
      <c r="AE11" s="25">
        <f t="shared" si="9"/>
        <v>0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>
        <v>1</v>
      </c>
      <c r="C12" s="32"/>
      <c r="D12" s="32"/>
      <c r="E12" s="24"/>
      <c r="F12" s="25">
        <f t="shared" si="0"/>
        <v>0</v>
      </c>
      <c r="G12" s="25">
        <f t="shared" si="1"/>
        <v>0</v>
      </c>
      <c r="H12" s="25">
        <f t="shared" si="2"/>
        <v>0</v>
      </c>
      <c r="I12" s="25">
        <f t="shared" si="3"/>
        <v>0</v>
      </c>
      <c r="J12" s="105">
        <f>I11+I13+I18+I24+I28</f>
        <v>2</v>
      </c>
      <c r="K12" s="108">
        <f>J12</f>
        <v>2</v>
      </c>
      <c r="M12" s="25">
        <v>6</v>
      </c>
      <c r="N12" s="32">
        <v>1</v>
      </c>
      <c r="O12" s="32"/>
      <c r="P12" s="32"/>
      <c r="Q12" s="24"/>
      <c r="R12" s="25">
        <f t="shared" si="4"/>
        <v>0</v>
      </c>
      <c r="S12" s="25">
        <f t="shared" si="5"/>
        <v>0</v>
      </c>
      <c r="T12" s="25">
        <f t="shared" si="6"/>
        <v>0</v>
      </c>
      <c r="U12" s="25">
        <f t="shared" si="7"/>
        <v>0</v>
      </c>
      <c r="V12" s="105">
        <f>U11+U13+U18+U24+U28</f>
        <v>2</v>
      </c>
      <c r="W12" s="108">
        <f>V12</f>
        <v>2</v>
      </c>
      <c r="Y12" s="25">
        <v>6</v>
      </c>
      <c r="Z12" s="32">
        <v>1</v>
      </c>
      <c r="AA12" s="32"/>
      <c r="AB12" s="32"/>
      <c r="AC12" s="24"/>
      <c r="AD12" s="25">
        <f t="shared" si="8"/>
        <v>0</v>
      </c>
      <c r="AE12" s="25">
        <f t="shared" si="9"/>
        <v>0</v>
      </c>
      <c r="AF12" s="25">
        <f t="shared" si="10"/>
        <v>0</v>
      </c>
      <c r="AG12" s="25">
        <f t="shared" si="11"/>
        <v>0</v>
      </c>
      <c r="AH12" s="105">
        <f>AG11+AG13+AG18+AG24+AG28</f>
        <v>2</v>
      </c>
      <c r="AI12" s="108">
        <f>AH12</f>
        <v>2</v>
      </c>
    </row>
    <row r="13" spans="1:35" ht="21" customHeight="1">
      <c r="A13" s="25">
        <v>7</v>
      </c>
      <c r="B13" s="32"/>
      <c r="C13" s="32"/>
      <c r="D13" s="32">
        <v>1</v>
      </c>
      <c r="E13" s="24"/>
      <c r="F13" s="25">
        <f>B13*2</f>
        <v>0</v>
      </c>
      <c r="G13" s="25">
        <f t="shared" si="1"/>
        <v>0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/>
      <c r="P13" s="32">
        <v>1</v>
      </c>
      <c r="Q13" s="24"/>
      <c r="R13" s="25">
        <f>N13*2</f>
        <v>0</v>
      </c>
      <c r="S13" s="25">
        <f t="shared" si="5"/>
        <v>0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/>
      <c r="AA13" s="32"/>
      <c r="AB13" s="32">
        <v>1</v>
      </c>
      <c r="AC13" s="24"/>
      <c r="AD13" s="25">
        <f>Z13*2</f>
        <v>0</v>
      </c>
      <c r="AE13" s="25">
        <f t="shared" si="9"/>
        <v>0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/>
      <c r="C14" s="32"/>
      <c r="D14" s="32">
        <v>1</v>
      </c>
      <c r="E14" s="24"/>
      <c r="F14" s="25">
        <f t="shared" ref="F14:F19" si="12">B14*0</f>
        <v>0</v>
      </c>
      <c r="G14" s="25">
        <f t="shared" si="1"/>
        <v>0</v>
      </c>
      <c r="H14" s="25">
        <f t="shared" ref="H14:H19" si="13">D14*2</f>
        <v>2</v>
      </c>
      <c r="I14" s="25">
        <f t="shared" si="3"/>
        <v>0</v>
      </c>
      <c r="J14" s="24"/>
      <c r="K14" s="25"/>
      <c r="M14" s="25">
        <v>8</v>
      </c>
      <c r="N14" s="32"/>
      <c r="O14" s="32"/>
      <c r="P14" s="32">
        <v>1</v>
      </c>
      <c r="Q14" s="24"/>
      <c r="R14" s="25">
        <f t="shared" ref="R14:R19" si="14">N14*0</f>
        <v>0</v>
      </c>
      <c r="S14" s="25">
        <f t="shared" si="5"/>
        <v>0</v>
      </c>
      <c r="T14" s="25">
        <f t="shared" ref="T14:T19" si="15">P14*2</f>
        <v>2</v>
      </c>
      <c r="U14" s="25">
        <f t="shared" si="7"/>
        <v>0</v>
      </c>
      <c r="V14" s="24"/>
      <c r="W14" s="25"/>
      <c r="Y14" s="25">
        <v>8</v>
      </c>
      <c r="Z14" s="32"/>
      <c r="AA14" s="32"/>
      <c r="AB14" s="32">
        <v>1</v>
      </c>
      <c r="AC14" s="24"/>
      <c r="AD14" s="25">
        <f t="shared" ref="AD14:AD19" si="16">Z14*0</f>
        <v>0</v>
      </c>
      <c r="AE14" s="25">
        <f t="shared" si="9"/>
        <v>0</v>
      </c>
      <c r="AF14" s="25">
        <f t="shared" ref="AF14:AF19" si="17">AB14*2</f>
        <v>2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>
        <v>1</v>
      </c>
      <c r="D15" s="32"/>
      <c r="E15" s="24"/>
      <c r="F15" s="25">
        <f t="shared" si="12"/>
        <v>0</v>
      </c>
      <c r="G15" s="25">
        <f t="shared" si="1"/>
        <v>1</v>
      </c>
      <c r="H15" s="25">
        <f t="shared" si="13"/>
        <v>0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>
        <v>1</v>
      </c>
      <c r="P15" s="32"/>
      <c r="Q15" s="24"/>
      <c r="R15" s="25">
        <f t="shared" si="14"/>
        <v>0</v>
      </c>
      <c r="S15" s="25">
        <f t="shared" si="5"/>
        <v>1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/>
      <c r="AA15" s="32">
        <v>1</v>
      </c>
      <c r="AB15" s="32"/>
      <c r="AC15" s="24"/>
      <c r="AD15" s="25">
        <f t="shared" si="16"/>
        <v>0</v>
      </c>
      <c r="AE15" s="25">
        <f t="shared" si="9"/>
        <v>1</v>
      </c>
      <c r="AF15" s="25">
        <f t="shared" si="17"/>
        <v>0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>
        <v>1</v>
      </c>
      <c r="C16" s="32"/>
      <c r="D16" s="32"/>
      <c r="E16" s="24"/>
      <c r="F16" s="25">
        <f t="shared" si="12"/>
        <v>0</v>
      </c>
      <c r="G16" s="25">
        <f t="shared" si="1"/>
        <v>0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>
        <v>1</v>
      </c>
      <c r="O16" s="32"/>
      <c r="P16" s="32"/>
      <c r="Q16" s="24"/>
      <c r="R16" s="25">
        <f t="shared" si="14"/>
        <v>0</v>
      </c>
      <c r="S16" s="25">
        <f t="shared" si="5"/>
        <v>0</v>
      </c>
      <c r="T16" s="25">
        <f t="shared" si="15"/>
        <v>0</v>
      </c>
      <c r="U16" s="25">
        <f t="shared" si="7"/>
        <v>0</v>
      </c>
      <c r="V16" s="24"/>
      <c r="W16" s="107" t="s">
        <v>99</v>
      </c>
      <c r="Y16" s="25">
        <v>10</v>
      </c>
      <c r="Z16" s="32">
        <v>1</v>
      </c>
      <c r="AA16" s="32"/>
      <c r="AB16" s="32"/>
      <c r="AC16" s="24"/>
      <c r="AD16" s="25">
        <f t="shared" si="16"/>
        <v>0</v>
      </c>
      <c r="AE16" s="25">
        <f t="shared" si="9"/>
        <v>0</v>
      </c>
      <c r="AF16" s="25">
        <f t="shared" si="17"/>
        <v>0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>
        <v>1</v>
      </c>
      <c r="C17" s="32"/>
      <c r="D17" s="32"/>
      <c r="E17" s="24"/>
      <c r="F17" s="25">
        <f t="shared" si="12"/>
        <v>0</v>
      </c>
      <c r="G17" s="25">
        <f t="shared" si="1"/>
        <v>0</v>
      </c>
      <c r="H17" s="25">
        <f t="shared" si="13"/>
        <v>0</v>
      </c>
      <c r="I17" s="25">
        <f t="shared" si="3"/>
        <v>0</v>
      </c>
      <c r="J17" s="105">
        <f>I8+I16+I21+I27+I31</f>
        <v>0</v>
      </c>
      <c r="K17" s="108">
        <f>J17</f>
        <v>0</v>
      </c>
      <c r="M17" s="25">
        <v>11</v>
      </c>
      <c r="N17" s="32"/>
      <c r="O17" s="32"/>
      <c r="P17" s="32">
        <v>1</v>
      </c>
      <c r="Q17" s="24"/>
      <c r="R17" s="25">
        <f t="shared" si="14"/>
        <v>0</v>
      </c>
      <c r="S17" s="25">
        <f t="shared" si="5"/>
        <v>0</v>
      </c>
      <c r="T17" s="25">
        <f t="shared" si="15"/>
        <v>2</v>
      </c>
      <c r="U17" s="25">
        <f t="shared" si="7"/>
        <v>0</v>
      </c>
      <c r="V17" s="105">
        <f>U8+U16+U21+U27+U31</f>
        <v>0</v>
      </c>
      <c r="W17" s="108">
        <f>V17</f>
        <v>0</v>
      </c>
      <c r="Y17" s="25">
        <v>11</v>
      </c>
      <c r="Z17" s="32">
        <v>1</v>
      </c>
      <c r="AA17" s="32"/>
      <c r="AB17" s="32"/>
      <c r="AC17" s="24"/>
      <c r="AD17" s="25">
        <f t="shared" si="16"/>
        <v>0</v>
      </c>
      <c r="AE17" s="25">
        <f t="shared" si="9"/>
        <v>0</v>
      </c>
      <c r="AF17" s="25">
        <f t="shared" si="17"/>
        <v>0</v>
      </c>
      <c r="AG17" s="25">
        <f t="shared" si="11"/>
        <v>0</v>
      </c>
      <c r="AH17" s="105">
        <f>AG8+AG16+AG21+AG27+AG31</f>
        <v>0</v>
      </c>
      <c r="AI17" s="108">
        <f>AH17</f>
        <v>0</v>
      </c>
    </row>
    <row r="18" spans="1:35" ht="21" customHeight="1">
      <c r="A18" s="25">
        <v>12</v>
      </c>
      <c r="B18" s="32">
        <v>1</v>
      </c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>
        <v>1</v>
      </c>
      <c r="O18" s="32"/>
      <c r="P18" s="32"/>
      <c r="Q18" s="24"/>
      <c r="R18" s="25">
        <f t="shared" si="14"/>
        <v>0</v>
      </c>
      <c r="S18" s="25">
        <f t="shared" si="5"/>
        <v>0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>
        <v>1</v>
      </c>
      <c r="AA18" s="32"/>
      <c r="AB18" s="32"/>
      <c r="AC18" s="24"/>
      <c r="AD18" s="25">
        <f t="shared" si="16"/>
        <v>0</v>
      </c>
      <c r="AE18" s="25">
        <f t="shared" si="9"/>
        <v>0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/>
      <c r="C19" s="32"/>
      <c r="D19" s="32">
        <v>1</v>
      </c>
      <c r="E19" s="24"/>
      <c r="F19" s="25">
        <f t="shared" si="12"/>
        <v>0</v>
      </c>
      <c r="G19" s="25">
        <f t="shared" si="1"/>
        <v>0</v>
      </c>
      <c r="H19" s="25">
        <f t="shared" si="13"/>
        <v>2</v>
      </c>
      <c r="I19" s="25">
        <f t="shared" si="3"/>
        <v>0</v>
      </c>
      <c r="J19" s="24"/>
      <c r="K19" s="25"/>
      <c r="M19" s="25">
        <v>13</v>
      </c>
      <c r="N19" s="32">
        <v>1</v>
      </c>
      <c r="O19" s="32"/>
      <c r="P19" s="32"/>
      <c r="Q19" s="24"/>
      <c r="R19" s="25">
        <f t="shared" si="14"/>
        <v>0</v>
      </c>
      <c r="S19" s="25">
        <f t="shared" si="5"/>
        <v>0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/>
      <c r="AA19" s="32"/>
      <c r="AB19" s="32">
        <v>1</v>
      </c>
      <c r="AC19" s="24"/>
      <c r="AD19" s="25">
        <f t="shared" si="16"/>
        <v>0</v>
      </c>
      <c r="AE19" s="25">
        <f t="shared" si="9"/>
        <v>0</v>
      </c>
      <c r="AF19" s="25">
        <f t="shared" si="17"/>
        <v>2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/>
      <c r="C20" s="32"/>
      <c r="D20" s="32">
        <v>1</v>
      </c>
      <c r="E20" s="24"/>
      <c r="F20" s="25">
        <f>B20*2</f>
        <v>0</v>
      </c>
      <c r="G20" s="25">
        <f t="shared" si="1"/>
        <v>0</v>
      </c>
      <c r="H20" s="25">
        <f>D20*0</f>
        <v>0</v>
      </c>
      <c r="I20" s="25">
        <f t="shared" si="3"/>
        <v>0</v>
      </c>
      <c r="J20" s="24"/>
      <c r="K20" s="107" t="s">
        <v>100</v>
      </c>
      <c r="M20" s="25">
        <v>14</v>
      </c>
      <c r="N20" s="32"/>
      <c r="O20" s="32">
        <v>1</v>
      </c>
      <c r="P20" s="32"/>
      <c r="Q20" s="24"/>
      <c r="R20" s="25">
        <f>N20*2</f>
        <v>0</v>
      </c>
      <c r="S20" s="25">
        <f t="shared" si="5"/>
        <v>1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/>
      <c r="AA20" s="32"/>
      <c r="AB20" s="32">
        <v>1</v>
      </c>
      <c r="AC20" s="24"/>
      <c r="AD20" s="25">
        <f>Z20*2</f>
        <v>0</v>
      </c>
      <c r="AE20" s="25">
        <f t="shared" si="9"/>
        <v>0</v>
      </c>
      <c r="AF20" s="25">
        <f>AB20*0</f>
        <v>0</v>
      </c>
      <c r="AG20" s="25">
        <f t="shared" si="11"/>
        <v>0</v>
      </c>
      <c r="AH20" s="24"/>
      <c r="AI20" s="107" t="s">
        <v>100</v>
      </c>
    </row>
    <row r="21" spans="1:35" ht="21" customHeight="1">
      <c r="A21" s="25">
        <v>15</v>
      </c>
      <c r="B21" s="32"/>
      <c r="C21" s="32">
        <v>1</v>
      </c>
      <c r="D21" s="32"/>
      <c r="E21" s="24"/>
      <c r="F21" s="25">
        <f>B21*2</f>
        <v>0</v>
      </c>
      <c r="G21" s="25">
        <f t="shared" si="1"/>
        <v>1</v>
      </c>
      <c r="H21" s="25">
        <f>D21*0</f>
        <v>0</v>
      </c>
      <c r="I21" s="25">
        <f t="shared" si="3"/>
        <v>0</v>
      </c>
      <c r="J21" s="24"/>
      <c r="K21" s="107" t="s">
        <v>101</v>
      </c>
      <c r="M21" s="25">
        <v>15</v>
      </c>
      <c r="N21" s="32"/>
      <c r="O21" s="32">
        <v>1</v>
      </c>
      <c r="P21" s="32"/>
      <c r="Q21" s="24"/>
      <c r="R21" s="25">
        <f>N21*2</f>
        <v>0</v>
      </c>
      <c r="S21" s="25">
        <f t="shared" si="5"/>
        <v>1</v>
      </c>
      <c r="T21" s="25">
        <f>P21*0</f>
        <v>0</v>
      </c>
      <c r="U21" s="25">
        <f t="shared" si="7"/>
        <v>0</v>
      </c>
      <c r="V21" s="24"/>
      <c r="W21" s="107" t="s">
        <v>101</v>
      </c>
      <c r="Y21" s="25">
        <v>15</v>
      </c>
      <c r="Z21" s="32"/>
      <c r="AA21" s="32">
        <v>1</v>
      </c>
      <c r="AB21" s="32"/>
      <c r="AC21" s="24"/>
      <c r="AD21" s="25">
        <f>Z21*2</f>
        <v>0</v>
      </c>
      <c r="AE21" s="25">
        <f t="shared" si="9"/>
        <v>1</v>
      </c>
      <c r="AF21" s="25">
        <f>AB21*0</f>
        <v>0</v>
      </c>
      <c r="AG21" s="25">
        <f t="shared" si="11"/>
        <v>0</v>
      </c>
      <c r="AH21" s="24"/>
      <c r="AI21" s="107" t="s">
        <v>101</v>
      </c>
    </row>
    <row r="22" spans="1:35" ht="21" customHeight="1">
      <c r="A22" s="25">
        <v>16</v>
      </c>
      <c r="B22" s="32"/>
      <c r="C22" s="32">
        <v>1</v>
      </c>
      <c r="D22" s="32"/>
      <c r="E22" s="24"/>
      <c r="F22" s="25">
        <f>B22*0</f>
        <v>0</v>
      </c>
      <c r="G22" s="25">
        <f t="shared" si="1"/>
        <v>1</v>
      </c>
      <c r="H22" s="25">
        <f>D22*2</f>
        <v>0</v>
      </c>
      <c r="I22" s="25">
        <f t="shared" si="3"/>
        <v>0</v>
      </c>
      <c r="J22" s="105">
        <f>I12+I17+I20+I25+I29</f>
        <v>0</v>
      </c>
      <c r="K22" s="108">
        <f>J22</f>
        <v>0</v>
      </c>
      <c r="M22" s="25">
        <v>16</v>
      </c>
      <c r="N22" s="32"/>
      <c r="O22" s="32">
        <v>1</v>
      </c>
      <c r="P22" s="32"/>
      <c r="Q22" s="24"/>
      <c r="R22" s="25">
        <f>N22*0</f>
        <v>0</v>
      </c>
      <c r="S22" s="25">
        <f t="shared" si="5"/>
        <v>1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/>
      <c r="AA22" s="32">
        <v>1</v>
      </c>
      <c r="AB22" s="32"/>
      <c r="AC22" s="24"/>
      <c r="AD22" s="25">
        <f>Z22*0</f>
        <v>0</v>
      </c>
      <c r="AE22" s="25">
        <f t="shared" si="9"/>
        <v>1</v>
      </c>
      <c r="AF22" s="25">
        <f>AB22*2</f>
        <v>0</v>
      </c>
      <c r="AG22" s="25">
        <f t="shared" si="11"/>
        <v>0</v>
      </c>
      <c r="AH22" s="105">
        <f>AG12+AG17+AG20+AG25+AG29</f>
        <v>0</v>
      </c>
      <c r="AI22" s="108">
        <f>AH22</f>
        <v>0</v>
      </c>
    </row>
    <row r="23" spans="1:35" ht="21" customHeight="1">
      <c r="A23" s="25">
        <v>17</v>
      </c>
      <c r="B23" s="32"/>
      <c r="C23" s="32"/>
      <c r="D23" s="32">
        <v>1</v>
      </c>
      <c r="E23" s="24"/>
      <c r="F23" s="25">
        <f>B23*2</f>
        <v>0</v>
      </c>
      <c r="G23" s="25">
        <f t="shared" si="1"/>
        <v>0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/>
      <c r="O23" s="32">
        <v>1</v>
      </c>
      <c r="P23" s="32"/>
      <c r="Q23" s="24"/>
      <c r="R23" s="25">
        <f>N23*2</f>
        <v>0</v>
      </c>
      <c r="S23" s="25">
        <f t="shared" si="5"/>
        <v>1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/>
      <c r="AA23" s="32"/>
      <c r="AB23" s="32">
        <v>1</v>
      </c>
      <c r="AC23" s="24"/>
      <c r="AD23" s="25">
        <f>Z23*2</f>
        <v>0</v>
      </c>
      <c r="AE23" s="25">
        <f t="shared" si="9"/>
        <v>0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>
        <v>1</v>
      </c>
      <c r="C24" s="32"/>
      <c r="D24" s="32"/>
      <c r="E24" s="24"/>
      <c r="F24" s="25">
        <f>B24*2</f>
        <v>2</v>
      </c>
      <c r="G24" s="25">
        <f t="shared" si="1"/>
        <v>0</v>
      </c>
      <c r="H24" s="25">
        <f>D24*0</f>
        <v>0</v>
      </c>
      <c r="I24" s="25">
        <f t="shared" si="3"/>
        <v>2</v>
      </c>
      <c r="J24" s="24"/>
      <c r="K24" s="25"/>
      <c r="M24" s="25">
        <v>18</v>
      </c>
      <c r="N24" s="32">
        <v>1</v>
      </c>
      <c r="O24" s="32"/>
      <c r="P24" s="32"/>
      <c r="Q24" s="24"/>
      <c r="R24" s="25">
        <f>N24*2</f>
        <v>2</v>
      </c>
      <c r="S24" s="25">
        <f t="shared" si="5"/>
        <v>0</v>
      </c>
      <c r="T24" s="25">
        <f>P24*0</f>
        <v>0</v>
      </c>
      <c r="U24" s="25">
        <f t="shared" si="7"/>
        <v>2</v>
      </c>
      <c r="V24" s="24"/>
      <c r="W24" s="25"/>
      <c r="Y24" s="25">
        <v>18</v>
      </c>
      <c r="Z24" s="32">
        <v>1</v>
      </c>
      <c r="AA24" s="32"/>
      <c r="AB24" s="32"/>
      <c r="AC24" s="24"/>
      <c r="AD24" s="25">
        <f>Z24*2</f>
        <v>2</v>
      </c>
      <c r="AE24" s="25">
        <f t="shared" si="9"/>
        <v>0</v>
      </c>
      <c r="AF24" s="25">
        <f>AB24*0</f>
        <v>0</v>
      </c>
      <c r="AG24" s="25">
        <f t="shared" si="11"/>
        <v>2</v>
      </c>
      <c r="AH24" s="24"/>
      <c r="AI24" s="25"/>
    </row>
    <row r="25" spans="1:35" ht="21" customHeight="1">
      <c r="A25" s="25">
        <v>19</v>
      </c>
      <c r="B25" s="32"/>
      <c r="C25" s="32">
        <v>1</v>
      </c>
      <c r="D25" s="32"/>
      <c r="E25" s="24"/>
      <c r="F25" s="25">
        <f t="shared" ref="F25:F31" si="18">B25*0</f>
        <v>0</v>
      </c>
      <c r="G25" s="25">
        <f t="shared" si="1"/>
        <v>1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>
        <v>1</v>
      </c>
      <c r="O25" s="32"/>
      <c r="P25" s="32"/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/>
      <c r="AA25" s="32">
        <v>1</v>
      </c>
      <c r="AB25" s="32"/>
      <c r="AC25" s="24"/>
      <c r="AD25" s="25">
        <f t="shared" ref="AD25:AD31" si="22">Z25*0</f>
        <v>0</v>
      </c>
      <c r="AE25" s="25">
        <f t="shared" si="9"/>
        <v>1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/>
      <c r="D26" s="32">
        <v>1</v>
      </c>
      <c r="E26" s="24"/>
      <c r="F26" s="25">
        <f t="shared" si="18"/>
        <v>0</v>
      </c>
      <c r="G26" s="25">
        <f t="shared" si="1"/>
        <v>0</v>
      </c>
      <c r="H26" s="25">
        <f t="shared" si="19"/>
        <v>2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/>
      <c r="P26" s="32">
        <v>1</v>
      </c>
      <c r="Q26" s="24"/>
      <c r="R26" s="25">
        <f t="shared" si="20"/>
        <v>0</v>
      </c>
      <c r="S26" s="25">
        <f t="shared" si="5"/>
        <v>0</v>
      </c>
      <c r="T26" s="25">
        <f t="shared" si="21"/>
        <v>2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/>
      <c r="AB26" s="32">
        <v>1</v>
      </c>
      <c r="AC26" s="24"/>
      <c r="AD26" s="25">
        <f t="shared" si="22"/>
        <v>0</v>
      </c>
      <c r="AE26" s="25">
        <f t="shared" si="9"/>
        <v>0</v>
      </c>
      <c r="AF26" s="25">
        <f t="shared" si="23"/>
        <v>2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>
        <v>1</v>
      </c>
      <c r="D27" s="32"/>
      <c r="E27" s="24"/>
      <c r="F27" s="25">
        <f t="shared" si="18"/>
        <v>0</v>
      </c>
      <c r="G27" s="25">
        <f t="shared" si="1"/>
        <v>1</v>
      </c>
      <c r="H27" s="25">
        <f t="shared" si="19"/>
        <v>0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/>
      <c r="O27" s="32">
        <v>1</v>
      </c>
      <c r="P27" s="32"/>
      <c r="Q27" s="24"/>
      <c r="R27" s="25">
        <f t="shared" si="20"/>
        <v>0</v>
      </c>
      <c r="S27" s="25">
        <f t="shared" si="5"/>
        <v>1</v>
      </c>
      <c r="T27" s="25">
        <f t="shared" si="21"/>
        <v>0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/>
      <c r="AA27" s="32">
        <v>1</v>
      </c>
      <c r="AB27" s="32"/>
      <c r="AC27" s="24"/>
      <c r="AD27" s="25">
        <f t="shared" si="22"/>
        <v>0</v>
      </c>
      <c r="AE27" s="25">
        <f t="shared" si="9"/>
        <v>1</v>
      </c>
      <c r="AF27" s="25">
        <f t="shared" si="23"/>
        <v>0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>
        <v>1</v>
      </c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>
        <v>1</v>
      </c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>
        <v>1</v>
      </c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/>
      <c r="C29" s="32"/>
      <c r="D29" s="32">
        <v>1</v>
      </c>
      <c r="E29" s="24"/>
      <c r="F29" s="25">
        <f t="shared" si="18"/>
        <v>0</v>
      </c>
      <c r="G29" s="25">
        <f t="shared" si="1"/>
        <v>0</v>
      </c>
      <c r="H29" s="25">
        <f t="shared" si="19"/>
        <v>2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>
        <v>1</v>
      </c>
      <c r="P29" s="32"/>
      <c r="Q29" s="24"/>
      <c r="R29" s="25">
        <f t="shared" si="20"/>
        <v>0</v>
      </c>
      <c r="S29" s="25">
        <f t="shared" si="5"/>
        <v>1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/>
      <c r="AA29" s="32"/>
      <c r="AB29" s="32">
        <v>1</v>
      </c>
      <c r="AC29" s="24"/>
      <c r="AD29" s="25">
        <f t="shared" si="22"/>
        <v>0</v>
      </c>
      <c r="AE29" s="25">
        <f t="shared" si="9"/>
        <v>0</v>
      </c>
      <c r="AF29" s="25">
        <f t="shared" si="23"/>
        <v>2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/>
      <c r="C30" s="32">
        <v>1</v>
      </c>
      <c r="D30" s="32"/>
      <c r="E30" s="24"/>
      <c r="F30" s="25">
        <f t="shared" si="18"/>
        <v>0</v>
      </c>
      <c r="G30" s="25">
        <f t="shared" si="1"/>
        <v>1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>
        <v>1</v>
      </c>
      <c r="O30" s="32"/>
      <c r="P30" s="32"/>
      <c r="Q30" s="24"/>
      <c r="R30" s="25">
        <f t="shared" si="20"/>
        <v>0</v>
      </c>
      <c r="S30" s="25">
        <f t="shared" si="5"/>
        <v>0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/>
      <c r="AA30" s="32">
        <v>1</v>
      </c>
      <c r="AB30" s="32"/>
      <c r="AC30" s="24"/>
      <c r="AD30" s="25">
        <f t="shared" si="22"/>
        <v>0</v>
      </c>
      <c r="AE30" s="25">
        <f t="shared" si="9"/>
        <v>1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>
        <v>1</v>
      </c>
      <c r="D31" s="32"/>
      <c r="E31" s="24"/>
      <c r="F31" s="25">
        <f t="shared" si="18"/>
        <v>0</v>
      </c>
      <c r="G31" s="25">
        <f t="shared" si="1"/>
        <v>1</v>
      </c>
      <c r="H31" s="25">
        <f t="shared" si="19"/>
        <v>0</v>
      </c>
      <c r="I31" s="25">
        <f t="shared" si="3"/>
        <v>0</v>
      </c>
      <c r="J31" s="24"/>
      <c r="K31" s="108">
        <f>K7+K12+K17+K22</f>
        <v>2</v>
      </c>
      <c r="M31" s="25">
        <v>25</v>
      </c>
      <c r="N31" s="32"/>
      <c r="O31" s="32">
        <v>1</v>
      </c>
      <c r="P31" s="32"/>
      <c r="Q31" s="24"/>
      <c r="R31" s="25">
        <f t="shared" si="20"/>
        <v>0</v>
      </c>
      <c r="S31" s="25">
        <f t="shared" si="5"/>
        <v>1</v>
      </c>
      <c r="T31" s="25">
        <f t="shared" si="21"/>
        <v>0</v>
      </c>
      <c r="U31" s="25">
        <f t="shared" si="7"/>
        <v>0</v>
      </c>
      <c r="V31" s="24"/>
      <c r="W31" s="108">
        <f>W7+W12+W17+W22</f>
        <v>2</v>
      </c>
      <c r="Y31" s="25">
        <v>25</v>
      </c>
      <c r="Z31" s="32"/>
      <c r="AA31" s="32">
        <v>1</v>
      </c>
      <c r="AB31" s="32"/>
      <c r="AC31" s="24"/>
      <c r="AD31" s="25">
        <f t="shared" si="22"/>
        <v>0</v>
      </c>
      <c r="AE31" s="25">
        <f t="shared" si="9"/>
        <v>1</v>
      </c>
      <c r="AF31" s="25">
        <f t="shared" si="23"/>
        <v>0</v>
      </c>
      <c r="AG31" s="25">
        <f t="shared" si="11"/>
        <v>0</v>
      </c>
      <c r="AH31" s="24"/>
      <c r="AI31" s="108">
        <f>AI7+AI12+AI17+AI22</f>
        <v>2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7"/>
  </sheetPr>
  <dimension ref="A1:AI41"/>
  <sheetViews>
    <sheetView topLeftCell="X1" zoomScale="150" workbookViewId="0">
      <selection activeCell="AB31" sqref="AB31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 t="str">
        <f>รายชื่อ!B19</f>
        <v>เด็กหญิง</v>
      </c>
      <c r="C3" s="110" t="str">
        <f>รายชื่อ!C19</f>
        <v>ณัฐณิชา</v>
      </c>
      <c r="D3" s="110" t="str">
        <f>รายชื่อ!D19</f>
        <v>เจริญเรือง</v>
      </c>
      <c r="E3" s="60"/>
      <c r="F3" s="103"/>
      <c r="G3" s="165"/>
      <c r="H3" s="165"/>
      <c r="I3" s="165"/>
      <c r="J3" s="25"/>
      <c r="K3" s="106" t="s">
        <v>43</v>
      </c>
      <c r="M3" s="25" t="s">
        <v>85</v>
      </c>
      <c r="N3" s="110" t="str">
        <f>รายชื่อ!B19</f>
        <v>เด็กหญิง</v>
      </c>
      <c r="O3" s="110" t="str">
        <f>รายชื่อ!C19</f>
        <v>ณัฐณิชา</v>
      </c>
      <c r="P3" s="110" t="str">
        <f>รายชื่อ!D19</f>
        <v>เจริญเรือง</v>
      </c>
      <c r="Q3" s="60"/>
      <c r="R3" s="103"/>
      <c r="S3" s="165"/>
      <c r="T3" s="165"/>
      <c r="U3" s="165"/>
      <c r="V3" s="25"/>
      <c r="W3" s="106" t="s">
        <v>43</v>
      </c>
      <c r="Y3" s="25" t="s">
        <v>85</v>
      </c>
      <c r="Z3" s="110" t="str">
        <f>รายชื่อ!B19</f>
        <v>เด็กหญิง</v>
      </c>
      <c r="AA3" s="110" t="str">
        <f>รายชื่อ!C19</f>
        <v>ณัฐณิชา</v>
      </c>
      <c r="AB3" s="110" t="str">
        <f>รายชื่อ!D19</f>
        <v>เจริญเรือง</v>
      </c>
      <c r="AC3" s="60"/>
      <c r="AD3" s="103"/>
      <c r="AE3" s="165"/>
      <c r="AF3" s="165"/>
      <c r="AG3" s="165"/>
      <c r="AH3" s="25"/>
      <c r="AI3" s="106" t="s">
        <v>43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/>
      <c r="C7" s="32"/>
      <c r="D7" s="32">
        <v>1</v>
      </c>
      <c r="E7" s="24"/>
      <c r="F7" s="25">
        <f t="shared" ref="F7:F12" si="0">B7*0</f>
        <v>0</v>
      </c>
      <c r="G7" s="25">
        <f t="shared" ref="G7:G31" si="1">C7*1</f>
        <v>0</v>
      </c>
      <c r="H7" s="25">
        <f t="shared" ref="H7:H12" si="2">D7*2</f>
        <v>2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/>
      <c r="O7" s="32"/>
      <c r="P7" s="32">
        <v>1</v>
      </c>
      <c r="Q7" s="24"/>
      <c r="R7" s="25">
        <f t="shared" ref="R7:R12" si="4">N7*0</f>
        <v>0</v>
      </c>
      <c r="S7" s="25">
        <f t="shared" ref="S7:S31" si="5">O7*1</f>
        <v>0</v>
      </c>
      <c r="T7" s="25">
        <f t="shared" ref="T7:T12" si="6">P7*2</f>
        <v>2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/>
      <c r="AB7" s="32">
        <v>1</v>
      </c>
      <c r="AC7" s="24"/>
      <c r="AD7" s="25">
        <f t="shared" ref="AD7:AD12" si="8">Z7*0</f>
        <v>0</v>
      </c>
      <c r="AE7" s="25">
        <f t="shared" ref="AE7:AE31" si="9">AA7*1</f>
        <v>0</v>
      </c>
      <c r="AF7" s="25">
        <f t="shared" ref="AF7:AF12" si="10">AB7*2</f>
        <v>2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>
        <v>1</v>
      </c>
      <c r="C8" s="32"/>
      <c r="D8" s="32"/>
      <c r="E8" s="24"/>
      <c r="F8" s="25">
        <f t="shared" si="0"/>
        <v>0</v>
      </c>
      <c r="G8" s="25">
        <f t="shared" si="1"/>
        <v>0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>
        <v>1</v>
      </c>
      <c r="O8" s="32"/>
      <c r="P8" s="32"/>
      <c r="Q8" s="24"/>
      <c r="R8" s="25">
        <f t="shared" si="4"/>
        <v>0</v>
      </c>
      <c r="S8" s="25">
        <f t="shared" si="5"/>
        <v>0</v>
      </c>
      <c r="T8" s="25">
        <f t="shared" si="6"/>
        <v>0</v>
      </c>
      <c r="U8" s="25">
        <f t="shared" si="7"/>
        <v>0</v>
      </c>
      <c r="V8" s="24"/>
      <c r="W8" s="25"/>
      <c r="Y8" s="25">
        <v>2</v>
      </c>
      <c r="Z8" s="32">
        <v>1</v>
      </c>
      <c r="AA8" s="32"/>
      <c r="AB8" s="32"/>
      <c r="AC8" s="24"/>
      <c r="AD8" s="25">
        <f t="shared" si="8"/>
        <v>0</v>
      </c>
      <c r="AE8" s="25">
        <f t="shared" si="9"/>
        <v>0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/>
      <c r="C9" s="32">
        <v>1</v>
      </c>
      <c r="D9" s="32"/>
      <c r="E9" s="24"/>
      <c r="F9" s="25">
        <f t="shared" si="0"/>
        <v>0</v>
      </c>
      <c r="G9" s="25">
        <f t="shared" si="1"/>
        <v>1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>
        <v>1</v>
      </c>
      <c r="O9" s="32"/>
      <c r="P9" s="32"/>
      <c r="Q9" s="24"/>
      <c r="R9" s="25">
        <f t="shared" si="4"/>
        <v>0</v>
      </c>
      <c r="S9" s="25">
        <f t="shared" si="5"/>
        <v>0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/>
      <c r="AA9" s="32"/>
      <c r="AB9" s="32">
        <v>1</v>
      </c>
      <c r="AC9" s="24"/>
      <c r="AD9" s="25">
        <f t="shared" si="8"/>
        <v>0</v>
      </c>
      <c r="AE9" s="25">
        <f t="shared" si="9"/>
        <v>0</v>
      </c>
      <c r="AF9" s="25">
        <f t="shared" si="10"/>
        <v>2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>
        <v>1</v>
      </c>
      <c r="D10" s="32"/>
      <c r="E10" s="24"/>
      <c r="F10" s="25">
        <f t="shared" si="0"/>
        <v>0</v>
      </c>
      <c r="G10" s="25">
        <f t="shared" si="1"/>
        <v>1</v>
      </c>
      <c r="H10" s="25">
        <f t="shared" si="2"/>
        <v>0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>
        <v>1</v>
      </c>
      <c r="P10" s="32"/>
      <c r="Q10" s="24"/>
      <c r="R10" s="25">
        <f t="shared" si="4"/>
        <v>0</v>
      </c>
      <c r="S10" s="25">
        <f t="shared" si="5"/>
        <v>1</v>
      </c>
      <c r="T10" s="25">
        <f t="shared" si="6"/>
        <v>0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/>
      <c r="AB10" s="32">
        <v>1</v>
      </c>
      <c r="AC10" s="24"/>
      <c r="AD10" s="25">
        <f t="shared" si="8"/>
        <v>0</v>
      </c>
      <c r="AE10" s="25">
        <f t="shared" si="9"/>
        <v>0</v>
      </c>
      <c r="AF10" s="25">
        <f t="shared" si="10"/>
        <v>2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>
        <v>1</v>
      </c>
      <c r="C11" s="32"/>
      <c r="D11" s="32"/>
      <c r="E11" s="24"/>
      <c r="F11" s="25">
        <f t="shared" si="0"/>
        <v>0</v>
      </c>
      <c r="G11" s="25">
        <f t="shared" si="1"/>
        <v>0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>
        <v>1</v>
      </c>
      <c r="O11" s="32"/>
      <c r="P11" s="32"/>
      <c r="Q11" s="24"/>
      <c r="R11" s="25">
        <f t="shared" si="4"/>
        <v>0</v>
      </c>
      <c r="S11" s="25">
        <f t="shared" si="5"/>
        <v>0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>
        <v>1</v>
      </c>
      <c r="AA11" s="32"/>
      <c r="AB11" s="32"/>
      <c r="AC11" s="24"/>
      <c r="AD11" s="25">
        <f t="shared" si="8"/>
        <v>0</v>
      </c>
      <c r="AE11" s="25">
        <f t="shared" si="9"/>
        <v>0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/>
      <c r="C12" s="32">
        <v>1</v>
      </c>
      <c r="D12" s="32"/>
      <c r="E12" s="24"/>
      <c r="F12" s="25">
        <f t="shared" si="0"/>
        <v>0</v>
      </c>
      <c r="G12" s="25">
        <f t="shared" si="1"/>
        <v>1</v>
      </c>
      <c r="H12" s="25">
        <f t="shared" si="2"/>
        <v>0</v>
      </c>
      <c r="I12" s="25">
        <f t="shared" si="3"/>
        <v>0</v>
      </c>
      <c r="J12" s="105">
        <f>I11+I13+I18+I24+I28</f>
        <v>2</v>
      </c>
      <c r="K12" s="108">
        <f>J12</f>
        <v>2</v>
      </c>
      <c r="M12" s="25">
        <v>6</v>
      </c>
      <c r="N12" s="32"/>
      <c r="O12" s="32">
        <v>1</v>
      </c>
      <c r="P12" s="32"/>
      <c r="Q12" s="24"/>
      <c r="R12" s="25">
        <f t="shared" si="4"/>
        <v>0</v>
      </c>
      <c r="S12" s="25">
        <f t="shared" si="5"/>
        <v>1</v>
      </c>
      <c r="T12" s="25">
        <f t="shared" si="6"/>
        <v>0</v>
      </c>
      <c r="U12" s="25">
        <f t="shared" si="7"/>
        <v>0</v>
      </c>
      <c r="V12" s="105">
        <f>U11+U13+U18+U24+U28</f>
        <v>2</v>
      </c>
      <c r="W12" s="108">
        <f>V12</f>
        <v>2</v>
      </c>
      <c r="Y12" s="25">
        <v>6</v>
      </c>
      <c r="Z12" s="32"/>
      <c r="AA12" s="32">
        <v>1</v>
      </c>
      <c r="AB12" s="32"/>
      <c r="AC12" s="24"/>
      <c r="AD12" s="25">
        <f t="shared" si="8"/>
        <v>0</v>
      </c>
      <c r="AE12" s="25">
        <f t="shared" si="9"/>
        <v>1</v>
      </c>
      <c r="AF12" s="25">
        <f t="shared" si="10"/>
        <v>0</v>
      </c>
      <c r="AG12" s="25">
        <f t="shared" si="11"/>
        <v>0</v>
      </c>
      <c r="AH12" s="105">
        <f>AG11+AG13+AG18+AG24+AG28</f>
        <v>2</v>
      </c>
      <c r="AI12" s="108">
        <f>AH12</f>
        <v>2</v>
      </c>
    </row>
    <row r="13" spans="1:35" ht="21" customHeight="1">
      <c r="A13" s="25">
        <v>7</v>
      </c>
      <c r="B13" s="32"/>
      <c r="C13" s="32">
        <v>1</v>
      </c>
      <c r="D13" s="32"/>
      <c r="E13" s="24"/>
      <c r="F13" s="25">
        <f>B13*2</f>
        <v>0</v>
      </c>
      <c r="G13" s="25">
        <f t="shared" si="1"/>
        <v>1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>
        <v>1</v>
      </c>
      <c r="P13" s="32"/>
      <c r="Q13" s="24"/>
      <c r="R13" s="25">
        <f>N13*2</f>
        <v>0</v>
      </c>
      <c r="S13" s="25">
        <f t="shared" si="5"/>
        <v>1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/>
      <c r="AA13" s="32">
        <v>1</v>
      </c>
      <c r="AB13" s="32"/>
      <c r="AC13" s="24"/>
      <c r="AD13" s="25">
        <f>Z13*2</f>
        <v>0</v>
      </c>
      <c r="AE13" s="25">
        <f t="shared" si="9"/>
        <v>1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/>
      <c r="C14" s="32">
        <v>1</v>
      </c>
      <c r="D14" s="32"/>
      <c r="E14" s="24"/>
      <c r="F14" s="25">
        <f t="shared" ref="F14:F19" si="12">B14*0</f>
        <v>0</v>
      </c>
      <c r="G14" s="25">
        <f t="shared" si="1"/>
        <v>1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/>
      <c r="O14" s="32">
        <v>1</v>
      </c>
      <c r="P14" s="32"/>
      <c r="Q14" s="24"/>
      <c r="R14" s="25">
        <f t="shared" ref="R14:R19" si="14">N14*0</f>
        <v>0</v>
      </c>
      <c r="S14" s="25">
        <f t="shared" si="5"/>
        <v>1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>
        <v>1</v>
      </c>
      <c r="AA14" s="32"/>
      <c r="AB14" s="32"/>
      <c r="AC14" s="24"/>
      <c r="AD14" s="25">
        <f t="shared" ref="AD14:AD19" si="16">Z14*0</f>
        <v>0</v>
      </c>
      <c r="AE14" s="25">
        <f t="shared" si="9"/>
        <v>0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/>
      <c r="D15" s="32">
        <v>1</v>
      </c>
      <c r="E15" s="24"/>
      <c r="F15" s="25">
        <f t="shared" si="12"/>
        <v>0</v>
      </c>
      <c r="G15" s="25">
        <f t="shared" si="1"/>
        <v>0</v>
      </c>
      <c r="H15" s="25">
        <f t="shared" si="13"/>
        <v>2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>
        <v>1</v>
      </c>
      <c r="P15" s="32"/>
      <c r="Q15" s="24"/>
      <c r="R15" s="25">
        <f t="shared" si="14"/>
        <v>0</v>
      </c>
      <c r="S15" s="25">
        <f t="shared" si="5"/>
        <v>1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/>
      <c r="AA15" s="32">
        <v>1</v>
      </c>
      <c r="AB15" s="32"/>
      <c r="AC15" s="24"/>
      <c r="AD15" s="25">
        <f t="shared" si="16"/>
        <v>0</v>
      </c>
      <c r="AE15" s="25">
        <f t="shared" si="9"/>
        <v>1</v>
      </c>
      <c r="AF15" s="25">
        <f t="shared" si="17"/>
        <v>0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>
        <v>1</v>
      </c>
      <c r="C16" s="32"/>
      <c r="D16" s="32"/>
      <c r="E16" s="24"/>
      <c r="F16" s="25">
        <f t="shared" si="12"/>
        <v>0</v>
      </c>
      <c r="G16" s="25">
        <f t="shared" si="1"/>
        <v>0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>
        <v>1</v>
      </c>
      <c r="O16" s="32"/>
      <c r="P16" s="32"/>
      <c r="Q16" s="24"/>
      <c r="R16" s="25">
        <f t="shared" si="14"/>
        <v>0</v>
      </c>
      <c r="S16" s="25">
        <f t="shared" si="5"/>
        <v>0</v>
      </c>
      <c r="T16" s="25">
        <f t="shared" si="15"/>
        <v>0</v>
      </c>
      <c r="U16" s="25">
        <f t="shared" si="7"/>
        <v>0</v>
      </c>
      <c r="V16" s="24"/>
      <c r="W16" s="107" t="s">
        <v>99</v>
      </c>
      <c r="Y16" s="25">
        <v>10</v>
      </c>
      <c r="Z16" s="32">
        <v>1</v>
      </c>
      <c r="AA16" s="32"/>
      <c r="AB16" s="32"/>
      <c r="AC16" s="24"/>
      <c r="AD16" s="25">
        <f t="shared" si="16"/>
        <v>0</v>
      </c>
      <c r="AE16" s="25">
        <f t="shared" si="9"/>
        <v>0</v>
      </c>
      <c r="AF16" s="25">
        <f t="shared" si="17"/>
        <v>0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/>
      <c r="D17" s="32">
        <v>1</v>
      </c>
      <c r="E17" s="24"/>
      <c r="F17" s="25">
        <f t="shared" si="12"/>
        <v>0</v>
      </c>
      <c r="G17" s="25">
        <f t="shared" si="1"/>
        <v>0</v>
      </c>
      <c r="H17" s="25">
        <f t="shared" si="13"/>
        <v>2</v>
      </c>
      <c r="I17" s="25">
        <f t="shared" si="3"/>
        <v>0</v>
      </c>
      <c r="J17" s="105">
        <f>I8+I16+I21+I27+I31</f>
        <v>2</v>
      </c>
      <c r="K17" s="108">
        <f>J17</f>
        <v>2</v>
      </c>
      <c r="M17" s="25">
        <v>11</v>
      </c>
      <c r="N17" s="32"/>
      <c r="O17" s="32"/>
      <c r="P17" s="32">
        <v>1</v>
      </c>
      <c r="Q17" s="24"/>
      <c r="R17" s="25">
        <f t="shared" si="14"/>
        <v>0</v>
      </c>
      <c r="S17" s="25">
        <f t="shared" si="5"/>
        <v>0</v>
      </c>
      <c r="T17" s="25">
        <f t="shared" si="15"/>
        <v>2</v>
      </c>
      <c r="U17" s="25">
        <f t="shared" si="7"/>
        <v>0</v>
      </c>
      <c r="V17" s="105">
        <f>U8+U16+U21+U27+U31</f>
        <v>2</v>
      </c>
      <c r="W17" s="108">
        <f>V17</f>
        <v>2</v>
      </c>
      <c r="Y17" s="25">
        <v>11</v>
      </c>
      <c r="Z17" s="32"/>
      <c r="AA17" s="32"/>
      <c r="AB17" s="32">
        <v>1</v>
      </c>
      <c r="AC17" s="24"/>
      <c r="AD17" s="25">
        <f t="shared" si="16"/>
        <v>0</v>
      </c>
      <c r="AE17" s="25">
        <f t="shared" si="9"/>
        <v>0</v>
      </c>
      <c r="AF17" s="25">
        <f t="shared" si="17"/>
        <v>2</v>
      </c>
      <c r="AG17" s="25">
        <f t="shared" si="11"/>
        <v>0</v>
      </c>
      <c r="AH17" s="105">
        <f>AG8+AG16+AG21+AG27+AG31</f>
        <v>2</v>
      </c>
      <c r="AI17" s="108">
        <f>AH17</f>
        <v>2</v>
      </c>
    </row>
    <row r="18" spans="1:35" ht="21" customHeight="1">
      <c r="A18" s="25">
        <v>12</v>
      </c>
      <c r="B18" s="32">
        <v>1</v>
      </c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>
        <v>1</v>
      </c>
      <c r="O18" s="32"/>
      <c r="P18" s="32"/>
      <c r="Q18" s="24"/>
      <c r="R18" s="25">
        <f t="shared" si="14"/>
        <v>0</v>
      </c>
      <c r="S18" s="25">
        <f t="shared" si="5"/>
        <v>0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>
        <v>1</v>
      </c>
      <c r="AA18" s="32"/>
      <c r="AB18" s="32"/>
      <c r="AC18" s="24"/>
      <c r="AD18" s="25">
        <f t="shared" si="16"/>
        <v>0</v>
      </c>
      <c r="AE18" s="25">
        <f t="shared" si="9"/>
        <v>0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/>
      <c r="C19" s="32">
        <v>1</v>
      </c>
      <c r="D19" s="32"/>
      <c r="E19" s="24"/>
      <c r="F19" s="25">
        <f t="shared" si="12"/>
        <v>0</v>
      </c>
      <c r="G19" s="25">
        <f t="shared" si="1"/>
        <v>1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>
        <v>1</v>
      </c>
      <c r="O19" s="32"/>
      <c r="P19" s="32"/>
      <c r="Q19" s="24"/>
      <c r="R19" s="25">
        <f t="shared" si="14"/>
        <v>0</v>
      </c>
      <c r="S19" s="25">
        <f t="shared" si="5"/>
        <v>0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/>
      <c r="AA19" s="32">
        <v>1</v>
      </c>
      <c r="AB19" s="32"/>
      <c r="AC19" s="24"/>
      <c r="AD19" s="25">
        <f t="shared" si="16"/>
        <v>0</v>
      </c>
      <c r="AE19" s="25">
        <f t="shared" si="9"/>
        <v>1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/>
      <c r="C20" s="32">
        <v>1</v>
      </c>
      <c r="D20" s="32"/>
      <c r="E20" s="24"/>
      <c r="F20" s="25">
        <f>B20*2</f>
        <v>0</v>
      </c>
      <c r="G20" s="25">
        <f t="shared" si="1"/>
        <v>1</v>
      </c>
      <c r="H20" s="25">
        <f>D20*0</f>
        <v>0</v>
      </c>
      <c r="I20" s="25">
        <f t="shared" si="3"/>
        <v>0</v>
      </c>
      <c r="J20" s="24"/>
      <c r="K20" s="107" t="s">
        <v>100</v>
      </c>
      <c r="M20" s="25">
        <v>14</v>
      </c>
      <c r="N20" s="32"/>
      <c r="O20" s="32">
        <v>1</v>
      </c>
      <c r="P20" s="32"/>
      <c r="Q20" s="24"/>
      <c r="R20" s="25">
        <f>N20*2</f>
        <v>0</v>
      </c>
      <c r="S20" s="25">
        <f t="shared" si="5"/>
        <v>1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/>
      <c r="AA20" s="32"/>
      <c r="AB20" s="32">
        <v>1</v>
      </c>
      <c r="AC20" s="24"/>
      <c r="AD20" s="25">
        <f>Z20*2</f>
        <v>0</v>
      </c>
      <c r="AE20" s="25">
        <f t="shared" si="9"/>
        <v>0</v>
      </c>
      <c r="AF20" s="25">
        <f>AB20*0</f>
        <v>0</v>
      </c>
      <c r="AG20" s="25">
        <f t="shared" si="11"/>
        <v>0</v>
      </c>
      <c r="AH20" s="24"/>
      <c r="AI20" s="107" t="s">
        <v>100</v>
      </c>
    </row>
    <row r="21" spans="1:35" ht="21" customHeight="1">
      <c r="A21" s="25">
        <v>15</v>
      </c>
      <c r="B21" s="32">
        <v>1</v>
      </c>
      <c r="C21" s="32"/>
      <c r="D21" s="32"/>
      <c r="E21" s="24"/>
      <c r="F21" s="25">
        <f>B21*2</f>
        <v>2</v>
      </c>
      <c r="G21" s="25">
        <f t="shared" si="1"/>
        <v>0</v>
      </c>
      <c r="H21" s="25">
        <f>D21*0</f>
        <v>0</v>
      </c>
      <c r="I21" s="25">
        <f t="shared" si="3"/>
        <v>2</v>
      </c>
      <c r="J21" s="24"/>
      <c r="K21" s="107" t="s">
        <v>101</v>
      </c>
      <c r="M21" s="25">
        <v>15</v>
      </c>
      <c r="N21" s="32">
        <v>1</v>
      </c>
      <c r="O21" s="32"/>
      <c r="P21" s="32"/>
      <c r="Q21" s="24"/>
      <c r="R21" s="25">
        <f>N21*2</f>
        <v>2</v>
      </c>
      <c r="S21" s="25">
        <f t="shared" si="5"/>
        <v>0</v>
      </c>
      <c r="T21" s="25">
        <f>P21*0</f>
        <v>0</v>
      </c>
      <c r="U21" s="25">
        <f t="shared" si="7"/>
        <v>2</v>
      </c>
      <c r="V21" s="24"/>
      <c r="W21" s="107" t="s">
        <v>101</v>
      </c>
      <c r="Y21" s="25">
        <v>15</v>
      </c>
      <c r="Z21" s="32">
        <v>1</v>
      </c>
      <c r="AA21" s="32"/>
      <c r="AB21" s="32"/>
      <c r="AC21" s="24"/>
      <c r="AD21" s="25">
        <f>Z21*2</f>
        <v>2</v>
      </c>
      <c r="AE21" s="25">
        <f t="shared" si="9"/>
        <v>0</v>
      </c>
      <c r="AF21" s="25">
        <f>AB21*0</f>
        <v>0</v>
      </c>
      <c r="AG21" s="25">
        <f t="shared" si="11"/>
        <v>2</v>
      </c>
      <c r="AH21" s="24"/>
      <c r="AI21" s="107" t="s">
        <v>101</v>
      </c>
    </row>
    <row r="22" spans="1:35" ht="21" customHeight="1">
      <c r="A22" s="25">
        <v>16</v>
      </c>
      <c r="B22" s="32">
        <v>1</v>
      </c>
      <c r="C22" s="32"/>
      <c r="D22" s="32"/>
      <c r="E22" s="24"/>
      <c r="F22" s="25">
        <f>B22*0</f>
        <v>0</v>
      </c>
      <c r="G22" s="25">
        <f t="shared" si="1"/>
        <v>0</v>
      </c>
      <c r="H22" s="25">
        <f>D22*2</f>
        <v>0</v>
      </c>
      <c r="I22" s="25">
        <f t="shared" si="3"/>
        <v>0</v>
      </c>
      <c r="J22" s="105">
        <f>I12+I17+I20+I25+I29</f>
        <v>0</v>
      </c>
      <c r="K22" s="108">
        <f>J22</f>
        <v>0</v>
      </c>
      <c r="M22" s="25">
        <v>16</v>
      </c>
      <c r="N22" s="32"/>
      <c r="O22" s="32">
        <v>1</v>
      </c>
      <c r="P22" s="32"/>
      <c r="Q22" s="24"/>
      <c r="R22" s="25">
        <f>N22*0</f>
        <v>0</v>
      </c>
      <c r="S22" s="25">
        <f t="shared" si="5"/>
        <v>1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>
        <v>1</v>
      </c>
      <c r="AA22" s="32"/>
      <c r="AB22" s="32"/>
      <c r="AC22" s="24"/>
      <c r="AD22" s="25">
        <f>Z22*0</f>
        <v>0</v>
      </c>
      <c r="AE22" s="25">
        <f t="shared" si="9"/>
        <v>0</v>
      </c>
      <c r="AF22" s="25">
        <f>AB22*2</f>
        <v>0</v>
      </c>
      <c r="AG22" s="25">
        <f t="shared" si="11"/>
        <v>0</v>
      </c>
      <c r="AH22" s="105">
        <f>AG12+AG17+AG20+AG25+AG29</f>
        <v>0</v>
      </c>
      <c r="AI22" s="108">
        <f>AH22</f>
        <v>0</v>
      </c>
    </row>
    <row r="23" spans="1:35" ht="21" customHeight="1">
      <c r="A23" s="25">
        <v>17</v>
      </c>
      <c r="B23" s="32"/>
      <c r="C23" s="32">
        <v>1</v>
      </c>
      <c r="D23" s="32"/>
      <c r="E23" s="24"/>
      <c r="F23" s="25">
        <f>B23*2</f>
        <v>0</v>
      </c>
      <c r="G23" s="25">
        <f t="shared" si="1"/>
        <v>1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/>
      <c r="O23" s="32">
        <v>1</v>
      </c>
      <c r="P23" s="32"/>
      <c r="Q23" s="24"/>
      <c r="R23" s="25">
        <f>N23*2</f>
        <v>0</v>
      </c>
      <c r="S23" s="25">
        <f t="shared" si="5"/>
        <v>1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/>
      <c r="AA23" s="32"/>
      <c r="AB23" s="32">
        <v>1</v>
      </c>
      <c r="AC23" s="24"/>
      <c r="AD23" s="25">
        <f>Z23*2</f>
        <v>0</v>
      </c>
      <c r="AE23" s="25">
        <f t="shared" si="9"/>
        <v>0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>
        <v>1</v>
      </c>
      <c r="C24" s="32"/>
      <c r="D24" s="32"/>
      <c r="E24" s="24"/>
      <c r="F24" s="25">
        <f>B24*2</f>
        <v>2</v>
      </c>
      <c r="G24" s="25">
        <f t="shared" si="1"/>
        <v>0</v>
      </c>
      <c r="H24" s="25">
        <f>D24*0</f>
        <v>0</v>
      </c>
      <c r="I24" s="25">
        <f t="shared" si="3"/>
        <v>2</v>
      </c>
      <c r="J24" s="24"/>
      <c r="K24" s="25"/>
      <c r="M24" s="25">
        <v>18</v>
      </c>
      <c r="N24" s="32">
        <v>1</v>
      </c>
      <c r="O24" s="32"/>
      <c r="P24" s="32"/>
      <c r="Q24" s="24"/>
      <c r="R24" s="25">
        <f>N24*2</f>
        <v>2</v>
      </c>
      <c r="S24" s="25">
        <f t="shared" si="5"/>
        <v>0</v>
      </c>
      <c r="T24" s="25">
        <f>P24*0</f>
        <v>0</v>
      </c>
      <c r="U24" s="25">
        <f t="shared" si="7"/>
        <v>2</v>
      </c>
      <c r="V24" s="24"/>
      <c r="W24" s="25"/>
      <c r="Y24" s="25">
        <v>18</v>
      </c>
      <c r="Z24" s="32">
        <v>1</v>
      </c>
      <c r="AA24" s="32"/>
      <c r="AB24" s="32"/>
      <c r="AC24" s="24"/>
      <c r="AD24" s="25">
        <f>Z24*2</f>
        <v>2</v>
      </c>
      <c r="AE24" s="25">
        <f t="shared" si="9"/>
        <v>0</v>
      </c>
      <c r="AF24" s="25">
        <f>AB24*0</f>
        <v>0</v>
      </c>
      <c r="AG24" s="25">
        <f t="shared" si="11"/>
        <v>2</v>
      </c>
      <c r="AH24" s="24"/>
      <c r="AI24" s="25"/>
    </row>
    <row r="25" spans="1:35" ht="21" customHeight="1">
      <c r="A25" s="25">
        <v>19</v>
      </c>
      <c r="B25" s="32">
        <v>1</v>
      </c>
      <c r="C25" s="32"/>
      <c r="D25" s="32"/>
      <c r="E25" s="24"/>
      <c r="F25" s="25">
        <f t="shared" ref="F25:F31" si="18">B25*0</f>
        <v>0</v>
      </c>
      <c r="G25" s="25">
        <f t="shared" si="1"/>
        <v>0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>
        <v>1</v>
      </c>
      <c r="O25" s="32"/>
      <c r="P25" s="32"/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>
        <v>1</v>
      </c>
      <c r="AA25" s="32"/>
      <c r="AB25" s="32"/>
      <c r="AC25" s="24"/>
      <c r="AD25" s="25">
        <f t="shared" ref="AD25:AD31" si="22">Z25*0</f>
        <v>0</v>
      </c>
      <c r="AE25" s="25">
        <f t="shared" si="9"/>
        <v>0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>
        <v>1</v>
      </c>
      <c r="D26" s="32"/>
      <c r="E26" s="24"/>
      <c r="F26" s="25">
        <f t="shared" si="18"/>
        <v>0</v>
      </c>
      <c r="G26" s="25">
        <f t="shared" si="1"/>
        <v>1</v>
      </c>
      <c r="H26" s="25">
        <f t="shared" si="19"/>
        <v>0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>
        <v>1</v>
      </c>
      <c r="P26" s="32"/>
      <c r="Q26" s="24"/>
      <c r="R26" s="25">
        <f t="shared" si="20"/>
        <v>0</v>
      </c>
      <c r="S26" s="25">
        <f t="shared" si="5"/>
        <v>1</v>
      </c>
      <c r="T26" s="25">
        <f t="shared" si="21"/>
        <v>0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>
        <v>1</v>
      </c>
      <c r="AB26" s="32"/>
      <c r="AC26" s="24"/>
      <c r="AD26" s="25">
        <f t="shared" si="22"/>
        <v>0</v>
      </c>
      <c r="AE26" s="25">
        <f t="shared" si="9"/>
        <v>1</v>
      </c>
      <c r="AF26" s="25">
        <f t="shared" si="23"/>
        <v>0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>
        <v>1</v>
      </c>
      <c r="D27" s="32"/>
      <c r="E27" s="24"/>
      <c r="F27" s="25">
        <f t="shared" si="18"/>
        <v>0</v>
      </c>
      <c r="G27" s="25">
        <f t="shared" si="1"/>
        <v>1</v>
      </c>
      <c r="H27" s="25">
        <f t="shared" si="19"/>
        <v>0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/>
      <c r="O27" s="32">
        <v>1</v>
      </c>
      <c r="P27" s="32"/>
      <c r="Q27" s="24"/>
      <c r="R27" s="25">
        <f t="shared" si="20"/>
        <v>0</v>
      </c>
      <c r="S27" s="25">
        <f t="shared" si="5"/>
        <v>1</v>
      </c>
      <c r="T27" s="25">
        <f t="shared" si="21"/>
        <v>0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/>
      <c r="AA27" s="32">
        <v>1</v>
      </c>
      <c r="AB27" s="32"/>
      <c r="AC27" s="24"/>
      <c r="AD27" s="25">
        <f t="shared" si="22"/>
        <v>0</v>
      </c>
      <c r="AE27" s="25">
        <f t="shared" si="9"/>
        <v>1</v>
      </c>
      <c r="AF27" s="25">
        <f t="shared" si="23"/>
        <v>0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>
        <v>1</v>
      </c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>
        <v>1</v>
      </c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>
        <v>1</v>
      </c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>
        <v>1</v>
      </c>
      <c r="C29" s="32"/>
      <c r="D29" s="32"/>
      <c r="E29" s="24"/>
      <c r="F29" s="25">
        <f t="shared" si="18"/>
        <v>0</v>
      </c>
      <c r="G29" s="25">
        <f t="shared" si="1"/>
        <v>0</v>
      </c>
      <c r="H29" s="25">
        <f t="shared" si="19"/>
        <v>0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>
        <v>1</v>
      </c>
      <c r="P29" s="32"/>
      <c r="Q29" s="24"/>
      <c r="R29" s="25">
        <f t="shared" si="20"/>
        <v>0</v>
      </c>
      <c r="S29" s="25">
        <f t="shared" si="5"/>
        <v>1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>
        <v>1</v>
      </c>
      <c r="AA29" s="32"/>
      <c r="AB29" s="32"/>
      <c r="AC29" s="24"/>
      <c r="AD29" s="25">
        <f t="shared" si="22"/>
        <v>0</v>
      </c>
      <c r="AE29" s="25">
        <f t="shared" si="9"/>
        <v>0</v>
      </c>
      <c r="AF29" s="25">
        <f t="shared" si="23"/>
        <v>0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/>
      <c r="C30" s="32">
        <v>1</v>
      </c>
      <c r="D30" s="32"/>
      <c r="E30" s="24"/>
      <c r="F30" s="25">
        <f t="shared" si="18"/>
        <v>0</v>
      </c>
      <c r="G30" s="25">
        <f t="shared" si="1"/>
        <v>1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/>
      <c r="O30" s="32">
        <v>1</v>
      </c>
      <c r="P30" s="32"/>
      <c r="Q30" s="24"/>
      <c r="R30" s="25">
        <f t="shared" si="20"/>
        <v>0</v>
      </c>
      <c r="S30" s="25">
        <f t="shared" si="5"/>
        <v>1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/>
      <c r="AA30" s="32">
        <v>1</v>
      </c>
      <c r="AB30" s="32"/>
      <c r="AC30" s="24"/>
      <c r="AD30" s="25">
        <f t="shared" si="22"/>
        <v>0</v>
      </c>
      <c r="AE30" s="25">
        <f t="shared" si="9"/>
        <v>1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>
        <v>1</v>
      </c>
      <c r="D31" s="32"/>
      <c r="E31" s="24"/>
      <c r="F31" s="25">
        <f t="shared" si="18"/>
        <v>0</v>
      </c>
      <c r="G31" s="25">
        <f t="shared" si="1"/>
        <v>1</v>
      </c>
      <c r="H31" s="25">
        <f t="shared" si="19"/>
        <v>0</v>
      </c>
      <c r="I31" s="25">
        <f t="shared" si="3"/>
        <v>0</v>
      </c>
      <c r="J31" s="24"/>
      <c r="K31" s="108">
        <f>K7+K12+K17+K22</f>
        <v>4</v>
      </c>
      <c r="M31" s="25">
        <v>25</v>
      </c>
      <c r="N31" s="32"/>
      <c r="O31" s="32">
        <v>1</v>
      </c>
      <c r="P31" s="32"/>
      <c r="Q31" s="24"/>
      <c r="R31" s="25">
        <f t="shared" si="20"/>
        <v>0</v>
      </c>
      <c r="S31" s="25">
        <f t="shared" si="5"/>
        <v>1</v>
      </c>
      <c r="T31" s="25">
        <f t="shared" si="21"/>
        <v>0</v>
      </c>
      <c r="U31" s="25">
        <f t="shared" si="7"/>
        <v>0</v>
      </c>
      <c r="V31" s="24"/>
      <c r="W31" s="108">
        <f>W7+W12+W17+W22</f>
        <v>4</v>
      </c>
      <c r="Y31" s="25">
        <v>25</v>
      </c>
      <c r="Z31" s="32"/>
      <c r="AA31" s="32">
        <v>1</v>
      </c>
      <c r="AB31" s="32"/>
      <c r="AC31" s="24"/>
      <c r="AD31" s="25">
        <f t="shared" si="22"/>
        <v>0</v>
      </c>
      <c r="AE31" s="25">
        <f t="shared" si="9"/>
        <v>1</v>
      </c>
      <c r="AF31" s="25">
        <f t="shared" si="23"/>
        <v>0</v>
      </c>
      <c r="AG31" s="25">
        <f t="shared" si="11"/>
        <v>0</v>
      </c>
      <c r="AH31" s="24"/>
      <c r="AI31" s="108">
        <f>AI7+AI12+AI17+AI22</f>
        <v>4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7"/>
  </sheetPr>
  <dimension ref="A1:AI41"/>
  <sheetViews>
    <sheetView topLeftCell="Q1" zoomScale="150" workbookViewId="0">
      <selection activeCell="AB31" sqref="AB31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 t="str">
        <f>รายชื่อ!B20</f>
        <v>เด็กหญิง</v>
      </c>
      <c r="C3" s="110" t="str">
        <f>รายชื่อ!C20</f>
        <v>ธนัญภรณ์</v>
      </c>
      <c r="D3" s="110" t="str">
        <f>รายชื่อ!D20</f>
        <v>คำปลิว</v>
      </c>
      <c r="E3" s="60"/>
      <c r="F3" s="103"/>
      <c r="G3" s="165"/>
      <c r="H3" s="165"/>
      <c r="I3" s="165"/>
      <c r="J3" s="25"/>
      <c r="K3" s="106" t="s">
        <v>45</v>
      </c>
      <c r="M3" s="25" t="s">
        <v>85</v>
      </c>
      <c r="N3" s="110" t="str">
        <f>รายชื่อ!B20</f>
        <v>เด็กหญิง</v>
      </c>
      <c r="O3" s="110" t="str">
        <f>รายชื่อ!C20</f>
        <v>ธนัญภรณ์</v>
      </c>
      <c r="P3" s="110" t="str">
        <f>รายชื่อ!D20</f>
        <v>คำปลิว</v>
      </c>
      <c r="Q3" s="60"/>
      <c r="R3" s="103"/>
      <c r="S3" s="165"/>
      <c r="T3" s="165"/>
      <c r="U3" s="165"/>
      <c r="V3" s="25"/>
      <c r="W3" s="106" t="s">
        <v>45</v>
      </c>
      <c r="Y3" s="25" t="s">
        <v>85</v>
      </c>
      <c r="Z3" s="110" t="str">
        <f>รายชื่อ!B20</f>
        <v>เด็กหญิง</v>
      </c>
      <c r="AA3" s="110" t="str">
        <f>รายชื่อ!C20</f>
        <v>ธนัญภรณ์</v>
      </c>
      <c r="AB3" s="110" t="str">
        <f>รายชื่อ!D20</f>
        <v>คำปลิว</v>
      </c>
      <c r="AC3" s="60"/>
      <c r="AD3" s="103"/>
      <c r="AE3" s="165"/>
      <c r="AF3" s="165"/>
      <c r="AG3" s="165"/>
      <c r="AH3" s="25"/>
      <c r="AI3" s="106" t="s">
        <v>45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/>
      <c r="C7" s="32">
        <v>1</v>
      </c>
      <c r="D7" s="32"/>
      <c r="E7" s="24"/>
      <c r="F7" s="25">
        <f t="shared" ref="F7:F12" si="0">B7*0</f>
        <v>0</v>
      </c>
      <c r="G7" s="25">
        <f t="shared" ref="G7:G31" si="1">C7*1</f>
        <v>1</v>
      </c>
      <c r="H7" s="25">
        <f t="shared" ref="H7:H12" si="2">D7*2</f>
        <v>0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/>
      <c r="O7" s="32">
        <v>1</v>
      </c>
      <c r="P7" s="32"/>
      <c r="Q7" s="24"/>
      <c r="R7" s="25">
        <f t="shared" ref="R7:R12" si="4">N7*0</f>
        <v>0</v>
      </c>
      <c r="S7" s="25">
        <f t="shared" ref="S7:S31" si="5">O7*1</f>
        <v>1</v>
      </c>
      <c r="T7" s="25">
        <f t="shared" ref="T7:T12" si="6">P7*2</f>
        <v>0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>
        <v>1</v>
      </c>
      <c r="AB7" s="32"/>
      <c r="AC7" s="24"/>
      <c r="AD7" s="25">
        <f t="shared" ref="AD7:AD12" si="8">Z7*0</f>
        <v>0</v>
      </c>
      <c r="AE7" s="25">
        <f t="shared" ref="AE7:AE31" si="9">AA7*1</f>
        <v>1</v>
      </c>
      <c r="AF7" s="25">
        <f t="shared" ref="AF7:AF12" si="10">AB7*2</f>
        <v>0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>
        <v>1</v>
      </c>
      <c r="C8" s="32"/>
      <c r="D8" s="32"/>
      <c r="E8" s="24"/>
      <c r="F8" s="25">
        <f t="shared" si="0"/>
        <v>0</v>
      </c>
      <c r="G8" s="25">
        <f t="shared" si="1"/>
        <v>0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>
        <v>1</v>
      </c>
      <c r="O8" s="32"/>
      <c r="P8" s="32"/>
      <c r="Q8" s="24"/>
      <c r="R8" s="25">
        <f t="shared" si="4"/>
        <v>0</v>
      </c>
      <c r="S8" s="25">
        <f t="shared" si="5"/>
        <v>0</v>
      </c>
      <c r="T8" s="25">
        <f t="shared" si="6"/>
        <v>0</v>
      </c>
      <c r="U8" s="25">
        <f t="shared" si="7"/>
        <v>0</v>
      </c>
      <c r="V8" s="24"/>
      <c r="W8" s="25"/>
      <c r="Y8" s="25">
        <v>2</v>
      </c>
      <c r="Z8" s="32">
        <v>1</v>
      </c>
      <c r="AA8" s="32"/>
      <c r="AB8" s="32"/>
      <c r="AC8" s="24"/>
      <c r="AD8" s="25">
        <f t="shared" si="8"/>
        <v>0</v>
      </c>
      <c r="AE8" s="25">
        <f t="shared" si="9"/>
        <v>0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>
        <v>1</v>
      </c>
      <c r="C9" s="32"/>
      <c r="D9" s="32"/>
      <c r="E9" s="24"/>
      <c r="F9" s="25">
        <f t="shared" si="0"/>
        <v>0</v>
      </c>
      <c r="G9" s="25">
        <f t="shared" si="1"/>
        <v>0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>
        <v>1</v>
      </c>
      <c r="O9" s="32"/>
      <c r="P9" s="32"/>
      <c r="Q9" s="24"/>
      <c r="R9" s="25">
        <f t="shared" si="4"/>
        <v>0</v>
      </c>
      <c r="S9" s="25">
        <f t="shared" si="5"/>
        <v>0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>
        <v>1</v>
      </c>
      <c r="AA9" s="32"/>
      <c r="AB9" s="32"/>
      <c r="AC9" s="24"/>
      <c r="AD9" s="25">
        <f t="shared" si="8"/>
        <v>0</v>
      </c>
      <c r="AE9" s="25">
        <f t="shared" si="9"/>
        <v>0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>
        <v>1</v>
      </c>
      <c r="D10" s="32"/>
      <c r="E10" s="24"/>
      <c r="F10" s="25">
        <f t="shared" si="0"/>
        <v>0</v>
      </c>
      <c r="G10" s="25">
        <f t="shared" si="1"/>
        <v>1</v>
      </c>
      <c r="H10" s="25">
        <f t="shared" si="2"/>
        <v>0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>
        <v>1</v>
      </c>
      <c r="P10" s="32"/>
      <c r="Q10" s="24"/>
      <c r="R10" s="25">
        <f t="shared" si="4"/>
        <v>0</v>
      </c>
      <c r="S10" s="25">
        <f t="shared" si="5"/>
        <v>1</v>
      </c>
      <c r="T10" s="25">
        <f t="shared" si="6"/>
        <v>0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>
        <v>1</v>
      </c>
      <c r="AB10" s="32"/>
      <c r="AC10" s="24"/>
      <c r="AD10" s="25">
        <f t="shared" si="8"/>
        <v>0</v>
      </c>
      <c r="AE10" s="25">
        <f t="shared" si="9"/>
        <v>1</v>
      </c>
      <c r="AF10" s="25">
        <f t="shared" si="10"/>
        <v>0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>
        <v>1</v>
      </c>
      <c r="C11" s="32"/>
      <c r="D11" s="32"/>
      <c r="E11" s="24"/>
      <c r="F11" s="25">
        <f t="shared" si="0"/>
        <v>0</v>
      </c>
      <c r="G11" s="25">
        <f t="shared" si="1"/>
        <v>0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>
        <v>1</v>
      </c>
      <c r="O11" s="32"/>
      <c r="P11" s="32"/>
      <c r="Q11" s="24"/>
      <c r="R11" s="25">
        <f t="shared" si="4"/>
        <v>0</v>
      </c>
      <c r="S11" s="25">
        <f t="shared" si="5"/>
        <v>0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>
        <v>1</v>
      </c>
      <c r="AA11" s="32"/>
      <c r="AB11" s="32"/>
      <c r="AC11" s="24"/>
      <c r="AD11" s="25">
        <f t="shared" si="8"/>
        <v>0</v>
      </c>
      <c r="AE11" s="25">
        <f t="shared" si="9"/>
        <v>0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>
        <v>1</v>
      </c>
      <c r="C12" s="32"/>
      <c r="D12" s="32"/>
      <c r="E12" s="24"/>
      <c r="F12" s="25">
        <f t="shared" si="0"/>
        <v>0</v>
      </c>
      <c r="G12" s="25">
        <f t="shared" si="1"/>
        <v>0</v>
      </c>
      <c r="H12" s="25">
        <f t="shared" si="2"/>
        <v>0</v>
      </c>
      <c r="I12" s="25">
        <f t="shared" si="3"/>
        <v>0</v>
      </c>
      <c r="J12" s="105">
        <f>I11+I13+I18+I24+I28</f>
        <v>0</v>
      </c>
      <c r="K12" s="108">
        <f>J12</f>
        <v>0</v>
      </c>
      <c r="M12" s="25">
        <v>6</v>
      </c>
      <c r="N12" s="32">
        <v>1</v>
      </c>
      <c r="O12" s="32"/>
      <c r="P12" s="32"/>
      <c r="Q12" s="24"/>
      <c r="R12" s="25">
        <f t="shared" si="4"/>
        <v>0</v>
      </c>
      <c r="S12" s="25">
        <f t="shared" si="5"/>
        <v>0</v>
      </c>
      <c r="T12" s="25">
        <f t="shared" si="6"/>
        <v>0</v>
      </c>
      <c r="U12" s="25">
        <f t="shared" si="7"/>
        <v>0</v>
      </c>
      <c r="V12" s="105">
        <f>U11+U13+U18+U24+U28</f>
        <v>0</v>
      </c>
      <c r="W12" s="108">
        <f>V12</f>
        <v>0</v>
      </c>
      <c r="Y12" s="25">
        <v>6</v>
      </c>
      <c r="Z12" s="32"/>
      <c r="AA12" s="32">
        <v>1</v>
      </c>
      <c r="AB12" s="32"/>
      <c r="AC12" s="24"/>
      <c r="AD12" s="25">
        <f t="shared" si="8"/>
        <v>0</v>
      </c>
      <c r="AE12" s="25">
        <f t="shared" si="9"/>
        <v>1</v>
      </c>
      <c r="AF12" s="25">
        <f t="shared" si="10"/>
        <v>0</v>
      </c>
      <c r="AG12" s="25">
        <f t="shared" si="11"/>
        <v>0</v>
      </c>
      <c r="AH12" s="105">
        <f>AG11+AG13+AG18+AG24+AG28</f>
        <v>0</v>
      </c>
      <c r="AI12" s="108">
        <f>AH12</f>
        <v>0</v>
      </c>
    </row>
    <row r="13" spans="1:35" ht="21" customHeight="1">
      <c r="A13" s="25">
        <v>7</v>
      </c>
      <c r="B13" s="32"/>
      <c r="C13" s="32">
        <v>1</v>
      </c>
      <c r="D13" s="32"/>
      <c r="E13" s="24"/>
      <c r="F13" s="25">
        <f>B13*2</f>
        <v>0</v>
      </c>
      <c r="G13" s="25">
        <f t="shared" si="1"/>
        <v>1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>
        <v>1</v>
      </c>
      <c r="P13" s="32"/>
      <c r="Q13" s="24"/>
      <c r="R13" s="25">
        <f>N13*2</f>
        <v>0</v>
      </c>
      <c r="S13" s="25">
        <f t="shared" si="5"/>
        <v>1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/>
      <c r="AA13" s="32"/>
      <c r="AB13" s="32">
        <v>1</v>
      </c>
      <c r="AC13" s="24"/>
      <c r="AD13" s="25">
        <f>Z13*2</f>
        <v>0</v>
      </c>
      <c r="AE13" s="25">
        <f t="shared" si="9"/>
        <v>0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>
        <v>1</v>
      </c>
      <c r="C14" s="32"/>
      <c r="D14" s="32"/>
      <c r="E14" s="24"/>
      <c r="F14" s="25">
        <f t="shared" ref="F14:F19" si="12">B14*0</f>
        <v>0</v>
      </c>
      <c r="G14" s="25">
        <f t="shared" si="1"/>
        <v>0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>
        <v>1</v>
      </c>
      <c r="O14" s="32"/>
      <c r="P14" s="32"/>
      <c r="Q14" s="24"/>
      <c r="R14" s="25">
        <f t="shared" ref="R14:R19" si="14">N14*0</f>
        <v>0</v>
      </c>
      <c r="S14" s="25">
        <f t="shared" si="5"/>
        <v>0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/>
      <c r="AA14" s="32">
        <v>1</v>
      </c>
      <c r="AB14" s="32"/>
      <c r="AC14" s="24"/>
      <c r="AD14" s="25">
        <f t="shared" ref="AD14:AD19" si="16">Z14*0</f>
        <v>0</v>
      </c>
      <c r="AE14" s="25">
        <f t="shared" si="9"/>
        <v>1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>
        <v>1</v>
      </c>
      <c r="D15" s="32"/>
      <c r="E15" s="24"/>
      <c r="F15" s="25">
        <f t="shared" si="12"/>
        <v>0</v>
      </c>
      <c r="G15" s="25">
        <f t="shared" si="1"/>
        <v>1</v>
      </c>
      <c r="H15" s="25">
        <f t="shared" si="13"/>
        <v>0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/>
      <c r="P15" s="32">
        <v>1</v>
      </c>
      <c r="Q15" s="24"/>
      <c r="R15" s="25">
        <f t="shared" si="14"/>
        <v>0</v>
      </c>
      <c r="S15" s="25">
        <f t="shared" si="5"/>
        <v>0</v>
      </c>
      <c r="T15" s="25">
        <f t="shared" si="15"/>
        <v>2</v>
      </c>
      <c r="U15" s="25">
        <f t="shared" si="7"/>
        <v>0</v>
      </c>
      <c r="V15" s="24"/>
      <c r="W15" s="107" t="s">
        <v>98</v>
      </c>
      <c r="Y15" s="25">
        <v>9</v>
      </c>
      <c r="Z15" s="32"/>
      <c r="AA15" s="32">
        <v>1</v>
      </c>
      <c r="AB15" s="32"/>
      <c r="AC15" s="24"/>
      <c r="AD15" s="25">
        <f t="shared" si="16"/>
        <v>0</v>
      </c>
      <c r="AE15" s="25">
        <f t="shared" si="9"/>
        <v>1</v>
      </c>
      <c r="AF15" s="25">
        <f t="shared" si="17"/>
        <v>0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>
        <v>1</v>
      </c>
      <c r="C16" s="32"/>
      <c r="D16" s="32"/>
      <c r="E16" s="24"/>
      <c r="F16" s="25">
        <f t="shared" si="12"/>
        <v>0</v>
      </c>
      <c r="G16" s="25">
        <f t="shared" si="1"/>
        <v>0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>
        <v>1</v>
      </c>
      <c r="O16" s="32"/>
      <c r="P16" s="32"/>
      <c r="Q16" s="24"/>
      <c r="R16" s="25">
        <f t="shared" si="14"/>
        <v>0</v>
      </c>
      <c r="S16" s="25">
        <f t="shared" si="5"/>
        <v>0</v>
      </c>
      <c r="T16" s="25">
        <f t="shared" si="15"/>
        <v>0</v>
      </c>
      <c r="U16" s="25">
        <f t="shared" si="7"/>
        <v>0</v>
      </c>
      <c r="V16" s="24"/>
      <c r="W16" s="107" t="s">
        <v>99</v>
      </c>
      <c r="Y16" s="25">
        <v>10</v>
      </c>
      <c r="Z16" s="32">
        <v>1</v>
      </c>
      <c r="AA16" s="32"/>
      <c r="AB16" s="32"/>
      <c r="AC16" s="24"/>
      <c r="AD16" s="25">
        <f t="shared" si="16"/>
        <v>0</v>
      </c>
      <c r="AE16" s="25">
        <f t="shared" si="9"/>
        <v>0</v>
      </c>
      <c r="AF16" s="25">
        <f t="shared" si="17"/>
        <v>0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>
        <v>1</v>
      </c>
      <c r="D17" s="32"/>
      <c r="E17" s="24"/>
      <c r="F17" s="25">
        <f t="shared" si="12"/>
        <v>0</v>
      </c>
      <c r="G17" s="25">
        <f t="shared" si="1"/>
        <v>1</v>
      </c>
      <c r="H17" s="25">
        <f t="shared" si="13"/>
        <v>0</v>
      </c>
      <c r="I17" s="25">
        <f t="shared" si="3"/>
        <v>0</v>
      </c>
      <c r="J17" s="105">
        <f>I8+I16+I21+I27+I31</f>
        <v>2</v>
      </c>
      <c r="K17" s="108">
        <f>J17</f>
        <v>2</v>
      </c>
      <c r="M17" s="25">
        <v>11</v>
      </c>
      <c r="N17" s="32">
        <v>1</v>
      </c>
      <c r="O17" s="32"/>
      <c r="P17" s="32"/>
      <c r="Q17" s="24"/>
      <c r="R17" s="25">
        <f t="shared" si="14"/>
        <v>0</v>
      </c>
      <c r="S17" s="25">
        <f t="shared" si="5"/>
        <v>0</v>
      </c>
      <c r="T17" s="25">
        <f t="shared" si="15"/>
        <v>0</v>
      </c>
      <c r="U17" s="25">
        <f t="shared" si="7"/>
        <v>0</v>
      </c>
      <c r="V17" s="105">
        <f>U8+U16+U21+U27+U31</f>
        <v>0</v>
      </c>
      <c r="W17" s="108">
        <f>V17</f>
        <v>0</v>
      </c>
      <c r="Y17" s="25">
        <v>11</v>
      </c>
      <c r="Z17" s="32"/>
      <c r="AA17" s="32"/>
      <c r="AB17" s="32">
        <v>1</v>
      </c>
      <c r="AC17" s="24"/>
      <c r="AD17" s="25">
        <f t="shared" si="16"/>
        <v>0</v>
      </c>
      <c r="AE17" s="25">
        <f t="shared" si="9"/>
        <v>0</v>
      </c>
      <c r="AF17" s="25">
        <f t="shared" si="17"/>
        <v>2</v>
      </c>
      <c r="AG17" s="25">
        <f t="shared" si="11"/>
        <v>0</v>
      </c>
      <c r="AH17" s="105">
        <f>AG8+AG16+AG21+AG27+AG31</f>
        <v>0</v>
      </c>
      <c r="AI17" s="108">
        <f>AH17</f>
        <v>0</v>
      </c>
    </row>
    <row r="18" spans="1:35" ht="21" customHeight="1">
      <c r="A18" s="25">
        <v>12</v>
      </c>
      <c r="B18" s="32">
        <v>1</v>
      </c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/>
      <c r="O18" s="32">
        <v>1</v>
      </c>
      <c r="P18" s="32"/>
      <c r="Q18" s="24"/>
      <c r="R18" s="25">
        <f t="shared" si="14"/>
        <v>0</v>
      </c>
      <c r="S18" s="25">
        <f t="shared" si="5"/>
        <v>1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>
        <v>1</v>
      </c>
      <c r="AA18" s="32"/>
      <c r="AB18" s="32"/>
      <c r="AC18" s="24"/>
      <c r="AD18" s="25">
        <f t="shared" si="16"/>
        <v>0</v>
      </c>
      <c r="AE18" s="25">
        <f t="shared" si="9"/>
        <v>0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>
        <v>1</v>
      </c>
      <c r="C19" s="32"/>
      <c r="D19" s="32"/>
      <c r="E19" s="24"/>
      <c r="F19" s="25">
        <f t="shared" si="12"/>
        <v>0</v>
      </c>
      <c r="G19" s="25">
        <f t="shared" si="1"/>
        <v>0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>
        <v>1</v>
      </c>
      <c r="O19" s="32"/>
      <c r="P19" s="32"/>
      <c r="Q19" s="24"/>
      <c r="R19" s="25">
        <f t="shared" si="14"/>
        <v>0</v>
      </c>
      <c r="S19" s="25">
        <f t="shared" si="5"/>
        <v>0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>
        <v>1</v>
      </c>
      <c r="AA19" s="32"/>
      <c r="AB19" s="32"/>
      <c r="AC19" s="24"/>
      <c r="AD19" s="25">
        <f t="shared" si="16"/>
        <v>0</v>
      </c>
      <c r="AE19" s="25">
        <f t="shared" si="9"/>
        <v>0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/>
      <c r="C20" s="32">
        <v>1</v>
      </c>
      <c r="D20" s="32"/>
      <c r="E20" s="24"/>
      <c r="F20" s="25">
        <f>B20*2</f>
        <v>0</v>
      </c>
      <c r="G20" s="25">
        <f t="shared" si="1"/>
        <v>1</v>
      </c>
      <c r="H20" s="25">
        <f>D20*0</f>
        <v>0</v>
      </c>
      <c r="I20" s="25">
        <f t="shared" si="3"/>
        <v>0</v>
      </c>
      <c r="J20" s="24"/>
      <c r="K20" s="107" t="s">
        <v>100</v>
      </c>
      <c r="M20" s="25">
        <v>14</v>
      </c>
      <c r="N20" s="32"/>
      <c r="O20" s="32">
        <v>1</v>
      </c>
      <c r="P20" s="32"/>
      <c r="Q20" s="24"/>
      <c r="R20" s="25">
        <f>N20*2</f>
        <v>0</v>
      </c>
      <c r="S20" s="25">
        <f t="shared" si="5"/>
        <v>1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/>
      <c r="AA20" s="32"/>
      <c r="AB20" s="32">
        <v>1</v>
      </c>
      <c r="AC20" s="24"/>
      <c r="AD20" s="25">
        <f>Z20*2</f>
        <v>0</v>
      </c>
      <c r="AE20" s="25">
        <f t="shared" si="9"/>
        <v>0</v>
      </c>
      <c r="AF20" s="25">
        <f>AB20*0</f>
        <v>0</v>
      </c>
      <c r="AG20" s="25">
        <f t="shared" si="11"/>
        <v>0</v>
      </c>
      <c r="AH20" s="24"/>
      <c r="AI20" s="107" t="s">
        <v>100</v>
      </c>
    </row>
    <row r="21" spans="1:35" ht="21" customHeight="1">
      <c r="A21" s="25">
        <v>15</v>
      </c>
      <c r="B21" s="32">
        <v>1</v>
      </c>
      <c r="C21" s="32"/>
      <c r="D21" s="32"/>
      <c r="E21" s="24"/>
      <c r="F21" s="25">
        <f>B21*2</f>
        <v>2</v>
      </c>
      <c r="G21" s="25">
        <f t="shared" si="1"/>
        <v>0</v>
      </c>
      <c r="H21" s="25">
        <f>D21*0</f>
        <v>0</v>
      </c>
      <c r="I21" s="25">
        <f t="shared" si="3"/>
        <v>2</v>
      </c>
      <c r="J21" s="24"/>
      <c r="K21" s="107" t="s">
        <v>101</v>
      </c>
      <c r="M21" s="25">
        <v>15</v>
      </c>
      <c r="N21" s="32"/>
      <c r="O21" s="32">
        <v>1</v>
      </c>
      <c r="P21" s="32"/>
      <c r="Q21" s="24"/>
      <c r="R21" s="25">
        <f>N21*2</f>
        <v>0</v>
      </c>
      <c r="S21" s="25">
        <f t="shared" si="5"/>
        <v>1</v>
      </c>
      <c r="T21" s="25">
        <f>P21*0</f>
        <v>0</v>
      </c>
      <c r="U21" s="25">
        <f t="shared" si="7"/>
        <v>0</v>
      </c>
      <c r="V21" s="24"/>
      <c r="W21" s="107" t="s">
        <v>101</v>
      </c>
      <c r="Y21" s="25">
        <v>15</v>
      </c>
      <c r="Z21" s="32"/>
      <c r="AA21" s="32">
        <v>1</v>
      </c>
      <c r="AB21" s="32"/>
      <c r="AC21" s="24"/>
      <c r="AD21" s="25">
        <f>Z21*2</f>
        <v>0</v>
      </c>
      <c r="AE21" s="25">
        <f t="shared" si="9"/>
        <v>1</v>
      </c>
      <c r="AF21" s="25">
        <f>AB21*0</f>
        <v>0</v>
      </c>
      <c r="AG21" s="25">
        <f t="shared" si="11"/>
        <v>0</v>
      </c>
      <c r="AH21" s="24"/>
      <c r="AI21" s="107" t="s">
        <v>101</v>
      </c>
    </row>
    <row r="22" spans="1:35" ht="21" customHeight="1">
      <c r="A22" s="25">
        <v>16</v>
      </c>
      <c r="B22" s="32"/>
      <c r="C22" s="32">
        <v>1</v>
      </c>
      <c r="D22" s="32"/>
      <c r="E22" s="24"/>
      <c r="F22" s="25">
        <f>B22*0</f>
        <v>0</v>
      </c>
      <c r="G22" s="25">
        <f t="shared" si="1"/>
        <v>1</v>
      </c>
      <c r="H22" s="25">
        <f>D22*2</f>
        <v>0</v>
      </c>
      <c r="I22" s="25">
        <f t="shared" si="3"/>
        <v>0</v>
      </c>
      <c r="J22" s="105">
        <f>I12+I17+I20+I25+I29</f>
        <v>0</v>
      </c>
      <c r="K22" s="108">
        <f>J22</f>
        <v>0</v>
      </c>
      <c r="M22" s="25">
        <v>16</v>
      </c>
      <c r="N22" s="32"/>
      <c r="O22" s="32">
        <v>1</v>
      </c>
      <c r="P22" s="32"/>
      <c r="Q22" s="24"/>
      <c r="R22" s="25">
        <f>N22*0</f>
        <v>0</v>
      </c>
      <c r="S22" s="25">
        <f t="shared" si="5"/>
        <v>1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/>
      <c r="AA22" s="32"/>
      <c r="AB22" s="32">
        <v>1</v>
      </c>
      <c r="AC22" s="24"/>
      <c r="AD22" s="25">
        <f>Z22*0</f>
        <v>0</v>
      </c>
      <c r="AE22" s="25">
        <f t="shared" si="9"/>
        <v>0</v>
      </c>
      <c r="AF22" s="25">
        <f>AB22*2</f>
        <v>2</v>
      </c>
      <c r="AG22" s="25">
        <f t="shared" si="11"/>
        <v>0</v>
      </c>
      <c r="AH22" s="105">
        <f>AG12+AG17+AG20+AG25+AG29</f>
        <v>0</v>
      </c>
      <c r="AI22" s="108">
        <f>AH22</f>
        <v>0</v>
      </c>
    </row>
    <row r="23" spans="1:35" ht="21" customHeight="1">
      <c r="A23" s="25">
        <v>17</v>
      </c>
      <c r="B23" s="32"/>
      <c r="C23" s="32">
        <v>1</v>
      </c>
      <c r="D23" s="32"/>
      <c r="E23" s="24"/>
      <c r="F23" s="25">
        <f>B23*2</f>
        <v>0</v>
      </c>
      <c r="G23" s="25">
        <f t="shared" si="1"/>
        <v>1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>
        <v>1</v>
      </c>
      <c r="O23" s="32"/>
      <c r="P23" s="32"/>
      <c r="Q23" s="24"/>
      <c r="R23" s="25">
        <f>N23*2</f>
        <v>2</v>
      </c>
      <c r="S23" s="25">
        <f t="shared" si="5"/>
        <v>0</v>
      </c>
      <c r="T23" s="25">
        <f>P23*0</f>
        <v>0</v>
      </c>
      <c r="U23" s="25">
        <f t="shared" si="7"/>
        <v>2</v>
      </c>
      <c r="V23" s="24"/>
      <c r="W23" s="25"/>
      <c r="Y23" s="25">
        <v>17</v>
      </c>
      <c r="Z23" s="32"/>
      <c r="AA23" s="32">
        <v>1</v>
      </c>
      <c r="AB23" s="32"/>
      <c r="AC23" s="24"/>
      <c r="AD23" s="25">
        <f>Z23*2</f>
        <v>0</v>
      </c>
      <c r="AE23" s="25">
        <f t="shared" si="9"/>
        <v>1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/>
      <c r="C24" s="32">
        <v>1</v>
      </c>
      <c r="D24" s="32"/>
      <c r="E24" s="24"/>
      <c r="F24" s="25">
        <f>B24*2</f>
        <v>0</v>
      </c>
      <c r="G24" s="25">
        <f t="shared" si="1"/>
        <v>1</v>
      </c>
      <c r="H24" s="25">
        <f>D24*0</f>
        <v>0</v>
      </c>
      <c r="I24" s="25">
        <f t="shared" si="3"/>
        <v>0</v>
      </c>
      <c r="J24" s="24"/>
      <c r="K24" s="25"/>
      <c r="M24" s="25">
        <v>18</v>
      </c>
      <c r="N24" s="32"/>
      <c r="O24" s="32">
        <v>1</v>
      </c>
      <c r="P24" s="32"/>
      <c r="Q24" s="24"/>
      <c r="R24" s="25">
        <f>N24*2</f>
        <v>0</v>
      </c>
      <c r="S24" s="25">
        <f t="shared" si="5"/>
        <v>1</v>
      </c>
      <c r="T24" s="25">
        <f>P24*0</f>
        <v>0</v>
      </c>
      <c r="U24" s="25">
        <f t="shared" si="7"/>
        <v>0</v>
      </c>
      <c r="V24" s="24"/>
      <c r="W24" s="25"/>
      <c r="Y24" s="25">
        <v>18</v>
      </c>
      <c r="Z24" s="32"/>
      <c r="AA24" s="32">
        <v>1</v>
      </c>
      <c r="AB24" s="32"/>
      <c r="AC24" s="24"/>
      <c r="AD24" s="25">
        <f>Z24*2</f>
        <v>0</v>
      </c>
      <c r="AE24" s="25">
        <f t="shared" si="9"/>
        <v>1</v>
      </c>
      <c r="AF24" s="25">
        <f>AB24*0</f>
        <v>0</v>
      </c>
      <c r="AG24" s="25">
        <f t="shared" si="11"/>
        <v>0</v>
      </c>
      <c r="AH24" s="24"/>
      <c r="AI24" s="25"/>
    </row>
    <row r="25" spans="1:35" ht="21" customHeight="1">
      <c r="A25" s="25">
        <v>19</v>
      </c>
      <c r="B25" s="32">
        <v>1</v>
      </c>
      <c r="C25" s="32"/>
      <c r="D25" s="32"/>
      <c r="E25" s="24"/>
      <c r="F25" s="25">
        <f t="shared" ref="F25:F31" si="18">B25*0</f>
        <v>0</v>
      </c>
      <c r="G25" s="25">
        <f t="shared" si="1"/>
        <v>0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/>
      <c r="O25" s="32">
        <v>1</v>
      </c>
      <c r="P25" s="32"/>
      <c r="Q25" s="24"/>
      <c r="R25" s="25">
        <f t="shared" ref="R25:R31" si="20">N25*0</f>
        <v>0</v>
      </c>
      <c r="S25" s="25">
        <f t="shared" si="5"/>
        <v>1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/>
      <c r="AA25" s="32">
        <v>1</v>
      </c>
      <c r="AB25" s="32"/>
      <c r="AC25" s="24"/>
      <c r="AD25" s="25">
        <f t="shared" ref="AD25:AD31" si="22">Z25*0</f>
        <v>0</v>
      </c>
      <c r="AE25" s="25">
        <f t="shared" si="9"/>
        <v>1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>
        <v>1</v>
      </c>
      <c r="D26" s="32"/>
      <c r="E26" s="24"/>
      <c r="F26" s="25">
        <f t="shared" si="18"/>
        <v>0</v>
      </c>
      <c r="G26" s="25">
        <f t="shared" si="1"/>
        <v>1</v>
      </c>
      <c r="H26" s="25">
        <f t="shared" si="19"/>
        <v>0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>
        <v>1</v>
      </c>
      <c r="P26" s="32"/>
      <c r="Q26" s="24"/>
      <c r="R26" s="25">
        <f t="shared" si="20"/>
        <v>0</v>
      </c>
      <c r="S26" s="25">
        <f t="shared" si="5"/>
        <v>1</v>
      </c>
      <c r="T26" s="25">
        <f t="shared" si="21"/>
        <v>0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>
        <v>1</v>
      </c>
      <c r="AB26" s="32"/>
      <c r="AC26" s="24"/>
      <c r="AD26" s="25">
        <f t="shared" si="22"/>
        <v>0</v>
      </c>
      <c r="AE26" s="25">
        <f t="shared" si="9"/>
        <v>1</v>
      </c>
      <c r="AF26" s="25">
        <f t="shared" si="23"/>
        <v>0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>
        <v>1</v>
      </c>
      <c r="D27" s="32"/>
      <c r="E27" s="24"/>
      <c r="F27" s="25">
        <f t="shared" si="18"/>
        <v>0</v>
      </c>
      <c r="G27" s="25">
        <f t="shared" si="1"/>
        <v>1</v>
      </c>
      <c r="H27" s="25">
        <f t="shared" si="19"/>
        <v>0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>
        <v>1</v>
      </c>
      <c r="O27" s="32"/>
      <c r="P27" s="32"/>
      <c r="Q27" s="24"/>
      <c r="R27" s="25">
        <f t="shared" si="20"/>
        <v>0</v>
      </c>
      <c r="S27" s="25">
        <f t="shared" si="5"/>
        <v>0</v>
      </c>
      <c r="T27" s="25">
        <f t="shared" si="21"/>
        <v>0</v>
      </c>
      <c r="U27" s="25">
        <f t="shared" si="7"/>
        <v>0</v>
      </c>
      <c r="V27" s="105">
        <f>U7+U10+U15+U23+U26</f>
        <v>2</v>
      </c>
      <c r="W27" s="108">
        <f>V27</f>
        <v>2</v>
      </c>
      <c r="Y27" s="25">
        <v>21</v>
      </c>
      <c r="Z27" s="32"/>
      <c r="AA27" s="32">
        <v>1</v>
      </c>
      <c r="AB27" s="32"/>
      <c r="AC27" s="24"/>
      <c r="AD27" s="25">
        <f t="shared" si="22"/>
        <v>0</v>
      </c>
      <c r="AE27" s="25">
        <f t="shared" si="9"/>
        <v>1</v>
      </c>
      <c r="AF27" s="25">
        <f t="shared" si="23"/>
        <v>0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>
        <v>1</v>
      </c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/>
      <c r="O28" s="32">
        <v>1</v>
      </c>
      <c r="P28" s="32"/>
      <c r="Q28" s="24"/>
      <c r="R28" s="25">
        <f t="shared" si="20"/>
        <v>0</v>
      </c>
      <c r="S28" s="25">
        <f t="shared" si="5"/>
        <v>1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>
        <v>1</v>
      </c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>
        <v>1</v>
      </c>
      <c r="C29" s="32"/>
      <c r="D29" s="32"/>
      <c r="E29" s="24"/>
      <c r="F29" s="25">
        <f t="shared" si="18"/>
        <v>0</v>
      </c>
      <c r="G29" s="25">
        <f t="shared" si="1"/>
        <v>0</v>
      </c>
      <c r="H29" s="25">
        <f t="shared" si="19"/>
        <v>0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>
        <v>1</v>
      </c>
      <c r="P29" s="32"/>
      <c r="Q29" s="24"/>
      <c r="R29" s="25">
        <f t="shared" si="20"/>
        <v>0</v>
      </c>
      <c r="S29" s="25">
        <f t="shared" si="5"/>
        <v>1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/>
      <c r="AA29" s="32">
        <v>1</v>
      </c>
      <c r="AB29" s="32"/>
      <c r="AC29" s="24"/>
      <c r="AD29" s="25">
        <f t="shared" si="22"/>
        <v>0</v>
      </c>
      <c r="AE29" s="25">
        <f t="shared" si="9"/>
        <v>1</v>
      </c>
      <c r="AF29" s="25">
        <f t="shared" si="23"/>
        <v>0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>
        <v>1</v>
      </c>
      <c r="C30" s="32"/>
      <c r="D30" s="32"/>
      <c r="E30" s="24"/>
      <c r="F30" s="25">
        <f t="shared" si="18"/>
        <v>0</v>
      </c>
      <c r="G30" s="25">
        <f t="shared" si="1"/>
        <v>0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>
        <v>1</v>
      </c>
      <c r="O30" s="32"/>
      <c r="P30" s="32"/>
      <c r="Q30" s="24"/>
      <c r="R30" s="25">
        <f t="shared" si="20"/>
        <v>0</v>
      </c>
      <c r="S30" s="25">
        <f t="shared" si="5"/>
        <v>0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/>
      <c r="AA30" s="32">
        <v>1</v>
      </c>
      <c r="AB30" s="32"/>
      <c r="AC30" s="24"/>
      <c r="AD30" s="25">
        <f t="shared" si="22"/>
        <v>0</v>
      </c>
      <c r="AE30" s="25">
        <f t="shared" si="9"/>
        <v>1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>
        <v>1</v>
      </c>
      <c r="D31" s="32"/>
      <c r="E31" s="24"/>
      <c r="F31" s="25">
        <f t="shared" si="18"/>
        <v>0</v>
      </c>
      <c r="G31" s="25">
        <f t="shared" si="1"/>
        <v>1</v>
      </c>
      <c r="H31" s="25">
        <f t="shared" si="19"/>
        <v>0</v>
      </c>
      <c r="I31" s="25">
        <f t="shared" si="3"/>
        <v>0</v>
      </c>
      <c r="J31" s="24"/>
      <c r="K31" s="108">
        <f>K7+K12+K17+K22</f>
        <v>2</v>
      </c>
      <c r="M31" s="25">
        <v>25</v>
      </c>
      <c r="N31" s="32"/>
      <c r="O31" s="32">
        <v>1</v>
      </c>
      <c r="P31" s="32"/>
      <c r="Q31" s="24"/>
      <c r="R31" s="25">
        <f t="shared" si="20"/>
        <v>0</v>
      </c>
      <c r="S31" s="25">
        <f t="shared" si="5"/>
        <v>1</v>
      </c>
      <c r="T31" s="25">
        <f t="shared" si="21"/>
        <v>0</v>
      </c>
      <c r="U31" s="25">
        <f t="shared" si="7"/>
        <v>0</v>
      </c>
      <c r="V31" s="24"/>
      <c r="W31" s="108">
        <f>W7+W12+W17+W22</f>
        <v>0</v>
      </c>
      <c r="Y31" s="25">
        <v>25</v>
      </c>
      <c r="Z31" s="32"/>
      <c r="AA31" s="32">
        <v>1</v>
      </c>
      <c r="AB31" s="32"/>
      <c r="AC31" s="24"/>
      <c r="AD31" s="25">
        <f t="shared" si="22"/>
        <v>0</v>
      </c>
      <c r="AE31" s="25">
        <f t="shared" si="9"/>
        <v>1</v>
      </c>
      <c r="AF31" s="25">
        <f t="shared" si="23"/>
        <v>0</v>
      </c>
      <c r="AG31" s="25">
        <f t="shared" si="11"/>
        <v>0</v>
      </c>
      <c r="AH31" s="24"/>
      <c r="AI31" s="108">
        <f>AI7+AI12+AI17+AI22</f>
        <v>0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7"/>
  </sheetPr>
  <dimension ref="A1:AI41"/>
  <sheetViews>
    <sheetView topLeftCell="W25" zoomScale="150" workbookViewId="0">
      <selection activeCell="AB31" sqref="AB31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 t="str">
        <f>รายชื่อ!B21</f>
        <v>เด็กหญิง</v>
      </c>
      <c r="C3" s="110" t="str">
        <f>รายชื่อ!C21</f>
        <v>กัญญารัตน์</v>
      </c>
      <c r="D3" s="110" t="str">
        <f>รายชื่อ!D21</f>
        <v>ผาเจริญ</v>
      </c>
      <c r="E3" s="60"/>
      <c r="F3" s="103"/>
      <c r="G3" s="165"/>
      <c r="H3" s="165"/>
      <c r="I3" s="165"/>
      <c r="J3" s="25"/>
      <c r="K3" s="106" t="s">
        <v>47</v>
      </c>
      <c r="M3" s="25" t="s">
        <v>85</v>
      </c>
      <c r="N3" s="110" t="str">
        <f>รายชื่อ!B21</f>
        <v>เด็กหญิง</v>
      </c>
      <c r="O3" s="110" t="str">
        <f>รายชื่อ!C21</f>
        <v>กัญญารัตน์</v>
      </c>
      <c r="P3" s="110" t="str">
        <f>รายชื่อ!D21</f>
        <v>ผาเจริญ</v>
      </c>
      <c r="Q3" s="60"/>
      <c r="R3" s="103"/>
      <c r="S3" s="165"/>
      <c r="T3" s="165"/>
      <c r="U3" s="165"/>
      <c r="V3" s="25"/>
      <c r="W3" s="106" t="s">
        <v>47</v>
      </c>
      <c r="Y3" s="25" t="s">
        <v>85</v>
      </c>
      <c r="Z3" s="110" t="str">
        <f>รายชื่อ!B21</f>
        <v>เด็กหญิง</v>
      </c>
      <c r="AA3" s="110" t="str">
        <f>รายชื่อ!C21</f>
        <v>กัญญารัตน์</v>
      </c>
      <c r="AB3" s="110" t="str">
        <f>รายชื่อ!D21</f>
        <v>ผาเจริญ</v>
      </c>
      <c r="AC3" s="60"/>
      <c r="AD3" s="103"/>
      <c r="AE3" s="165"/>
      <c r="AF3" s="165"/>
      <c r="AG3" s="165"/>
      <c r="AH3" s="25"/>
      <c r="AI3" s="106" t="s">
        <v>47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/>
      <c r="C7" s="32">
        <v>1</v>
      </c>
      <c r="D7" s="32"/>
      <c r="E7" s="24"/>
      <c r="F7" s="25">
        <f t="shared" ref="F7:F12" si="0">B7*0</f>
        <v>0</v>
      </c>
      <c r="G7" s="25">
        <f t="shared" ref="G7:G31" si="1">C7*1</f>
        <v>1</v>
      </c>
      <c r="H7" s="25">
        <f t="shared" ref="H7:H12" si="2">D7*2</f>
        <v>0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/>
      <c r="O7" s="32">
        <v>1</v>
      </c>
      <c r="P7" s="32"/>
      <c r="Q7" s="24"/>
      <c r="R7" s="25">
        <f t="shared" ref="R7:R12" si="4">N7*0</f>
        <v>0</v>
      </c>
      <c r="S7" s="25">
        <f t="shared" ref="S7:S31" si="5">O7*1</f>
        <v>1</v>
      </c>
      <c r="T7" s="25">
        <f t="shared" ref="T7:T12" si="6">P7*2</f>
        <v>0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>
        <v>1</v>
      </c>
      <c r="AB7" s="32"/>
      <c r="AC7" s="24"/>
      <c r="AD7" s="25">
        <f t="shared" ref="AD7:AD12" si="8">Z7*0</f>
        <v>0</v>
      </c>
      <c r="AE7" s="25">
        <f t="shared" ref="AE7:AE31" si="9">AA7*1</f>
        <v>1</v>
      </c>
      <c r="AF7" s="25">
        <f t="shared" ref="AF7:AF12" si="10">AB7*2</f>
        <v>0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>
        <v>1</v>
      </c>
      <c r="C8" s="32"/>
      <c r="D8" s="32"/>
      <c r="E8" s="24"/>
      <c r="F8" s="25">
        <f t="shared" si="0"/>
        <v>0</v>
      </c>
      <c r="G8" s="25">
        <f t="shared" si="1"/>
        <v>0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>
        <v>1</v>
      </c>
      <c r="O8" s="32"/>
      <c r="P8" s="32"/>
      <c r="Q8" s="24"/>
      <c r="R8" s="25">
        <f t="shared" si="4"/>
        <v>0</v>
      </c>
      <c r="S8" s="25">
        <f t="shared" si="5"/>
        <v>0</v>
      </c>
      <c r="T8" s="25">
        <f t="shared" si="6"/>
        <v>0</v>
      </c>
      <c r="U8" s="25">
        <f t="shared" si="7"/>
        <v>0</v>
      </c>
      <c r="V8" s="24"/>
      <c r="W8" s="25"/>
      <c r="Y8" s="25">
        <v>2</v>
      </c>
      <c r="Z8" s="32">
        <v>1</v>
      </c>
      <c r="AA8" s="32"/>
      <c r="AB8" s="32"/>
      <c r="AC8" s="24"/>
      <c r="AD8" s="25">
        <f t="shared" si="8"/>
        <v>0</v>
      </c>
      <c r="AE8" s="25">
        <f t="shared" si="9"/>
        <v>0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>
        <v>1</v>
      </c>
      <c r="C9" s="32"/>
      <c r="D9" s="32"/>
      <c r="E9" s="24"/>
      <c r="F9" s="25">
        <f t="shared" si="0"/>
        <v>0</v>
      </c>
      <c r="G9" s="25">
        <f t="shared" si="1"/>
        <v>0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>
        <v>1</v>
      </c>
      <c r="O9" s="32"/>
      <c r="P9" s="32"/>
      <c r="Q9" s="24"/>
      <c r="R9" s="25">
        <f t="shared" si="4"/>
        <v>0</v>
      </c>
      <c r="S9" s="25">
        <f t="shared" si="5"/>
        <v>0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>
        <v>1</v>
      </c>
      <c r="AA9" s="32"/>
      <c r="AB9" s="32"/>
      <c r="AC9" s="24"/>
      <c r="AD9" s="25">
        <f t="shared" si="8"/>
        <v>0</v>
      </c>
      <c r="AE9" s="25">
        <f t="shared" si="9"/>
        <v>0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/>
      <c r="D10" s="32">
        <v>1</v>
      </c>
      <c r="E10" s="24"/>
      <c r="F10" s="25">
        <f t="shared" si="0"/>
        <v>0</v>
      </c>
      <c r="G10" s="25">
        <f t="shared" si="1"/>
        <v>0</v>
      </c>
      <c r="H10" s="25">
        <f t="shared" si="2"/>
        <v>2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/>
      <c r="P10" s="32">
        <v>1</v>
      </c>
      <c r="Q10" s="24"/>
      <c r="R10" s="25">
        <f t="shared" si="4"/>
        <v>0</v>
      </c>
      <c r="S10" s="25">
        <f t="shared" si="5"/>
        <v>0</v>
      </c>
      <c r="T10" s="25">
        <f t="shared" si="6"/>
        <v>2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/>
      <c r="AB10" s="32">
        <v>1</v>
      </c>
      <c r="AC10" s="24"/>
      <c r="AD10" s="25">
        <f t="shared" si="8"/>
        <v>0</v>
      </c>
      <c r="AE10" s="25">
        <f t="shared" si="9"/>
        <v>0</v>
      </c>
      <c r="AF10" s="25">
        <f t="shared" si="10"/>
        <v>2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>
        <v>1</v>
      </c>
      <c r="C11" s="32"/>
      <c r="D11" s="32"/>
      <c r="E11" s="24"/>
      <c r="F11" s="25">
        <f t="shared" si="0"/>
        <v>0</v>
      </c>
      <c r="G11" s="25">
        <f t="shared" si="1"/>
        <v>0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>
        <v>1</v>
      </c>
      <c r="O11" s="32"/>
      <c r="P11" s="32"/>
      <c r="Q11" s="24"/>
      <c r="R11" s="25">
        <f t="shared" si="4"/>
        <v>0</v>
      </c>
      <c r="S11" s="25">
        <f t="shared" si="5"/>
        <v>0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>
        <v>1</v>
      </c>
      <c r="AA11" s="32"/>
      <c r="AB11" s="32"/>
      <c r="AC11" s="24"/>
      <c r="AD11" s="25">
        <f t="shared" si="8"/>
        <v>0</v>
      </c>
      <c r="AE11" s="25">
        <f t="shared" si="9"/>
        <v>0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>
        <v>1</v>
      </c>
      <c r="C12" s="32"/>
      <c r="D12" s="32"/>
      <c r="E12" s="24"/>
      <c r="F12" s="25">
        <f t="shared" si="0"/>
        <v>0</v>
      </c>
      <c r="G12" s="25">
        <f t="shared" si="1"/>
        <v>0</v>
      </c>
      <c r="H12" s="25">
        <f t="shared" si="2"/>
        <v>0</v>
      </c>
      <c r="I12" s="25">
        <f t="shared" si="3"/>
        <v>0</v>
      </c>
      <c r="J12" s="105">
        <f>I11+I13+I18+I24+I28</f>
        <v>2</v>
      </c>
      <c r="K12" s="108">
        <f>J12</f>
        <v>2</v>
      </c>
      <c r="M12" s="25">
        <v>6</v>
      </c>
      <c r="N12" s="32">
        <v>1</v>
      </c>
      <c r="O12" s="32"/>
      <c r="P12" s="32"/>
      <c r="Q12" s="24"/>
      <c r="R12" s="25">
        <f t="shared" si="4"/>
        <v>0</v>
      </c>
      <c r="S12" s="25">
        <f t="shared" si="5"/>
        <v>0</v>
      </c>
      <c r="T12" s="25">
        <f t="shared" si="6"/>
        <v>0</v>
      </c>
      <c r="U12" s="25">
        <f t="shared" si="7"/>
        <v>0</v>
      </c>
      <c r="V12" s="105">
        <f>U11+U13+U18+U24+U28</f>
        <v>2</v>
      </c>
      <c r="W12" s="108">
        <f>V12</f>
        <v>2</v>
      </c>
      <c r="Y12" s="25">
        <v>6</v>
      </c>
      <c r="Z12" s="32"/>
      <c r="AA12" s="32">
        <v>1</v>
      </c>
      <c r="AB12" s="32"/>
      <c r="AC12" s="24"/>
      <c r="AD12" s="25">
        <f t="shared" si="8"/>
        <v>0</v>
      </c>
      <c r="AE12" s="25">
        <f t="shared" si="9"/>
        <v>1</v>
      </c>
      <c r="AF12" s="25">
        <f t="shared" si="10"/>
        <v>0</v>
      </c>
      <c r="AG12" s="25">
        <f t="shared" si="11"/>
        <v>0</v>
      </c>
      <c r="AH12" s="105">
        <f>AG11+AG13+AG18+AG24+AG28</f>
        <v>2</v>
      </c>
      <c r="AI12" s="108">
        <f>AH12</f>
        <v>2</v>
      </c>
    </row>
    <row r="13" spans="1:35" ht="21" customHeight="1">
      <c r="A13" s="25">
        <v>7</v>
      </c>
      <c r="B13" s="32"/>
      <c r="C13" s="32">
        <v>1</v>
      </c>
      <c r="D13" s="32"/>
      <c r="E13" s="24"/>
      <c r="F13" s="25">
        <f>B13*2</f>
        <v>0</v>
      </c>
      <c r="G13" s="25">
        <f t="shared" si="1"/>
        <v>1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>
        <v>1</v>
      </c>
      <c r="P13" s="32"/>
      <c r="Q13" s="24"/>
      <c r="R13" s="25">
        <f>N13*2</f>
        <v>0</v>
      </c>
      <c r="S13" s="25">
        <f t="shared" si="5"/>
        <v>1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/>
      <c r="AA13" s="32">
        <v>1</v>
      </c>
      <c r="AB13" s="32"/>
      <c r="AC13" s="24"/>
      <c r="AD13" s="25">
        <f>Z13*2</f>
        <v>0</v>
      </c>
      <c r="AE13" s="25">
        <f t="shared" si="9"/>
        <v>1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>
        <v>1</v>
      </c>
      <c r="C14" s="32"/>
      <c r="D14" s="32"/>
      <c r="E14" s="24"/>
      <c r="F14" s="25">
        <f t="shared" ref="F14:F19" si="12">B14*0</f>
        <v>0</v>
      </c>
      <c r="G14" s="25">
        <f t="shared" si="1"/>
        <v>0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>
        <v>1</v>
      </c>
      <c r="O14" s="32"/>
      <c r="P14" s="32"/>
      <c r="Q14" s="24"/>
      <c r="R14" s="25">
        <f t="shared" ref="R14:R19" si="14">N14*0</f>
        <v>0</v>
      </c>
      <c r="S14" s="25">
        <f t="shared" si="5"/>
        <v>0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>
        <v>1</v>
      </c>
      <c r="AA14" s="32"/>
      <c r="AB14" s="32"/>
      <c r="AC14" s="24"/>
      <c r="AD14" s="25">
        <f t="shared" ref="AD14:AD19" si="16">Z14*0</f>
        <v>0</v>
      </c>
      <c r="AE14" s="25">
        <f t="shared" si="9"/>
        <v>0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>
        <v>1</v>
      </c>
      <c r="D15" s="32"/>
      <c r="E15" s="24"/>
      <c r="F15" s="25">
        <f t="shared" si="12"/>
        <v>0</v>
      </c>
      <c r="G15" s="25">
        <f t="shared" si="1"/>
        <v>1</v>
      </c>
      <c r="H15" s="25">
        <f t="shared" si="13"/>
        <v>0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>
        <v>1</v>
      </c>
      <c r="P15" s="32"/>
      <c r="Q15" s="24"/>
      <c r="R15" s="25">
        <f t="shared" si="14"/>
        <v>0</v>
      </c>
      <c r="S15" s="25">
        <f t="shared" si="5"/>
        <v>1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/>
      <c r="AA15" s="32">
        <v>1</v>
      </c>
      <c r="AB15" s="32"/>
      <c r="AC15" s="24"/>
      <c r="AD15" s="25">
        <f t="shared" si="16"/>
        <v>0</v>
      </c>
      <c r="AE15" s="25">
        <f t="shared" si="9"/>
        <v>1</v>
      </c>
      <c r="AF15" s="25">
        <f t="shared" si="17"/>
        <v>0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>
        <v>1</v>
      </c>
      <c r="C16" s="32"/>
      <c r="D16" s="32"/>
      <c r="E16" s="24"/>
      <c r="F16" s="25">
        <f t="shared" si="12"/>
        <v>0</v>
      </c>
      <c r="G16" s="25">
        <f t="shared" si="1"/>
        <v>0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>
        <v>1</v>
      </c>
      <c r="O16" s="32"/>
      <c r="P16" s="32"/>
      <c r="Q16" s="24"/>
      <c r="R16" s="25">
        <f t="shared" si="14"/>
        <v>0</v>
      </c>
      <c r="S16" s="25">
        <f t="shared" si="5"/>
        <v>0</v>
      </c>
      <c r="T16" s="25">
        <f t="shared" si="15"/>
        <v>0</v>
      </c>
      <c r="U16" s="25">
        <f t="shared" si="7"/>
        <v>0</v>
      </c>
      <c r="V16" s="24"/>
      <c r="W16" s="107" t="s">
        <v>99</v>
      </c>
      <c r="Y16" s="25">
        <v>10</v>
      </c>
      <c r="Z16" s="32">
        <v>1</v>
      </c>
      <c r="AA16" s="32"/>
      <c r="AB16" s="32"/>
      <c r="AC16" s="24"/>
      <c r="AD16" s="25">
        <f t="shared" si="16"/>
        <v>0</v>
      </c>
      <c r="AE16" s="25">
        <f t="shared" si="9"/>
        <v>0</v>
      </c>
      <c r="AF16" s="25">
        <f t="shared" si="17"/>
        <v>0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/>
      <c r="D17" s="32">
        <v>1</v>
      </c>
      <c r="E17" s="24"/>
      <c r="F17" s="25">
        <f t="shared" si="12"/>
        <v>0</v>
      </c>
      <c r="G17" s="25">
        <f t="shared" si="1"/>
        <v>0</v>
      </c>
      <c r="H17" s="25">
        <f t="shared" si="13"/>
        <v>2</v>
      </c>
      <c r="I17" s="25">
        <f t="shared" si="3"/>
        <v>0</v>
      </c>
      <c r="J17" s="105">
        <f>I8+I16+I21+I27+I31</f>
        <v>2</v>
      </c>
      <c r="K17" s="108">
        <f>J17</f>
        <v>2</v>
      </c>
      <c r="M17" s="25">
        <v>11</v>
      </c>
      <c r="N17" s="32"/>
      <c r="O17" s="32"/>
      <c r="P17" s="32">
        <v>1</v>
      </c>
      <c r="Q17" s="24"/>
      <c r="R17" s="25">
        <f t="shared" si="14"/>
        <v>0</v>
      </c>
      <c r="S17" s="25">
        <f t="shared" si="5"/>
        <v>0</v>
      </c>
      <c r="T17" s="25">
        <f t="shared" si="15"/>
        <v>2</v>
      </c>
      <c r="U17" s="25">
        <f t="shared" si="7"/>
        <v>0</v>
      </c>
      <c r="V17" s="105">
        <f>U8+U16+U21+U27+U31</f>
        <v>2</v>
      </c>
      <c r="W17" s="108">
        <f>V17</f>
        <v>2</v>
      </c>
      <c r="Y17" s="25">
        <v>11</v>
      </c>
      <c r="Z17" s="32"/>
      <c r="AA17" s="32"/>
      <c r="AB17" s="32">
        <v>1</v>
      </c>
      <c r="AC17" s="24"/>
      <c r="AD17" s="25">
        <f t="shared" si="16"/>
        <v>0</v>
      </c>
      <c r="AE17" s="25">
        <f t="shared" si="9"/>
        <v>0</v>
      </c>
      <c r="AF17" s="25">
        <f t="shared" si="17"/>
        <v>2</v>
      </c>
      <c r="AG17" s="25">
        <f t="shared" si="11"/>
        <v>0</v>
      </c>
      <c r="AH17" s="105">
        <f>AG8+AG16+AG21+AG27+AG31</f>
        <v>2</v>
      </c>
      <c r="AI17" s="108">
        <f>AH17</f>
        <v>2</v>
      </c>
    </row>
    <row r="18" spans="1:35" ht="21" customHeight="1">
      <c r="A18" s="25">
        <v>12</v>
      </c>
      <c r="B18" s="32">
        <v>1</v>
      </c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>
        <v>1</v>
      </c>
      <c r="O18" s="32"/>
      <c r="P18" s="32"/>
      <c r="Q18" s="24"/>
      <c r="R18" s="25">
        <f t="shared" si="14"/>
        <v>0</v>
      </c>
      <c r="S18" s="25">
        <f t="shared" si="5"/>
        <v>0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>
        <v>1</v>
      </c>
      <c r="AA18" s="32"/>
      <c r="AB18" s="32"/>
      <c r="AC18" s="24"/>
      <c r="AD18" s="25">
        <f t="shared" si="16"/>
        <v>0</v>
      </c>
      <c r="AE18" s="25">
        <f t="shared" si="9"/>
        <v>0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>
        <v>1</v>
      </c>
      <c r="C19" s="32"/>
      <c r="D19" s="32"/>
      <c r="E19" s="24"/>
      <c r="F19" s="25">
        <f t="shared" si="12"/>
        <v>0</v>
      </c>
      <c r="G19" s="25">
        <f t="shared" si="1"/>
        <v>0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>
        <v>1</v>
      </c>
      <c r="O19" s="32"/>
      <c r="P19" s="32"/>
      <c r="Q19" s="24"/>
      <c r="R19" s="25">
        <f t="shared" si="14"/>
        <v>0</v>
      </c>
      <c r="S19" s="25">
        <f t="shared" si="5"/>
        <v>0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>
        <v>1</v>
      </c>
      <c r="AA19" s="32"/>
      <c r="AB19" s="32"/>
      <c r="AC19" s="24"/>
      <c r="AD19" s="25">
        <f t="shared" si="16"/>
        <v>0</v>
      </c>
      <c r="AE19" s="25">
        <f t="shared" si="9"/>
        <v>0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/>
      <c r="C20" s="32">
        <v>1</v>
      </c>
      <c r="D20" s="32"/>
      <c r="E20" s="24"/>
      <c r="F20" s="25">
        <f>B20*2</f>
        <v>0</v>
      </c>
      <c r="G20" s="25">
        <f t="shared" si="1"/>
        <v>1</v>
      </c>
      <c r="H20" s="25">
        <f>D20*0</f>
        <v>0</v>
      </c>
      <c r="I20" s="25">
        <f t="shared" si="3"/>
        <v>0</v>
      </c>
      <c r="J20" s="24"/>
      <c r="K20" s="107" t="s">
        <v>100</v>
      </c>
      <c r="M20" s="25">
        <v>14</v>
      </c>
      <c r="N20" s="32"/>
      <c r="O20" s="32">
        <v>1</v>
      </c>
      <c r="P20" s="32"/>
      <c r="Q20" s="24"/>
      <c r="R20" s="25">
        <f>N20*2</f>
        <v>0</v>
      </c>
      <c r="S20" s="25">
        <f t="shared" si="5"/>
        <v>1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/>
      <c r="AA20" s="32">
        <v>1</v>
      </c>
      <c r="AB20" s="32"/>
      <c r="AC20" s="24"/>
      <c r="AD20" s="25">
        <f>Z20*2</f>
        <v>0</v>
      </c>
      <c r="AE20" s="25">
        <f t="shared" si="9"/>
        <v>1</v>
      </c>
      <c r="AF20" s="25">
        <f>AB20*0</f>
        <v>0</v>
      </c>
      <c r="AG20" s="25">
        <f t="shared" si="11"/>
        <v>0</v>
      </c>
      <c r="AH20" s="24"/>
      <c r="AI20" s="107" t="s">
        <v>100</v>
      </c>
    </row>
    <row r="21" spans="1:35" ht="21" customHeight="1">
      <c r="A21" s="25">
        <v>15</v>
      </c>
      <c r="B21" s="32">
        <v>1</v>
      </c>
      <c r="C21" s="32"/>
      <c r="D21" s="32"/>
      <c r="E21" s="24"/>
      <c r="F21" s="25">
        <f>B21*2</f>
        <v>2</v>
      </c>
      <c r="G21" s="25">
        <f t="shared" si="1"/>
        <v>0</v>
      </c>
      <c r="H21" s="25">
        <f>D21*0</f>
        <v>0</v>
      </c>
      <c r="I21" s="25">
        <f t="shared" si="3"/>
        <v>2</v>
      </c>
      <c r="J21" s="24"/>
      <c r="K21" s="107" t="s">
        <v>101</v>
      </c>
      <c r="M21" s="25">
        <v>15</v>
      </c>
      <c r="N21" s="32">
        <v>1</v>
      </c>
      <c r="O21" s="32"/>
      <c r="P21" s="32"/>
      <c r="Q21" s="24"/>
      <c r="R21" s="25">
        <f>N21*2</f>
        <v>2</v>
      </c>
      <c r="S21" s="25">
        <f t="shared" si="5"/>
        <v>0</v>
      </c>
      <c r="T21" s="25">
        <f>P21*0</f>
        <v>0</v>
      </c>
      <c r="U21" s="25">
        <f t="shared" si="7"/>
        <v>2</v>
      </c>
      <c r="V21" s="24"/>
      <c r="W21" s="107" t="s">
        <v>101</v>
      </c>
      <c r="Y21" s="25">
        <v>15</v>
      </c>
      <c r="Z21" s="32">
        <v>1</v>
      </c>
      <c r="AA21" s="32"/>
      <c r="AB21" s="32"/>
      <c r="AC21" s="24"/>
      <c r="AD21" s="25">
        <f>Z21*2</f>
        <v>2</v>
      </c>
      <c r="AE21" s="25">
        <f t="shared" si="9"/>
        <v>0</v>
      </c>
      <c r="AF21" s="25">
        <f>AB21*0</f>
        <v>0</v>
      </c>
      <c r="AG21" s="25">
        <f t="shared" si="11"/>
        <v>2</v>
      </c>
      <c r="AH21" s="24"/>
      <c r="AI21" s="107" t="s">
        <v>101</v>
      </c>
    </row>
    <row r="22" spans="1:35" ht="21" customHeight="1">
      <c r="A22" s="25">
        <v>16</v>
      </c>
      <c r="B22" s="32">
        <v>1</v>
      </c>
      <c r="C22" s="32"/>
      <c r="D22" s="32"/>
      <c r="E22" s="24"/>
      <c r="F22" s="25">
        <f>B22*0</f>
        <v>0</v>
      </c>
      <c r="G22" s="25">
        <f t="shared" si="1"/>
        <v>0</v>
      </c>
      <c r="H22" s="25">
        <f>D22*2</f>
        <v>0</v>
      </c>
      <c r="I22" s="25">
        <f t="shared" si="3"/>
        <v>0</v>
      </c>
      <c r="J22" s="105">
        <f>I12+I17+I20+I25+I29</f>
        <v>0</v>
      </c>
      <c r="K22" s="108">
        <f>J22</f>
        <v>0</v>
      </c>
      <c r="M22" s="25">
        <v>16</v>
      </c>
      <c r="N22" s="32"/>
      <c r="O22" s="32">
        <v>1</v>
      </c>
      <c r="P22" s="32"/>
      <c r="Q22" s="24"/>
      <c r="R22" s="25">
        <f>N22*0</f>
        <v>0</v>
      </c>
      <c r="S22" s="25">
        <f t="shared" si="5"/>
        <v>1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/>
      <c r="AA22" s="32">
        <v>1</v>
      </c>
      <c r="AB22" s="32"/>
      <c r="AC22" s="24"/>
      <c r="AD22" s="25">
        <f>Z22*0</f>
        <v>0</v>
      </c>
      <c r="AE22" s="25">
        <f t="shared" si="9"/>
        <v>1</v>
      </c>
      <c r="AF22" s="25">
        <f>AB22*2</f>
        <v>0</v>
      </c>
      <c r="AG22" s="25">
        <f t="shared" si="11"/>
        <v>0</v>
      </c>
      <c r="AH22" s="105">
        <f>AG12+AG17+AG20+AG25+AG29</f>
        <v>0</v>
      </c>
      <c r="AI22" s="108">
        <f>AH22</f>
        <v>0</v>
      </c>
    </row>
    <row r="23" spans="1:35" ht="21" customHeight="1">
      <c r="A23" s="25">
        <v>17</v>
      </c>
      <c r="B23" s="32"/>
      <c r="C23" s="32"/>
      <c r="D23" s="32">
        <v>1</v>
      </c>
      <c r="E23" s="24"/>
      <c r="F23" s="25">
        <f>B23*2</f>
        <v>0</v>
      </c>
      <c r="G23" s="25">
        <f t="shared" si="1"/>
        <v>0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/>
      <c r="O23" s="32">
        <v>1</v>
      </c>
      <c r="P23" s="32"/>
      <c r="Q23" s="24"/>
      <c r="R23" s="25">
        <f>N23*2</f>
        <v>0</v>
      </c>
      <c r="S23" s="25">
        <f t="shared" si="5"/>
        <v>1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/>
      <c r="AA23" s="32"/>
      <c r="AB23" s="32">
        <v>1</v>
      </c>
      <c r="AC23" s="24"/>
      <c r="AD23" s="25">
        <f>Z23*2</f>
        <v>0</v>
      </c>
      <c r="AE23" s="25">
        <f t="shared" si="9"/>
        <v>0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>
        <v>1</v>
      </c>
      <c r="C24" s="32"/>
      <c r="D24" s="32"/>
      <c r="E24" s="24"/>
      <c r="F24" s="25">
        <f>B24*2</f>
        <v>2</v>
      </c>
      <c r="G24" s="25">
        <f t="shared" si="1"/>
        <v>0</v>
      </c>
      <c r="H24" s="25">
        <f>D24*0</f>
        <v>0</v>
      </c>
      <c r="I24" s="25">
        <f t="shared" si="3"/>
        <v>2</v>
      </c>
      <c r="J24" s="24"/>
      <c r="K24" s="25"/>
      <c r="M24" s="25">
        <v>18</v>
      </c>
      <c r="N24" s="32">
        <v>1</v>
      </c>
      <c r="O24" s="32"/>
      <c r="P24" s="32"/>
      <c r="Q24" s="24"/>
      <c r="R24" s="25">
        <f>N24*2</f>
        <v>2</v>
      </c>
      <c r="S24" s="25">
        <f t="shared" si="5"/>
        <v>0</v>
      </c>
      <c r="T24" s="25">
        <f>P24*0</f>
        <v>0</v>
      </c>
      <c r="U24" s="25">
        <f t="shared" si="7"/>
        <v>2</v>
      </c>
      <c r="V24" s="24"/>
      <c r="W24" s="25"/>
      <c r="Y24" s="25">
        <v>18</v>
      </c>
      <c r="Z24" s="32">
        <v>1</v>
      </c>
      <c r="AA24" s="32"/>
      <c r="AB24" s="32"/>
      <c r="AC24" s="24"/>
      <c r="AD24" s="25">
        <f>Z24*2</f>
        <v>2</v>
      </c>
      <c r="AE24" s="25">
        <f t="shared" si="9"/>
        <v>0</v>
      </c>
      <c r="AF24" s="25">
        <f>AB24*0</f>
        <v>0</v>
      </c>
      <c r="AG24" s="25">
        <f t="shared" si="11"/>
        <v>2</v>
      </c>
      <c r="AH24" s="24"/>
      <c r="AI24" s="25"/>
    </row>
    <row r="25" spans="1:35" ht="21" customHeight="1">
      <c r="A25" s="25">
        <v>19</v>
      </c>
      <c r="B25" s="32">
        <v>1</v>
      </c>
      <c r="C25" s="32"/>
      <c r="D25" s="32"/>
      <c r="E25" s="24"/>
      <c r="F25" s="25">
        <f t="shared" ref="F25:F31" si="18">B25*0</f>
        <v>0</v>
      </c>
      <c r="G25" s="25">
        <f t="shared" si="1"/>
        <v>0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>
        <v>1</v>
      </c>
      <c r="O25" s="32"/>
      <c r="P25" s="32"/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>
        <v>1</v>
      </c>
      <c r="AA25" s="32"/>
      <c r="AB25" s="32"/>
      <c r="AC25" s="24"/>
      <c r="AD25" s="25">
        <f t="shared" ref="AD25:AD31" si="22">Z25*0</f>
        <v>0</v>
      </c>
      <c r="AE25" s="25">
        <f t="shared" si="9"/>
        <v>0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>
        <v>1</v>
      </c>
      <c r="D26" s="32"/>
      <c r="E26" s="24"/>
      <c r="F26" s="25">
        <f t="shared" si="18"/>
        <v>0</v>
      </c>
      <c r="G26" s="25">
        <f t="shared" si="1"/>
        <v>1</v>
      </c>
      <c r="H26" s="25">
        <f t="shared" si="19"/>
        <v>0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>
        <v>1</v>
      </c>
      <c r="P26" s="32"/>
      <c r="Q26" s="24"/>
      <c r="R26" s="25">
        <f t="shared" si="20"/>
        <v>0</v>
      </c>
      <c r="S26" s="25">
        <f t="shared" si="5"/>
        <v>1</v>
      </c>
      <c r="T26" s="25">
        <f t="shared" si="21"/>
        <v>0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/>
      <c r="AB26" s="32">
        <v>1</v>
      </c>
      <c r="AC26" s="24"/>
      <c r="AD26" s="25">
        <f t="shared" si="22"/>
        <v>0</v>
      </c>
      <c r="AE26" s="25">
        <f t="shared" si="9"/>
        <v>0</v>
      </c>
      <c r="AF26" s="25">
        <f t="shared" si="23"/>
        <v>2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>
        <v>1</v>
      </c>
      <c r="D27" s="32"/>
      <c r="E27" s="24"/>
      <c r="F27" s="25">
        <f t="shared" si="18"/>
        <v>0</v>
      </c>
      <c r="G27" s="25">
        <f t="shared" si="1"/>
        <v>1</v>
      </c>
      <c r="H27" s="25">
        <f t="shared" si="19"/>
        <v>0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/>
      <c r="O27" s="32">
        <v>1</v>
      </c>
      <c r="P27" s="32"/>
      <c r="Q27" s="24"/>
      <c r="R27" s="25">
        <f t="shared" si="20"/>
        <v>0</v>
      </c>
      <c r="S27" s="25">
        <f t="shared" si="5"/>
        <v>1</v>
      </c>
      <c r="T27" s="25">
        <f t="shared" si="21"/>
        <v>0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/>
      <c r="AA27" s="32">
        <v>1</v>
      </c>
      <c r="AB27" s="32"/>
      <c r="AC27" s="24"/>
      <c r="AD27" s="25">
        <f t="shared" si="22"/>
        <v>0</v>
      </c>
      <c r="AE27" s="25">
        <f t="shared" si="9"/>
        <v>1</v>
      </c>
      <c r="AF27" s="25">
        <f t="shared" si="23"/>
        <v>0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>
        <v>1</v>
      </c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>
        <v>1</v>
      </c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>
        <v>1</v>
      </c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>
        <v>1</v>
      </c>
      <c r="C29" s="32"/>
      <c r="D29" s="32"/>
      <c r="E29" s="24"/>
      <c r="F29" s="25">
        <f t="shared" si="18"/>
        <v>0</v>
      </c>
      <c r="G29" s="25">
        <f t="shared" si="1"/>
        <v>0</v>
      </c>
      <c r="H29" s="25">
        <f t="shared" si="19"/>
        <v>0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>
        <v>1</v>
      </c>
      <c r="P29" s="32"/>
      <c r="Q29" s="24"/>
      <c r="R29" s="25">
        <f t="shared" si="20"/>
        <v>0</v>
      </c>
      <c r="S29" s="25">
        <f t="shared" si="5"/>
        <v>1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/>
      <c r="AA29" s="32">
        <v>1</v>
      </c>
      <c r="AB29" s="32"/>
      <c r="AC29" s="24"/>
      <c r="AD29" s="25">
        <f t="shared" si="22"/>
        <v>0</v>
      </c>
      <c r="AE29" s="25">
        <f t="shared" si="9"/>
        <v>1</v>
      </c>
      <c r="AF29" s="25">
        <f t="shared" si="23"/>
        <v>0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>
        <v>1</v>
      </c>
      <c r="C30" s="32"/>
      <c r="D30" s="32"/>
      <c r="E30" s="24"/>
      <c r="F30" s="25">
        <f t="shared" si="18"/>
        <v>0</v>
      </c>
      <c r="G30" s="25">
        <f t="shared" si="1"/>
        <v>0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>
        <v>1</v>
      </c>
      <c r="O30" s="32"/>
      <c r="P30" s="32"/>
      <c r="Q30" s="24"/>
      <c r="R30" s="25">
        <f t="shared" si="20"/>
        <v>0</v>
      </c>
      <c r="S30" s="25">
        <f t="shared" si="5"/>
        <v>0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>
        <v>1</v>
      </c>
      <c r="AA30" s="32"/>
      <c r="AB30" s="32"/>
      <c r="AC30" s="24"/>
      <c r="AD30" s="25">
        <f t="shared" si="22"/>
        <v>0</v>
      </c>
      <c r="AE30" s="25">
        <f t="shared" si="9"/>
        <v>0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>
        <v>1</v>
      </c>
      <c r="D31" s="32"/>
      <c r="E31" s="24"/>
      <c r="F31" s="25">
        <f t="shared" si="18"/>
        <v>0</v>
      </c>
      <c r="G31" s="25">
        <f t="shared" si="1"/>
        <v>1</v>
      </c>
      <c r="H31" s="25">
        <f t="shared" si="19"/>
        <v>0</v>
      </c>
      <c r="I31" s="25">
        <f t="shared" si="3"/>
        <v>0</v>
      </c>
      <c r="J31" s="24"/>
      <c r="K31" s="108">
        <f>K7+K12+K17+K22</f>
        <v>4</v>
      </c>
      <c r="M31" s="25">
        <v>25</v>
      </c>
      <c r="N31" s="32"/>
      <c r="O31" s="32">
        <v>1</v>
      </c>
      <c r="P31" s="32"/>
      <c r="Q31" s="24"/>
      <c r="R31" s="25">
        <f t="shared" si="20"/>
        <v>0</v>
      </c>
      <c r="S31" s="25">
        <f t="shared" si="5"/>
        <v>1</v>
      </c>
      <c r="T31" s="25">
        <f t="shared" si="21"/>
        <v>0</v>
      </c>
      <c r="U31" s="25">
        <f t="shared" si="7"/>
        <v>0</v>
      </c>
      <c r="V31" s="24"/>
      <c r="W31" s="108">
        <f>W7+W12+W17+W22</f>
        <v>4</v>
      </c>
      <c r="Y31" s="25">
        <v>25</v>
      </c>
      <c r="Z31" s="32"/>
      <c r="AA31" s="32">
        <v>1</v>
      </c>
      <c r="AB31" s="32"/>
      <c r="AC31" s="24"/>
      <c r="AD31" s="25">
        <f t="shared" si="22"/>
        <v>0</v>
      </c>
      <c r="AE31" s="25">
        <f t="shared" si="9"/>
        <v>1</v>
      </c>
      <c r="AF31" s="25">
        <f t="shared" si="23"/>
        <v>0</v>
      </c>
      <c r="AG31" s="25">
        <f t="shared" si="11"/>
        <v>0</v>
      </c>
      <c r="AH31" s="24"/>
      <c r="AI31" s="108">
        <f>AI7+AI12+AI17+AI22</f>
        <v>4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7"/>
  </sheetPr>
  <dimension ref="A1:AI41"/>
  <sheetViews>
    <sheetView topLeftCell="W24" zoomScale="150" workbookViewId="0">
      <selection activeCell="AB31" sqref="AB31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 t="str">
        <f>รายชื่อ!B22</f>
        <v>เด็กหญิง</v>
      </c>
      <c r="C3" s="110" t="str">
        <f>รายชื่อ!C22</f>
        <v>ณหทัย</v>
      </c>
      <c r="D3" s="110" t="str">
        <f>รายชื่อ!D22</f>
        <v>แดงกองโค</v>
      </c>
      <c r="E3" s="60"/>
      <c r="F3" s="103"/>
      <c r="G3" s="165"/>
      <c r="H3" s="165"/>
      <c r="I3" s="165"/>
      <c r="J3" s="25"/>
      <c r="K3" s="106" t="s">
        <v>48</v>
      </c>
      <c r="M3" s="25" t="s">
        <v>85</v>
      </c>
      <c r="N3" s="110" t="str">
        <f>รายชื่อ!B22</f>
        <v>เด็กหญิง</v>
      </c>
      <c r="O3" s="110" t="str">
        <f>รายชื่อ!C22</f>
        <v>ณหทัย</v>
      </c>
      <c r="P3" s="110" t="str">
        <f>รายชื่อ!D22</f>
        <v>แดงกองโค</v>
      </c>
      <c r="Q3" s="60"/>
      <c r="R3" s="103"/>
      <c r="S3" s="165"/>
      <c r="T3" s="165"/>
      <c r="U3" s="165"/>
      <c r="V3" s="25"/>
      <c r="W3" s="106" t="s">
        <v>48</v>
      </c>
      <c r="Y3" s="25" t="s">
        <v>85</v>
      </c>
      <c r="Z3" s="110" t="str">
        <f>รายชื่อ!B22</f>
        <v>เด็กหญิง</v>
      </c>
      <c r="AA3" s="110" t="str">
        <f>รายชื่อ!C22</f>
        <v>ณหทัย</v>
      </c>
      <c r="AB3" s="110" t="str">
        <f>รายชื่อ!D22</f>
        <v>แดงกองโค</v>
      </c>
      <c r="AC3" s="60"/>
      <c r="AD3" s="103"/>
      <c r="AE3" s="165"/>
      <c r="AF3" s="165"/>
      <c r="AG3" s="165"/>
      <c r="AH3" s="25"/>
      <c r="AI3" s="106" t="s">
        <v>48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/>
      <c r="C7" s="32">
        <v>1</v>
      </c>
      <c r="D7" s="32"/>
      <c r="E7" s="24"/>
      <c r="F7" s="25">
        <f t="shared" ref="F7:F12" si="0">B7*0</f>
        <v>0</v>
      </c>
      <c r="G7" s="25">
        <f t="shared" ref="G7:G31" si="1">C7*1</f>
        <v>1</v>
      </c>
      <c r="H7" s="25">
        <f t="shared" ref="H7:H12" si="2">D7*2</f>
        <v>0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/>
      <c r="O7" s="32">
        <v>1</v>
      </c>
      <c r="P7" s="32"/>
      <c r="Q7" s="24"/>
      <c r="R7" s="25">
        <f t="shared" ref="R7:R12" si="4">N7*0</f>
        <v>0</v>
      </c>
      <c r="S7" s="25">
        <f t="shared" ref="S7:S31" si="5">O7*1</f>
        <v>1</v>
      </c>
      <c r="T7" s="25">
        <f t="shared" ref="T7:T12" si="6">P7*2</f>
        <v>0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>
        <v>1</v>
      </c>
      <c r="AB7" s="32"/>
      <c r="AC7" s="24"/>
      <c r="AD7" s="25">
        <f t="shared" ref="AD7:AD12" si="8">Z7*0</f>
        <v>0</v>
      </c>
      <c r="AE7" s="25">
        <f t="shared" ref="AE7:AE31" si="9">AA7*1</f>
        <v>1</v>
      </c>
      <c r="AF7" s="25">
        <f t="shared" ref="AF7:AF12" si="10">AB7*2</f>
        <v>0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>
        <v>1</v>
      </c>
      <c r="C8" s="32"/>
      <c r="D8" s="32"/>
      <c r="E8" s="24"/>
      <c r="F8" s="25">
        <f t="shared" si="0"/>
        <v>0</v>
      </c>
      <c r="G8" s="25">
        <f t="shared" si="1"/>
        <v>0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>
        <v>1</v>
      </c>
      <c r="O8" s="32"/>
      <c r="P8" s="32"/>
      <c r="Q8" s="24"/>
      <c r="R8" s="25">
        <f t="shared" si="4"/>
        <v>0</v>
      </c>
      <c r="S8" s="25">
        <f t="shared" si="5"/>
        <v>0</v>
      </c>
      <c r="T8" s="25">
        <f t="shared" si="6"/>
        <v>0</v>
      </c>
      <c r="U8" s="25">
        <f t="shared" si="7"/>
        <v>0</v>
      </c>
      <c r="V8" s="24"/>
      <c r="W8" s="25"/>
      <c r="Y8" s="25">
        <v>2</v>
      </c>
      <c r="Z8" s="32">
        <v>1</v>
      </c>
      <c r="AA8" s="32"/>
      <c r="AB8" s="32"/>
      <c r="AC8" s="24"/>
      <c r="AD8" s="25">
        <f t="shared" si="8"/>
        <v>0</v>
      </c>
      <c r="AE8" s="25">
        <f t="shared" si="9"/>
        <v>0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>
        <v>1</v>
      </c>
      <c r="C9" s="32"/>
      <c r="D9" s="32"/>
      <c r="E9" s="24"/>
      <c r="F9" s="25">
        <f t="shared" si="0"/>
        <v>0</v>
      </c>
      <c r="G9" s="25">
        <f t="shared" si="1"/>
        <v>0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>
        <v>1</v>
      </c>
      <c r="O9" s="32"/>
      <c r="P9" s="32"/>
      <c r="Q9" s="24"/>
      <c r="R9" s="25">
        <f t="shared" si="4"/>
        <v>0</v>
      </c>
      <c r="S9" s="25">
        <f t="shared" si="5"/>
        <v>0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>
        <v>1</v>
      </c>
      <c r="AA9" s="32"/>
      <c r="AB9" s="32"/>
      <c r="AC9" s="24"/>
      <c r="AD9" s="25">
        <f t="shared" si="8"/>
        <v>0</v>
      </c>
      <c r="AE9" s="25">
        <f t="shared" si="9"/>
        <v>0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>
        <v>1</v>
      </c>
      <c r="D10" s="32"/>
      <c r="E10" s="24"/>
      <c r="F10" s="25">
        <f t="shared" si="0"/>
        <v>0</v>
      </c>
      <c r="G10" s="25">
        <f t="shared" si="1"/>
        <v>1</v>
      </c>
      <c r="H10" s="25">
        <f t="shared" si="2"/>
        <v>0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>
        <v>1</v>
      </c>
      <c r="P10" s="32"/>
      <c r="Q10" s="24"/>
      <c r="R10" s="25">
        <f t="shared" si="4"/>
        <v>0</v>
      </c>
      <c r="S10" s="25">
        <f t="shared" si="5"/>
        <v>1</v>
      </c>
      <c r="T10" s="25">
        <f t="shared" si="6"/>
        <v>0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>
        <v>1</v>
      </c>
      <c r="AB10" s="32"/>
      <c r="AC10" s="24"/>
      <c r="AD10" s="25">
        <f t="shared" si="8"/>
        <v>0</v>
      </c>
      <c r="AE10" s="25">
        <f t="shared" si="9"/>
        <v>1</v>
      </c>
      <c r="AF10" s="25">
        <f t="shared" si="10"/>
        <v>0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>
        <v>1</v>
      </c>
      <c r="C11" s="32"/>
      <c r="D11" s="32"/>
      <c r="E11" s="24"/>
      <c r="F11" s="25">
        <f t="shared" si="0"/>
        <v>0</v>
      </c>
      <c r="G11" s="25">
        <f t="shared" si="1"/>
        <v>0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>
        <v>1</v>
      </c>
      <c r="O11" s="32"/>
      <c r="P11" s="32"/>
      <c r="Q11" s="24"/>
      <c r="R11" s="25">
        <f t="shared" si="4"/>
        <v>0</v>
      </c>
      <c r="S11" s="25">
        <f t="shared" si="5"/>
        <v>0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>
        <v>1</v>
      </c>
      <c r="AA11" s="32"/>
      <c r="AB11" s="32"/>
      <c r="AC11" s="24"/>
      <c r="AD11" s="25">
        <f t="shared" si="8"/>
        <v>0</v>
      </c>
      <c r="AE11" s="25">
        <f t="shared" si="9"/>
        <v>0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/>
      <c r="C12" s="32"/>
      <c r="D12" s="32">
        <v>1</v>
      </c>
      <c r="E12" s="24"/>
      <c r="F12" s="25">
        <f t="shared" si="0"/>
        <v>0</v>
      </c>
      <c r="G12" s="25">
        <f t="shared" si="1"/>
        <v>0</v>
      </c>
      <c r="H12" s="25">
        <f t="shared" si="2"/>
        <v>2</v>
      </c>
      <c r="I12" s="25">
        <f t="shared" si="3"/>
        <v>0</v>
      </c>
      <c r="J12" s="105">
        <f>I11+I13+I18+I24+I28</f>
        <v>2</v>
      </c>
      <c r="K12" s="108">
        <f>J12</f>
        <v>2</v>
      </c>
      <c r="M12" s="25">
        <v>6</v>
      </c>
      <c r="N12" s="32"/>
      <c r="O12" s="32">
        <v>1</v>
      </c>
      <c r="P12" s="32"/>
      <c r="Q12" s="24"/>
      <c r="R12" s="25">
        <f t="shared" si="4"/>
        <v>0</v>
      </c>
      <c r="S12" s="25">
        <f t="shared" si="5"/>
        <v>1</v>
      </c>
      <c r="T12" s="25">
        <f t="shared" si="6"/>
        <v>0</v>
      </c>
      <c r="U12" s="25">
        <f t="shared" si="7"/>
        <v>0</v>
      </c>
      <c r="V12" s="105">
        <f>U11+U13+U18+U24+U28</f>
        <v>2</v>
      </c>
      <c r="W12" s="108">
        <f>V12</f>
        <v>2</v>
      </c>
      <c r="Y12" s="25">
        <v>6</v>
      </c>
      <c r="Z12" s="32"/>
      <c r="AA12" s="32"/>
      <c r="AB12" s="32">
        <v>1</v>
      </c>
      <c r="AC12" s="24"/>
      <c r="AD12" s="25">
        <f t="shared" si="8"/>
        <v>0</v>
      </c>
      <c r="AE12" s="25">
        <f t="shared" si="9"/>
        <v>0</v>
      </c>
      <c r="AF12" s="25">
        <f t="shared" si="10"/>
        <v>2</v>
      </c>
      <c r="AG12" s="25">
        <f t="shared" si="11"/>
        <v>0</v>
      </c>
      <c r="AH12" s="105">
        <f>AG11+AG13+AG18+AG24+AG28</f>
        <v>4</v>
      </c>
      <c r="AI12" s="108">
        <f>AH12</f>
        <v>4</v>
      </c>
    </row>
    <row r="13" spans="1:35" ht="21" customHeight="1">
      <c r="A13" s="25">
        <v>7</v>
      </c>
      <c r="B13" s="32"/>
      <c r="C13" s="32">
        <v>1</v>
      </c>
      <c r="D13" s="32"/>
      <c r="E13" s="24"/>
      <c r="F13" s="25">
        <f>B13*2</f>
        <v>0</v>
      </c>
      <c r="G13" s="25">
        <f t="shared" si="1"/>
        <v>1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>
        <v>1</v>
      </c>
      <c r="P13" s="32"/>
      <c r="Q13" s="24"/>
      <c r="R13" s="25">
        <f>N13*2</f>
        <v>0</v>
      </c>
      <c r="S13" s="25">
        <f t="shared" si="5"/>
        <v>1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>
        <v>1</v>
      </c>
      <c r="AA13" s="32"/>
      <c r="AB13" s="32"/>
      <c r="AC13" s="24"/>
      <c r="AD13" s="25">
        <f>Z13*2</f>
        <v>2</v>
      </c>
      <c r="AE13" s="25">
        <f t="shared" si="9"/>
        <v>0</v>
      </c>
      <c r="AF13" s="25">
        <f>AB13*0</f>
        <v>0</v>
      </c>
      <c r="AG13" s="25">
        <f t="shared" si="11"/>
        <v>2</v>
      </c>
      <c r="AH13" s="24"/>
      <c r="AI13" s="25"/>
    </row>
    <row r="14" spans="1:35" ht="21" customHeight="1">
      <c r="A14" s="25">
        <v>8</v>
      </c>
      <c r="B14" s="32"/>
      <c r="C14" s="32">
        <v>1</v>
      </c>
      <c r="D14" s="32"/>
      <c r="E14" s="24"/>
      <c r="F14" s="25">
        <f t="shared" ref="F14:F19" si="12">B14*0</f>
        <v>0</v>
      </c>
      <c r="G14" s="25">
        <f t="shared" si="1"/>
        <v>1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/>
      <c r="O14" s="32">
        <v>1</v>
      </c>
      <c r="P14" s="32"/>
      <c r="Q14" s="24"/>
      <c r="R14" s="25">
        <f t="shared" ref="R14:R19" si="14">N14*0</f>
        <v>0</v>
      </c>
      <c r="S14" s="25">
        <f t="shared" si="5"/>
        <v>1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/>
      <c r="AA14" s="32">
        <v>1</v>
      </c>
      <c r="AB14" s="32"/>
      <c r="AC14" s="24"/>
      <c r="AD14" s="25">
        <f t="shared" ref="AD14:AD19" si="16">Z14*0</f>
        <v>0</v>
      </c>
      <c r="AE14" s="25">
        <f t="shared" si="9"/>
        <v>1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/>
      <c r="D15" s="32">
        <v>1</v>
      </c>
      <c r="E15" s="24"/>
      <c r="F15" s="25">
        <f t="shared" si="12"/>
        <v>0</v>
      </c>
      <c r="G15" s="25">
        <f t="shared" si="1"/>
        <v>0</v>
      </c>
      <c r="H15" s="25">
        <f t="shared" si="13"/>
        <v>2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>
        <v>1</v>
      </c>
      <c r="P15" s="32"/>
      <c r="Q15" s="24"/>
      <c r="R15" s="25">
        <f t="shared" si="14"/>
        <v>0</v>
      </c>
      <c r="S15" s="25">
        <f t="shared" si="5"/>
        <v>1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/>
      <c r="AA15" s="32">
        <v>1</v>
      </c>
      <c r="AB15" s="32"/>
      <c r="AC15" s="24"/>
      <c r="AD15" s="25">
        <f t="shared" si="16"/>
        <v>0</v>
      </c>
      <c r="AE15" s="25">
        <f t="shared" si="9"/>
        <v>1</v>
      </c>
      <c r="AF15" s="25">
        <f t="shared" si="17"/>
        <v>0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>
        <v>1</v>
      </c>
      <c r="C16" s="32"/>
      <c r="D16" s="32"/>
      <c r="E16" s="24"/>
      <c r="F16" s="25">
        <f t="shared" si="12"/>
        <v>0</v>
      </c>
      <c r="G16" s="25">
        <f t="shared" si="1"/>
        <v>0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>
        <v>1</v>
      </c>
      <c r="O16" s="32"/>
      <c r="P16" s="32"/>
      <c r="Q16" s="24"/>
      <c r="R16" s="25">
        <f t="shared" si="14"/>
        <v>0</v>
      </c>
      <c r="S16" s="25">
        <f t="shared" si="5"/>
        <v>0</v>
      </c>
      <c r="T16" s="25">
        <f t="shared" si="15"/>
        <v>0</v>
      </c>
      <c r="U16" s="25">
        <f t="shared" si="7"/>
        <v>0</v>
      </c>
      <c r="V16" s="24"/>
      <c r="W16" s="107" t="s">
        <v>99</v>
      </c>
      <c r="Y16" s="25">
        <v>10</v>
      </c>
      <c r="Z16" s="32">
        <v>1</v>
      </c>
      <c r="AA16" s="32"/>
      <c r="AB16" s="32"/>
      <c r="AC16" s="24"/>
      <c r="AD16" s="25">
        <f t="shared" si="16"/>
        <v>0</v>
      </c>
      <c r="AE16" s="25">
        <f t="shared" si="9"/>
        <v>0</v>
      </c>
      <c r="AF16" s="25">
        <f t="shared" si="17"/>
        <v>0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/>
      <c r="D17" s="32">
        <v>1</v>
      </c>
      <c r="E17" s="24"/>
      <c r="F17" s="25">
        <f t="shared" si="12"/>
        <v>0</v>
      </c>
      <c r="G17" s="25">
        <f t="shared" si="1"/>
        <v>0</v>
      </c>
      <c r="H17" s="25">
        <f t="shared" si="13"/>
        <v>2</v>
      </c>
      <c r="I17" s="25">
        <f t="shared" si="3"/>
        <v>0</v>
      </c>
      <c r="J17" s="105">
        <f>I8+I16+I21+I27+I31</f>
        <v>2</v>
      </c>
      <c r="K17" s="108">
        <f>J17</f>
        <v>2</v>
      </c>
      <c r="M17" s="25">
        <v>11</v>
      </c>
      <c r="N17" s="32"/>
      <c r="O17" s="32"/>
      <c r="P17" s="32">
        <v>1</v>
      </c>
      <c r="Q17" s="24"/>
      <c r="R17" s="25">
        <f t="shared" si="14"/>
        <v>0</v>
      </c>
      <c r="S17" s="25">
        <f t="shared" si="5"/>
        <v>0</v>
      </c>
      <c r="T17" s="25">
        <f t="shared" si="15"/>
        <v>2</v>
      </c>
      <c r="U17" s="25">
        <f t="shared" si="7"/>
        <v>0</v>
      </c>
      <c r="V17" s="105">
        <f>U8+U16+U21+U27+U31</f>
        <v>2</v>
      </c>
      <c r="W17" s="108">
        <f>V17</f>
        <v>2</v>
      </c>
      <c r="Y17" s="25">
        <v>11</v>
      </c>
      <c r="Z17" s="32"/>
      <c r="AA17" s="32"/>
      <c r="AB17" s="32">
        <v>1</v>
      </c>
      <c r="AC17" s="24"/>
      <c r="AD17" s="25">
        <f t="shared" si="16"/>
        <v>0</v>
      </c>
      <c r="AE17" s="25">
        <f t="shared" si="9"/>
        <v>0</v>
      </c>
      <c r="AF17" s="25">
        <f t="shared" si="17"/>
        <v>2</v>
      </c>
      <c r="AG17" s="25">
        <f t="shared" si="11"/>
        <v>0</v>
      </c>
      <c r="AH17" s="105">
        <f>AG8+AG16+AG21+AG27+AG31</f>
        <v>2</v>
      </c>
      <c r="AI17" s="108">
        <f>AH17</f>
        <v>2</v>
      </c>
    </row>
    <row r="18" spans="1:35" ht="21" customHeight="1">
      <c r="A18" s="25">
        <v>12</v>
      </c>
      <c r="B18" s="32">
        <v>1</v>
      </c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>
        <v>1</v>
      </c>
      <c r="O18" s="32"/>
      <c r="P18" s="32"/>
      <c r="Q18" s="24"/>
      <c r="R18" s="25">
        <f t="shared" si="14"/>
        <v>0</v>
      </c>
      <c r="S18" s="25">
        <f t="shared" si="5"/>
        <v>0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>
        <v>1</v>
      </c>
      <c r="AA18" s="32"/>
      <c r="AB18" s="32"/>
      <c r="AC18" s="24"/>
      <c r="AD18" s="25">
        <f t="shared" si="16"/>
        <v>0</v>
      </c>
      <c r="AE18" s="25">
        <f t="shared" si="9"/>
        <v>0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/>
      <c r="C19" s="32">
        <v>1</v>
      </c>
      <c r="D19" s="32"/>
      <c r="E19" s="24"/>
      <c r="F19" s="25">
        <f t="shared" si="12"/>
        <v>0</v>
      </c>
      <c r="G19" s="25">
        <f t="shared" si="1"/>
        <v>1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>
        <v>1</v>
      </c>
      <c r="O19" s="32"/>
      <c r="P19" s="32"/>
      <c r="Q19" s="24"/>
      <c r="R19" s="25">
        <f t="shared" si="14"/>
        <v>0</v>
      </c>
      <c r="S19" s="25">
        <f t="shared" si="5"/>
        <v>0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/>
      <c r="AA19" s="32">
        <v>1</v>
      </c>
      <c r="AB19" s="32"/>
      <c r="AC19" s="24"/>
      <c r="AD19" s="25">
        <f t="shared" si="16"/>
        <v>0</v>
      </c>
      <c r="AE19" s="25">
        <f t="shared" si="9"/>
        <v>1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/>
      <c r="C20" s="32">
        <v>1</v>
      </c>
      <c r="D20" s="32"/>
      <c r="E20" s="24"/>
      <c r="F20" s="25">
        <f>B20*2</f>
        <v>0</v>
      </c>
      <c r="G20" s="25">
        <f t="shared" si="1"/>
        <v>1</v>
      </c>
      <c r="H20" s="25">
        <f>D20*0</f>
        <v>0</v>
      </c>
      <c r="I20" s="25">
        <f t="shared" si="3"/>
        <v>0</v>
      </c>
      <c r="J20" s="24"/>
      <c r="K20" s="107" t="s">
        <v>100</v>
      </c>
      <c r="M20" s="25">
        <v>14</v>
      </c>
      <c r="N20" s="32"/>
      <c r="O20" s="32">
        <v>1</v>
      </c>
      <c r="P20" s="32"/>
      <c r="Q20" s="24"/>
      <c r="R20" s="25">
        <f>N20*2</f>
        <v>0</v>
      </c>
      <c r="S20" s="25">
        <f t="shared" si="5"/>
        <v>1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/>
      <c r="AA20" s="32">
        <v>1</v>
      </c>
      <c r="AB20" s="32"/>
      <c r="AC20" s="24"/>
      <c r="AD20" s="25">
        <f>Z20*2</f>
        <v>0</v>
      </c>
      <c r="AE20" s="25">
        <f t="shared" si="9"/>
        <v>1</v>
      </c>
      <c r="AF20" s="25">
        <f>AB20*0</f>
        <v>0</v>
      </c>
      <c r="AG20" s="25">
        <f t="shared" si="11"/>
        <v>0</v>
      </c>
      <c r="AH20" s="24"/>
      <c r="AI20" s="107" t="s">
        <v>100</v>
      </c>
    </row>
    <row r="21" spans="1:35" ht="21" customHeight="1">
      <c r="A21" s="25">
        <v>15</v>
      </c>
      <c r="B21" s="32">
        <v>1</v>
      </c>
      <c r="C21" s="32"/>
      <c r="D21" s="32"/>
      <c r="E21" s="24"/>
      <c r="F21" s="25">
        <f>B21*2</f>
        <v>2</v>
      </c>
      <c r="G21" s="25">
        <f t="shared" si="1"/>
        <v>0</v>
      </c>
      <c r="H21" s="25">
        <f>D21*0</f>
        <v>0</v>
      </c>
      <c r="I21" s="25">
        <f t="shared" si="3"/>
        <v>2</v>
      </c>
      <c r="J21" s="24"/>
      <c r="K21" s="107" t="s">
        <v>101</v>
      </c>
      <c r="M21" s="25">
        <v>15</v>
      </c>
      <c r="N21" s="32">
        <v>1</v>
      </c>
      <c r="O21" s="32"/>
      <c r="P21" s="32"/>
      <c r="Q21" s="24"/>
      <c r="R21" s="25">
        <f>N21*2</f>
        <v>2</v>
      </c>
      <c r="S21" s="25">
        <f t="shared" si="5"/>
        <v>0</v>
      </c>
      <c r="T21" s="25">
        <f>P21*0</f>
        <v>0</v>
      </c>
      <c r="U21" s="25">
        <f t="shared" si="7"/>
        <v>2</v>
      </c>
      <c r="V21" s="24"/>
      <c r="W21" s="107" t="s">
        <v>101</v>
      </c>
      <c r="Y21" s="25">
        <v>15</v>
      </c>
      <c r="Z21" s="32">
        <v>1</v>
      </c>
      <c r="AA21" s="32"/>
      <c r="AB21" s="32"/>
      <c r="AC21" s="24"/>
      <c r="AD21" s="25">
        <f>Z21*2</f>
        <v>2</v>
      </c>
      <c r="AE21" s="25">
        <f t="shared" si="9"/>
        <v>0</v>
      </c>
      <c r="AF21" s="25">
        <f>AB21*0</f>
        <v>0</v>
      </c>
      <c r="AG21" s="25">
        <f t="shared" si="11"/>
        <v>2</v>
      </c>
      <c r="AH21" s="24"/>
      <c r="AI21" s="107" t="s">
        <v>101</v>
      </c>
    </row>
    <row r="22" spans="1:35" ht="21" customHeight="1">
      <c r="A22" s="25">
        <v>16</v>
      </c>
      <c r="B22" s="32"/>
      <c r="C22" s="32">
        <v>1</v>
      </c>
      <c r="D22" s="32"/>
      <c r="E22" s="24"/>
      <c r="F22" s="25">
        <f>B22*0</f>
        <v>0</v>
      </c>
      <c r="G22" s="25">
        <f t="shared" si="1"/>
        <v>1</v>
      </c>
      <c r="H22" s="25">
        <f>D22*2</f>
        <v>0</v>
      </c>
      <c r="I22" s="25">
        <f t="shared" si="3"/>
        <v>0</v>
      </c>
      <c r="J22" s="105">
        <f>I12+I17+I20+I25+I29</f>
        <v>0</v>
      </c>
      <c r="K22" s="108">
        <f>J22</f>
        <v>0</v>
      </c>
      <c r="M22" s="25">
        <v>16</v>
      </c>
      <c r="N22" s="32"/>
      <c r="O22" s="32">
        <v>1</v>
      </c>
      <c r="P22" s="32"/>
      <c r="Q22" s="24"/>
      <c r="R22" s="25">
        <f>N22*0</f>
        <v>0</v>
      </c>
      <c r="S22" s="25">
        <f t="shared" si="5"/>
        <v>1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/>
      <c r="AA22" s="32"/>
      <c r="AB22" s="32">
        <v>1</v>
      </c>
      <c r="AC22" s="24"/>
      <c r="AD22" s="25">
        <f>Z22*0</f>
        <v>0</v>
      </c>
      <c r="AE22" s="25">
        <f t="shared" si="9"/>
        <v>0</v>
      </c>
      <c r="AF22" s="25">
        <f>AB22*2</f>
        <v>2</v>
      </c>
      <c r="AG22" s="25">
        <f t="shared" si="11"/>
        <v>0</v>
      </c>
      <c r="AH22" s="105">
        <f>AG12+AG17+AG20+AG25+AG29</f>
        <v>0</v>
      </c>
      <c r="AI22" s="108">
        <f>AH22</f>
        <v>0</v>
      </c>
    </row>
    <row r="23" spans="1:35" ht="21" customHeight="1">
      <c r="A23" s="25">
        <v>17</v>
      </c>
      <c r="B23" s="32"/>
      <c r="C23" s="32"/>
      <c r="D23" s="32">
        <v>1</v>
      </c>
      <c r="E23" s="24"/>
      <c r="F23" s="25">
        <f>B23*2</f>
        <v>0</v>
      </c>
      <c r="G23" s="25">
        <f t="shared" si="1"/>
        <v>0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/>
      <c r="O23" s="32">
        <v>1</v>
      </c>
      <c r="P23" s="32"/>
      <c r="Q23" s="24"/>
      <c r="R23" s="25">
        <f>N23*2</f>
        <v>0</v>
      </c>
      <c r="S23" s="25">
        <f t="shared" si="5"/>
        <v>1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/>
      <c r="AA23" s="32">
        <v>1</v>
      </c>
      <c r="AB23" s="32"/>
      <c r="AC23" s="24"/>
      <c r="AD23" s="25">
        <f>Z23*2</f>
        <v>0</v>
      </c>
      <c r="AE23" s="25">
        <f t="shared" si="9"/>
        <v>1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>
        <v>1</v>
      </c>
      <c r="C24" s="32"/>
      <c r="D24" s="32"/>
      <c r="E24" s="24"/>
      <c r="F24" s="25">
        <f>B24*2</f>
        <v>2</v>
      </c>
      <c r="G24" s="25">
        <f t="shared" si="1"/>
        <v>0</v>
      </c>
      <c r="H24" s="25">
        <f>D24*0</f>
        <v>0</v>
      </c>
      <c r="I24" s="25">
        <f t="shared" si="3"/>
        <v>2</v>
      </c>
      <c r="J24" s="24"/>
      <c r="K24" s="25"/>
      <c r="M24" s="25">
        <v>18</v>
      </c>
      <c r="N24" s="32">
        <v>1</v>
      </c>
      <c r="O24" s="32"/>
      <c r="P24" s="32"/>
      <c r="Q24" s="24"/>
      <c r="R24" s="25">
        <f>N24*2</f>
        <v>2</v>
      </c>
      <c r="S24" s="25">
        <f t="shared" si="5"/>
        <v>0</v>
      </c>
      <c r="T24" s="25">
        <f>P24*0</f>
        <v>0</v>
      </c>
      <c r="U24" s="25">
        <f t="shared" si="7"/>
        <v>2</v>
      </c>
      <c r="V24" s="24"/>
      <c r="W24" s="25"/>
      <c r="Y24" s="25">
        <v>18</v>
      </c>
      <c r="Z24" s="32">
        <v>1</v>
      </c>
      <c r="AA24" s="32"/>
      <c r="AB24" s="32"/>
      <c r="AC24" s="24"/>
      <c r="AD24" s="25">
        <f>Z24*2</f>
        <v>2</v>
      </c>
      <c r="AE24" s="25">
        <f t="shared" si="9"/>
        <v>0</v>
      </c>
      <c r="AF24" s="25">
        <f>AB24*0</f>
        <v>0</v>
      </c>
      <c r="AG24" s="25">
        <f t="shared" si="11"/>
        <v>2</v>
      </c>
      <c r="AH24" s="24"/>
      <c r="AI24" s="25"/>
    </row>
    <row r="25" spans="1:35" ht="21" customHeight="1">
      <c r="A25" s="25">
        <v>19</v>
      </c>
      <c r="B25" s="32"/>
      <c r="C25" s="32">
        <v>1</v>
      </c>
      <c r="D25" s="32"/>
      <c r="E25" s="24"/>
      <c r="F25" s="25">
        <f t="shared" ref="F25:F31" si="18">B25*0</f>
        <v>0</v>
      </c>
      <c r="G25" s="25">
        <f t="shared" si="1"/>
        <v>1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>
        <v>1</v>
      </c>
      <c r="O25" s="32"/>
      <c r="P25" s="32"/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/>
      <c r="AA25" s="32">
        <v>1</v>
      </c>
      <c r="AB25" s="32"/>
      <c r="AC25" s="24"/>
      <c r="AD25" s="25">
        <f t="shared" ref="AD25:AD31" si="22">Z25*0</f>
        <v>0</v>
      </c>
      <c r="AE25" s="25">
        <f t="shared" si="9"/>
        <v>1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>
        <v>1</v>
      </c>
      <c r="D26" s="32"/>
      <c r="E26" s="24"/>
      <c r="F26" s="25">
        <f t="shared" si="18"/>
        <v>0</v>
      </c>
      <c r="G26" s="25">
        <f t="shared" si="1"/>
        <v>1</v>
      </c>
      <c r="H26" s="25">
        <f t="shared" si="19"/>
        <v>0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>
        <v>1</v>
      </c>
      <c r="P26" s="32"/>
      <c r="Q26" s="24"/>
      <c r="R26" s="25">
        <f t="shared" si="20"/>
        <v>0</v>
      </c>
      <c r="S26" s="25">
        <f t="shared" si="5"/>
        <v>1</v>
      </c>
      <c r="T26" s="25">
        <f t="shared" si="21"/>
        <v>0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>
        <v>1</v>
      </c>
      <c r="AB26" s="32"/>
      <c r="AC26" s="24"/>
      <c r="AD26" s="25">
        <f t="shared" si="22"/>
        <v>0</v>
      </c>
      <c r="AE26" s="25">
        <f t="shared" si="9"/>
        <v>1</v>
      </c>
      <c r="AF26" s="25">
        <f t="shared" si="23"/>
        <v>0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>
        <v>1</v>
      </c>
      <c r="D27" s="32"/>
      <c r="E27" s="24"/>
      <c r="F27" s="25">
        <f t="shared" si="18"/>
        <v>0</v>
      </c>
      <c r="G27" s="25">
        <f t="shared" si="1"/>
        <v>1</v>
      </c>
      <c r="H27" s="25">
        <f t="shared" si="19"/>
        <v>0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/>
      <c r="O27" s="32">
        <v>1</v>
      </c>
      <c r="P27" s="32"/>
      <c r="Q27" s="24"/>
      <c r="R27" s="25">
        <f t="shared" si="20"/>
        <v>0</v>
      </c>
      <c r="S27" s="25">
        <f t="shared" si="5"/>
        <v>1</v>
      </c>
      <c r="T27" s="25">
        <f t="shared" si="21"/>
        <v>0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/>
      <c r="AA27" s="32">
        <v>1</v>
      </c>
      <c r="AB27" s="32"/>
      <c r="AC27" s="24"/>
      <c r="AD27" s="25">
        <f t="shared" si="22"/>
        <v>0</v>
      </c>
      <c r="AE27" s="25">
        <f t="shared" si="9"/>
        <v>1</v>
      </c>
      <c r="AF27" s="25">
        <f t="shared" si="23"/>
        <v>0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>
        <v>1</v>
      </c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>
        <v>1</v>
      </c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>
        <v>1</v>
      </c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>
        <v>1</v>
      </c>
      <c r="C29" s="32"/>
      <c r="D29" s="32"/>
      <c r="E29" s="24"/>
      <c r="F29" s="25">
        <f t="shared" si="18"/>
        <v>0</v>
      </c>
      <c r="G29" s="25">
        <f t="shared" si="1"/>
        <v>0</v>
      </c>
      <c r="H29" s="25">
        <f t="shared" si="19"/>
        <v>0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>
        <v>1</v>
      </c>
      <c r="P29" s="32"/>
      <c r="Q29" s="24"/>
      <c r="R29" s="25">
        <f t="shared" si="20"/>
        <v>0</v>
      </c>
      <c r="S29" s="25">
        <f t="shared" si="5"/>
        <v>1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/>
      <c r="AA29" s="32">
        <v>1</v>
      </c>
      <c r="AB29" s="32"/>
      <c r="AC29" s="24"/>
      <c r="AD29" s="25">
        <f t="shared" si="22"/>
        <v>0</v>
      </c>
      <c r="AE29" s="25">
        <f t="shared" si="9"/>
        <v>1</v>
      </c>
      <c r="AF29" s="25">
        <f t="shared" si="23"/>
        <v>0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/>
      <c r="C30" s="32">
        <v>1</v>
      </c>
      <c r="D30" s="32"/>
      <c r="E30" s="24"/>
      <c r="F30" s="25">
        <f t="shared" si="18"/>
        <v>0</v>
      </c>
      <c r="G30" s="25">
        <f t="shared" si="1"/>
        <v>1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>
        <v>1</v>
      </c>
      <c r="O30" s="32"/>
      <c r="P30" s="32"/>
      <c r="Q30" s="24"/>
      <c r="R30" s="25">
        <f t="shared" si="20"/>
        <v>0</v>
      </c>
      <c r="S30" s="25">
        <f t="shared" si="5"/>
        <v>0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>
        <v>1</v>
      </c>
      <c r="AA30" s="32"/>
      <c r="AB30" s="32"/>
      <c r="AC30" s="24"/>
      <c r="AD30" s="25">
        <f t="shared" si="22"/>
        <v>0</v>
      </c>
      <c r="AE30" s="25">
        <f t="shared" si="9"/>
        <v>0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>
        <v>1</v>
      </c>
      <c r="D31" s="32"/>
      <c r="E31" s="24"/>
      <c r="F31" s="25">
        <f t="shared" si="18"/>
        <v>0</v>
      </c>
      <c r="G31" s="25">
        <f t="shared" si="1"/>
        <v>1</v>
      </c>
      <c r="H31" s="25">
        <f t="shared" si="19"/>
        <v>0</v>
      </c>
      <c r="I31" s="25">
        <f t="shared" si="3"/>
        <v>0</v>
      </c>
      <c r="J31" s="24"/>
      <c r="K31" s="108">
        <f>K7+K12+K17+K22</f>
        <v>4</v>
      </c>
      <c r="M31" s="25">
        <v>25</v>
      </c>
      <c r="N31" s="32"/>
      <c r="O31" s="32">
        <v>1</v>
      </c>
      <c r="P31" s="32"/>
      <c r="Q31" s="24"/>
      <c r="R31" s="25">
        <f t="shared" si="20"/>
        <v>0</v>
      </c>
      <c r="S31" s="25">
        <f t="shared" si="5"/>
        <v>1</v>
      </c>
      <c r="T31" s="25">
        <f t="shared" si="21"/>
        <v>0</v>
      </c>
      <c r="U31" s="25">
        <f t="shared" si="7"/>
        <v>0</v>
      </c>
      <c r="V31" s="24"/>
      <c r="W31" s="108">
        <f>W7+W12+W17+W22</f>
        <v>4</v>
      </c>
      <c r="Y31" s="25">
        <v>25</v>
      </c>
      <c r="Z31" s="32"/>
      <c r="AA31" s="32">
        <v>1</v>
      </c>
      <c r="AB31" s="32"/>
      <c r="AC31" s="24"/>
      <c r="AD31" s="25">
        <f t="shared" si="22"/>
        <v>0</v>
      </c>
      <c r="AE31" s="25">
        <f t="shared" si="9"/>
        <v>1</v>
      </c>
      <c r="AF31" s="25">
        <f t="shared" si="23"/>
        <v>0</v>
      </c>
      <c r="AG31" s="25">
        <f t="shared" si="11"/>
        <v>0</v>
      </c>
      <c r="AH31" s="24"/>
      <c r="AI31" s="108">
        <f>AI7+AI12+AI17+AI22</f>
        <v>6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7"/>
  </sheetPr>
  <dimension ref="A1:AI41"/>
  <sheetViews>
    <sheetView topLeftCell="W1" zoomScale="150" workbookViewId="0">
      <selection activeCell="AB8" sqref="AB8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 t="str">
        <f>รายชื่อ!B23</f>
        <v>เด็กหญิง</v>
      </c>
      <c r="C3" s="110" t="str">
        <f>รายชื่อ!C23</f>
        <v>อภิษฐา</v>
      </c>
      <c r="D3" s="110" t="str">
        <f>รายชื่อ!D23</f>
        <v>ชูชื่น</v>
      </c>
      <c r="E3" s="60"/>
      <c r="F3" s="103"/>
      <c r="G3" s="165"/>
      <c r="H3" s="165"/>
      <c r="I3" s="165"/>
      <c r="J3" s="25"/>
      <c r="K3" s="106" t="s">
        <v>49</v>
      </c>
      <c r="M3" s="25" t="s">
        <v>85</v>
      </c>
      <c r="N3" s="110" t="str">
        <f>รายชื่อ!B23</f>
        <v>เด็กหญิง</v>
      </c>
      <c r="O3" s="110" t="str">
        <f>รายชื่อ!C23</f>
        <v>อภิษฐา</v>
      </c>
      <c r="P3" s="110" t="str">
        <f>รายชื่อ!D23</f>
        <v>ชูชื่น</v>
      </c>
      <c r="Q3" s="60"/>
      <c r="R3" s="103"/>
      <c r="S3" s="165"/>
      <c r="T3" s="165"/>
      <c r="U3" s="165"/>
      <c r="V3" s="25"/>
      <c r="W3" s="106" t="s">
        <v>49</v>
      </c>
      <c r="Y3" s="25" t="s">
        <v>85</v>
      </c>
      <c r="Z3" s="110" t="str">
        <f>รายชื่อ!B23</f>
        <v>เด็กหญิง</v>
      </c>
      <c r="AA3" s="110" t="str">
        <f>รายชื่อ!C23</f>
        <v>อภิษฐา</v>
      </c>
      <c r="AB3" s="110" t="str">
        <f>รายชื่อ!D23</f>
        <v>ชูชื่น</v>
      </c>
      <c r="AC3" s="60"/>
      <c r="AD3" s="103"/>
      <c r="AE3" s="165"/>
      <c r="AF3" s="165"/>
      <c r="AG3" s="165"/>
      <c r="AH3" s="25"/>
      <c r="AI3" s="106" t="s">
        <v>49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/>
      <c r="C7" s="32"/>
      <c r="D7" s="32">
        <v>1</v>
      </c>
      <c r="E7" s="24"/>
      <c r="F7" s="25">
        <f t="shared" ref="F7:F12" si="0">B7*0</f>
        <v>0</v>
      </c>
      <c r="G7" s="25">
        <f t="shared" ref="G7:G31" si="1">C7*1</f>
        <v>0</v>
      </c>
      <c r="H7" s="25">
        <f t="shared" ref="H7:H12" si="2">D7*2</f>
        <v>2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/>
      <c r="O7" s="32"/>
      <c r="P7" s="32">
        <v>1</v>
      </c>
      <c r="Q7" s="24"/>
      <c r="R7" s="25">
        <f t="shared" ref="R7:R12" si="4">N7*0</f>
        <v>0</v>
      </c>
      <c r="S7" s="25">
        <f t="shared" ref="S7:S31" si="5">O7*1</f>
        <v>0</v>
      </c>
      <c r="T7" s="25">
        <f t="shared" ref="T7:T12" si="6">P7*2</f>
        <v>2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/>
      <c r="AB7" s="32">
        <v>1</v>
      </c>
      <c r="AC7" s="24"/>
      <c r="AD7" s="25">
        <f t="shared" ref="AD7:AD12" si="8">Z7*0</f>
        <v>0</v>
      </c>
      <c r="AE7" s="25">
        <f t="shared" ref="AE7:AE31" si="9">AA7*1</f>
        <v>0</v>
      </c>
      <c r="AF7" s="25">
        <f t="shared" ref="AF7:AF12" si="10">AB7*2</f>
        <v>2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>
        <v>1</v>
      </c>
      <c r="C8" s="32"/>
      <c r="D8" s="32"/>
      <c r="E8" s="24"/>
      <c r="F8" s="25">
        <f t="shared" si="0"/>
        <v>0</v>
      </c>
      <c r="G8" s="25">
        <f t="shared" si="1"/>
        <v>0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>
        <v>1</v>
      </c>
      <c r="O8" s="32"/>
      <c r="P8" s="32"/>
      <c r="Q8" s="24"/>
      <c r="R8" s="25">
        <f t="shared" si="4"/>
        <v>0</v>
      </c>
      <c r="S8" s="25">
        <f t="shared" si="5"/>
        <v>0</v>
      </c>
      <c r="T8" s="25">
        <f t="shared" si="6"/>
        <v>0</v>
      </c>
      <c r="U8" s="25">
        <f t="shared" si="7"/>
        <v>0</v>
      </c>
      <c r="V8" s="24"/>
      <c r="W8" s="25"/>
      <c r="Y8" s="25">
        <v>2</v>
      </c>
      <c r="Z8" s="32">
        <v>1</v>
      </c>
      <c r="AA8" s="32"/>
      <c r="AB8" s="32"/>
      <c r="AC8" s="24"/>
      <c r="AD8" s="25">
        <f t="shared" si="8"/>
        <v>0</v>
      </c>
      <c r="AE8" s="25">
        <f t="shared" si="9"/>
        <v>0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>
        <v>1</v>
      </c>
      <c r="C9" s="32"/>
      <c r="D9" s="32"/>
      <c r="E9" s="24"/>
      <c r="F9" s="25">
        <f t="shared" si="0"/>
        <v>0</v>
      </c>
      <c r="G9" s="25">
        <f t="shared" si="1"/>
        <v>0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/>
      <c r="O9" s="32">
        <v>1</v>
      </c>
      <c r="P9" s="32"/>
      <c r="Q9" s="24"/>
      <c r="R9" s="25">
        <f t="shared" si="4"/>
        <v>0</v>
      </c>
      <c r="S9" s="25">
        <f t="shared" si="5"/>
        <v>1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>
        <v>1</v>
      </c>
      <c r="AA9" s="32"/>
      <c r="AB9" s="32"/>
      <c r="AC9" s="24"/>
      <c r="AD9" s="25">
        <f t="shared" si="8"/>
        <v>0</v>
      </c>
      <c r="AE9" s="25">
        <f t="shared" si="9"/>
        <v>0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/>
      <c r="D10" s="32">
        <v>1</v>
      </c>
      <c r="E10" s="24"/>
      <c r="F10" s="25">
        <f t="shared" si="0"/>
        <v>0</v>
      </c>
      <c r="G10" s="25">
        <f t="shared" si="1"/>
        <v>0</v>
      </c>
      <c r="H10" s="25">
        <f t="shared" si="2"/>
        <v>2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>
        <v>1</v>
      </c>
      <c r="P10" s="32"/>
      <c r="Q10" s="24"/>
      <c r="R10" s="25">
        <f t="shared" si="4"/>
        <v>0</v>
      </c>
      <c r="S10" s="25">
        <f t="shared" si="5"/>
        <v>1</v>
      </c>
      <c r="T10" s="25">
        <f t="shared" si="6"/>
        <v>0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/>
      <c r="AB10" s="32">
        <v>1</v>
      </c>
      <c r="AC10" s="24"/>
      <c r="AD10" s="25">
        <f t="shared" si="8"/>
        <v>0</v>
      </c>
      <c r="AE10" s="25">
        <f t="shared" si="9"/>
        <v>0</v>
      </c>
      <c r="AF10" s="25">
        <f t="shared" si="10"/>
        <v>2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>
        <v>1</v>
      </c>
      <c r="C11" s="32"/>
      <c r="D11" s="32"/>
      <c r="E11" s="24"/>
      <c r="F11" s="25">
        <f t="shared" si="0"/>
        <v>0</v>
      </c>
      <c r="G11" s="25">
        <f t="shared" si="1"/>
        <v>0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>
        <v>1</v>
      </c>
      <c r="O11" s="32"/>
      <c r="P11" s="32"/>
      <c r="Q11" s="24"/>
      <c r="R11" s="25">
        <f t="shared" si="4"/>
        <v>0</v>
      </c>
      <c r="S11" s="25">
        <f t="shared" si="5"/>
        <v>0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>
        <v>1</v>
      </c>
      <c r="AA11" s="32"/>
      <c r="AB11" s="32"/>
      <c r="AC11" s="24"/>
      <c r="AD11" s="25">
        <f t="shared" si="8"/>
        <v>0</v>
      </c>
      <c r="AE11" s="25">
        <f t="shared" si="9"/>
        <v>0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>
        <v>1</v>
      </c>
      <c r="C12" s="32"/>
      <c r="D12" s="32"/>
      <c r="E12" s="24"/>
      <c r="F12" s="25">
        <f t="shared" si="0"/>
        <v>0</v>
      </c>
      <c r="G12" s="25">
        <f t="shared" si="1"/>
        <v>0</v>
      </c>
      <c r="H12" s="25">
        <f t="shared" si="2"/>
        <v>0</v>
      </c>
      <c r="I12" s="25">
        <f t="shared" si="3"/>
        <v>0</v>
      </c>
      <c r="J12" s="105">
        <f>I11+I13+I18+I24+I28</f>
        <v>2</v>
      </c>
      <c r="K12" s="108">
        <f>J12</f>
        <v>2</v>
      </c>
      <c r="M12" s="25">
        <v>6</v>
      </c>
      <c r="N12" s="32">
        <v>1</v>
      </c>
      <c r="O12" s="32"/>
      <c r="P12" s="32"/>
      <c r="Q12" s="24"/>
      <c r="R12" s="25">
        <f t="shared" si="4"/>
        <v>0</v>
      </c>
      <c r="S12" s="25">
        <f t="shared" si="5"/>
        <v>0</v>
      </c>
      <c r="T12" s="25">
        <f t="shared" si="6"/>
        <v>0</v>
      </c>
      <c r="U12" s="25">
        <f t="shared" si="7"/>
        <v>0</v>
      </c>
      <c r="V12" s="105">
        <f>U11+U13+U18+U24+U28</f>
        <v>2</v>
      </c>
      <c r="W12" s="108">
        <f>V12</f>
        <v>2</v>
      </c>
      <c r="Y12" s="25">
        <v>6</v>
      </c>
      <c r="Z12" s="32">
        <v>1</v>
      </c>
      <c r="AA12" s="32"/>
      <c r="AB12" s="32"/>
      <c r="AC12" s="24"/>
      <c r="AD12" s="25">
        <f t="shared" si="8"/>
        <v>0</v>
      </c>
      <c r="AE12" s="25">
        <f t="shared" si="9"/>
        <v>0</v>
      </c>
      <c r="AF12" s="25">
        <f t="shared" si="10"/>
        <v>0</v>
      </c>
      <c r="AG12" s="25">
        <f t="shared" si="11"/>
        <v>0</v>
      </c>
      <c r="AH12" s="105">
        <f>AG11+AG13+AG18+AG24+AG28</f>
        <v>2</v>
      </c>
      <c r="AI12" s="108">
        <f>AH12</f>
        <v>2</v>
      </c>
    </row>
    <row r="13" spans="1:35" ht="21" customHeight="1">
      <c r="A13" s="25">
        <v>7</v>
      </c>
      <c r="B13" s="32"/>
      <c r="C13" s="32">
        <v>1</v>
      </c>
      <c r="D13" s="32"/>
      <c r="E13" s="24"/>
      <c r="F13" s="25">
        <f>B13*2</f>
        <v>0</v>
      </c>
      <c r="G13" s="25">
        <f t="shared" si="1"/>
        <v>1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>
        <v>1</v>
      </c>
      <c r="P13" s="32"/>
      <c r="Q13" s="24"/>
      <c r="R13" s="25">
        <f>N13*2</f>
        <v>0</v>
      </c>
      <c r="S13" s="25">
        <f t="shared" si="5"/>
        <v>1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/>
      <c r="AA13" s="32"/>
      <c r="AB13" s="32">
        <v>1</v>
      </c>
      <c r="AC13" s="24"/>
      <c r="AD13" s="25">
        <f>Z13*2</f>
        <v>0</v>
      </c>
      <c r="AE13" s="25">
        <f t="shared" si="9"/>
        <v>0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>
        <v>1</v>
      </c>
      <c r="C14" s="32"/>
      <c r="D14" s="32"/>
      <c r="E14" s="24"/>
      <c r="F14" s="25">
        <f t="shared" ref="F14:F19" si="12">B14*0</f>
        <v>0</v>
      </c>
      <c r="G14" s="25">
        <f t="shared" si="1"/>
        <v>0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/>
      <c r="O14" s="32">
        <v>1</v>
      </c>
      <c r="P14" s="32"/>
      <c r="Q14" s="24"/>
      <c r="R14" s="25">
        <f t="shared" ref="R14:R19" si="14">N14*0</f>
        <v>0</v>
      </c>
      <c r="S14" s="25">
        <f t="shared" si="5"/>
        <v>1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>
        <v>1</v>
      </c>
      <c r="AA14" s="32"/>
      <c r="AB14" s="32"/>
      <c r="AC14" s="24"/>
      <c r="AD14" s="25">
        <f t="shared" ref="AD14:AD19" si="16">Z14*0</f>
        <v>0</v>
      </c>
      <c r="AE14" s="25">
        <f t="shared" si="9"/>
        <v>0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>
        <v>1</v>
      </c>
      <c r="D15" s="32"/>
      <c r="E15" s="24"/>
      <c r="F15" s="25">
        <f t="shared" si="12"/>
        <v>0</v>
      </c>
      <c r="G15" s="25">
        <f t="shared" si="1"/>
        <v>1</v>
      </c>
      <c r="H15" s="25">
        <f t="shared" si="13"/>
        <v>0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>
        <v>1</v>
      </c>
      <c r="P15" s="32"/>
      <c r="Q15" s="24"/>
      <c r="R15" s="25">
        <f t="shared" si="14"/>
        <v>0</v>
      </c>
      <c r="S15" s="25">
        <f t="shared" si="5"/>
        <v>1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/>
      <c r="AA15" s="32"/>
      <c r="AB15" s="32">
        <v>1</v>
      </c>
      <c r="AC15" s="24"/>
      <c r="AD15" s="25">
        <f t="shared" si="16"/>
        <v>0</v>
      </c>
      <c r="AE15" s="25">
        <f t="shared" si="9"/>
        <v>0</v>
      </c>
      <c r="AF15" s="25">
        <f t="shared" si="17"/>
        <v>2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>
        <v>1</v>
      </c>
      <c r="C16" s="32"/>
      <c r="D16" s="32"/>
      <c r="E16" s="24"/>
      <c r="F16" s="25">
        <f t="shared" si="12"/>
        <v>0</v>
      </c>
      <c r="G16" s="25">
        <f t="shared" si="1"/>
        <v>0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>
        <v>1</v>
      </c>
      <c r="O16" s="32"/>
      <c r="P16" s="32"/>
      <c r="Q16" s="24"/>
      <c r="R16" s="25">
        <f t="shared" si="14"/>
        <v>0</v>
      </c>
      <c r="S16" s="25">
        <f t="shared" si="5"/>
        <v>0</v>
      </c>
      <c r="T16" s="25">
        <f t="shared" si="15"/>
        <v>0</v>
      </c>
      <c r="U16" s="25">
        <f t="shared" si="7"/>
        <v>0</v>
      </c>
      <c r="V16" s="24"/>
      <c r="W16" s="107" t="s">
        <v>99</v>
      </c>
      <c r="Y16" s="25">
        <v>10</v>
      </c>
      <c r="Z16" s="32">
        <v>1</v>
      </c>
      <c r="AA16" s="32"/>
      <c r="AB16" s="32"/>
      <c r="AC16" s="24"/>
      <c r="AD16" s="25">
        <f t="shared" si="16"/>
        <v>0</v>
      </c>
      <c r="AE16" s="25">
        <f t="shared" si="9"/>
        <v>0</v>
      </c>
      <c r="AF16" s="25">
        <f t="shared" si="17"/>
        <v>0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/>
      <c r="D17" s="32">
        <v>1</v>
      </c>
      <c r="E17" s="24"/>
      <c r="F17" s="25">
        <f t="shared" si="12"/>
        <v>0</v>
      </c>
      <c r="G17" s="25">
        <f t="shared" si="1"/>
        <v>0</v>
      </c>
      <c r="H17" s="25">
        <f t="shared" si="13"/>
        <v>2</v>
      </c>
      <c r="I17" s="25">
        <f t="shared" si="3"/>
        <v>0</v>
      </c>
      <c r="J17" s="105">
        <f>I8+I16+I21+I27+I31</f>
        <v>2</v>
      </c>
      <c r="K17" s="108">
        <f>J17</f>
        <v>2</v>
      </c>
      <c r="M17" s="25">
        <v>11</v>
      </c>
      <c r="N17" s="32"/>
      <c r="O17" s="32"/>
      <c r="P17" s="32">
        <v>1</v>
      </c>
      <c r="Q17" s="24"/>
      <c r="R17" s="25">
        <f t="shared" si="14"/>
        <v>0</v>
      </c>
      <c r="S17" s="25">
        <f t="shared" si="5"/>
        <v>0</v>
      </c>
      <c r="T17" s="25">
        <f t="shared" si="15"/>
        <v>2</v>
      </c>
      <c r="U17" s="25">
        <f t="shared" si="7"/>
        <v>0</v>
      </c>
      <c r="V17" s="105">
        <f>U8+U16+U21+U27+U31</f>
        <v>2</v>
      </c>
      <c r="W17" s="108">
        <f>V17</f>
        <v>2</v>
      </c>
      <c r="Y17" s="25">
        <v>11</v>
      </c>
      <c r="Z17" s="32"/>
      <c r="AA17" s="32"/>
      <c r="AB17" s="32">
        <v>1</v>
      </c>
      <c r="AC17" s="24"/>
      <c r="AD17" s="25">
        <f t="shared" si="16"/>
        <v>0</v>
      </c>
      <c r="AE17" s="25">
        <f t="shared" si="9"/>
        <v>0</v>
      </c>
      <c r="AF17" s="25">
        <f t="shared" si="17"/>
        <v>2</v>
      </c>
      <c r="AG17" s="25">
        <f t="shared" si="11"/>
        <v>0</v>
      </c>
      <c r="AH17" s="105">
        <f>AG8+AG16+AG21+AG27+AG31</f>
        <v>2</v>
      </c>
      <c r="AI17" s="108">
        <f>AH17</f>
        <v>2</v>
      </c>
    </row>
    <row r="18" spans="1:35" ht="21" customHeight="1">
      <c r="A18" s="25">
        <v>12</v>
      </c>
      <c r="B18" s="32">
        <v>1</v>
      </c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>
        <v>1</v>
      </c>
      <c r="O18" s="32"/>
      <c r="P18" s="32"/>
      <c r="Q18" s="24"/>
      <c r="R18" s="25">
        <f t="shared" si="14"/>
        <v>0</v>
      </c>
      <c r="S18" s="25">
        <f t="shared" si="5"/>
        <v>0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>
        <v>1</v>
      </c>
      <c r="AA18" s="32"/>
      <c r="AB18" s="32"/>
      <c r="AC18" s="24"/>
      <c r="AD18" s="25">
        <f t="shared" si="16"/>
        <v>0</v>
      </c>
      <c r="AE18" s="25">
        <f t="shared" si="9"/>
        <v>0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>
        <v>1</v>
      </c>
      <c r="C19" s="32"/>
      <c r="D19" s="32"/>
      <c r="E19" s="24"/>
      <c r="F19" s="25">
        <f t="shared" si="12"/>
        <v>0</v>
      </c>
      <c r="G19" s="25">
        <f t="shared" si="1"/>
        <v>0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/>
      <c r="O19" s="32">
        <v>1</v>
      </c>
      <c r="P19" s="32"/>
      <c r="Q19" s="24"/>
      <c r="R19" s="25">
        <f t="shared" si="14"/>
        <v>0</v>
      </c>
      <c r="S19" s="25">
        <f t="shared" si="5"/>
        <v>1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>
        <v>1</v>
      </c>
      <c r="AA19" s="32"/>
      <c r="AB19" s="32"/>
      <c r="AC19" s="24"/>
      <c r="AD19" s="25">
        <f t="shared" si="16"/>
        <v>0</v>
      </c>
      <c r="AE19" s="25">
        <f t="shared" si="9"/>
        <v>0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/>
      <c r="C20" s="32">
        <v>1</v>
      </c>
      <c r="D20" s="32"/>
      <c r="E20" s="24"/>
      <c r="F20" s="25">
        <f>B20*2</f>
        <v>0</v>
      </c>
      <c r="G20" s="25">
        <f t="shared" si="1"/>
        <v>1</v>
      </c>
      <c r="H20" s="25">
        <f>D20*0</f>
        <v>0</v>
      </c>
      <c r="I20" s="25">
        <f t="shared" si="3"/>
        <v>0</v>
      </c>
      <c r="J20" s="24"/>
      <c r="K20" s="107" t="s">
        <v>100</v>
      </c>
      <c r="M20" s="25">
        <v>14</v>
      </c>
      <c r="N20" s="32"/>
      <c r="O20" s="32">
        <v>1</v>
      </c>
      <c r="P20" s="32"/>
      <c r="Q20" s="24"/>
      <c r="R20" s="25">
        <f>N20*2</f>
        <v>0</v>
      </c>
      <c r="S20" s="25">
        <f t="shared" si="5"/>
        <v>1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/>
      <c r="AA20" s="32"/>
      <c r="AB20" s="32">
        <v>1</v>
      </c>
      <c r="AC20" s="24"/>
      <c r="AD20" s="25">
        <f>Z20*2</f>
        <v>0</v>
      </c>
      <c r="AE20" s="25">
        <f t="shared" si="9"/>
        <v>0</v>
      </c>
      <c r="AF20" s="25">
        <f>AB20*0</f>
        <v>0</v>
      </c>
      <c r="AG20" s="25">
        <f t="shared" si="11"/>
        <v>0</v>
      </c>
      <c r="AH20" s="24"/>
      <c r="AI20" s="107" t="s">
        <v>100</v>
      </c>
    </row>
    <row r="21" spans="1:35" ht="21" customHeight="1">
      <c r="A21" s="25">
        <v>15</v>
      </c>
      <c r="B21" s="32">
        <v>1</v>
      </c>
      <c r="C21" s="32"/>
      <c r="D21" s="32"/>
      <c r="E21" s="24"/>
      <c r="F21" s="25">
        <f>B21*2</f>
        <v>2</v>
      </c>
      <c r="G21" s="25">
        <f t="shared" si="1"/>
        <v>0</v>
      </c>
      <c r="H21" s="25">
        <f>D21*0</f>
        <v>0</v>
      </c>
      <c r="I21" s="25">
        <f t="shared" si="3"/>
        <v>2</v>
      </c>
      <c r="J21" s="24"/>
      <c r="K21" s="107" t="s">
        <v>101</v>
      </c>
      <c r="M21" s="25">
        <v>15</v>
      </c>
      <c r="N21" s="32">
        <v>1</v>
      </c>
      <c r="O21" s="32"/>
      <c r="P21" s="32"/>
      <c r="Q21" s="24"/>
      <c r="R21" s="25">
        <f>N21*2</f>
        <v>2</v>
      </c>
      <c r="S21" s="25">
        <f t="shared" si="5"/>
        <v>0</v>
      </c>
      <c r="T21" s="25">
        <f>P21*0</f>
        <v>0</v>
      </c>
      <c r="U21" s="25">
        <f t="shared" si="7"/>
        <v>2</v>
      </c>
      <c r="V21" s="24"/>
      <c r="W21" s="107" t="s">
        <v>101</v>
      </c>
      <c r="Y21" s="25">
        <v>15</v>
      </c>
      <c r="Z21" s="32">
        <v>1</v>
      </c>
      <c r="AA21" s="32"/>
      <c r="AB21" s="32"/>
      <c r="AC21" s="24"/>
      <c r="AD21" s="25">
        <f>Z21*2</f>
        <v>2</v>
      </c>
      <c r="AE21" s="25">
        <f t="shared" si="9"/>
        <v>0</v>
      </c>
      <c r="AF21" s="25">
        <f>AB21*0</f>
        <v>0</v>
      </c>
      <c r="AG21" s="25">
        <f t="shared" si="11"/>
        <v>2</v>
      </c>
      <c r="AH21" s="24"/>
      <c r="AI21" s="107" t="s">
        <v>101</v>
      </c>
    </row>
    <row r="22" spans="1:35" ht="21" customHeight="1">
      <c r="A22" s="25">
        <v>16</v>
      </c>
      <c r="B22" s="32"/>
      <c r="C22" s="32">
        <v>1</v>
      </c>
      <c r="D22" s="32"/>
      <c r="E22" s="24"/>
      <c r="F22" s="25">
        <f>B22*0</f>
        <v>0</v>
      </c>
      <c r="G22" s="25">
        <f t="shared" si="1"/>
        <v>1</v>
      </c>
      <c r="H22" s="25">
        <f>D22*2</f>
        <v>0</v>
      </c>
      <c r="I22" s="25">
        <f t="shared" si="3"/>
        <v>0</v>
      </c>
      <c r="J22" s="105">
        <f>I12+I17+I20+I25+I29</f>
        <v>0</v>
      </c>
      <c r="K22" s="108">
        <f>J22</f>
        <v>0</v>
      </c>
      <c r="M22" s="25">
        <v>16</v>
      </c>
      <c r="N22" s="32"/>
      <c r="O22" s="32">
        <v>1</v>
      </c>
      <c r="P22" s="32"/>
      <c r="Q22" s="24"/>
      <c r="R22" s="25">
        <f>N22*0</f>
        <v>0</v>
      </c>
      <c r="S22" s="25">
        <f t="shared" si="5"/>
        <v>1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/>
      <c r="AA22" s="32">
        <v>1</v>
      </c>
      <c r="AB22" s="32"/>
      <c r="AC22" s="24"/>
      <c r="AD22" s="25">
        <f>Z22*0</f>
        <v>0</v>
      </c>
      <c r="AE22" s="25">
        <f t="shared" si="9"/>
        <v>1</v>
      </c>
      <c r="AF22" s="25">
        <f>AB22*2</f>
        <v>0</v>
      </c>
      <c r="AG22" s="25">
        <f t="shared" si="11"/>
        <v>0</v>
      </c>
      <c r="AH22" s="105">
        <f>AG12+AG17+AG20+AG25+AG29</f>
        <v>0</v>
      </c>
      <c r="AI22" s="108">
        <f>AH22</f>
        <v>0</v>
      </c>
    </row>
    <row r="23" spans="1:35" ht="21" customHeight="1">
      <c r="A23" s="25">
        <v>17</v>
      </c>
      <c r="B23" s="32"/>
      <c r="C23" s="32">
        <v>1</v>
      </c>
      <c r="D23" s="32"/>
      <c r="E23" s="24"/>
      <c r="F23" s="25">
        <f>B23*2</f>
        <v>0</v>
      </c>
      <c r="G23" s="25">
        <f t="shared" si="1"/>
        <v>1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/>
      <c r="O23" s="32">
        <v>1</v>
      </c>
      <c r="P23" s="32"/>
      <c r="Q23" s="24"/>
      <c r="R23" s="25">
        <f>N23*2</f>
        <v>0</v>
      </c>
      <c r="S23" s="25">
        <f t="shared" si="5"/>
        <v>1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/>
      <c r="AA23" s="32"/>
      <c r="AB23" s="32">
        <v>1</v>
      </c>
      <c r="AC23" s="24"/>
      <c r="AD23" s="25">
        <f>Z23*2</f>
        <v>0</v>
      </c>
      <c r="AE23" s="25">
        <f t="shared" si="9"/>
        <v>0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>
        <v>1</v>
      </c>
      <c r="C24" s="32"/>
      <c r="D24" s="32"/>
      <c r="E24" s="24"/>
      <c r="F24" s="25">
        <f>B24*2</f>
        <v>2</v>
      </c>
      <c r="G24" s="25">
        <f t="shared" si="1"/>
        <v>0</v>
      </c>
      <c r="H24" s="25">
        <f>D24*0</f>
        <v>0</v>
      </c>
      <c r="I24" s="25">
        <f t="shared" si="3"/>
        <v>2</v>
      </c>
      <c r="J24" s="24"/>
      <c r="K24" s="25"/>
      <c r="M24" s="25">
        <v>18</v>
      </c>
      <c r="N24" s="32">
        <v>1</v>
      </c>
      <c r="O24" s="32"/>
      <c r="P24" s="32"/>
      <c r="Q24" s="24"/>
      <c r="R24" s="25">
        <f>N24*2</f>
        <v>2</v>
      </c>
      <c r="S24" s="25">
        <f t="shared" si="5"/>
        <v>0</v>
      </c>
      <c r="T24" s="25">
        <f>P24*0</f>
        <v>0</v>
      </c>
      <c r="U24" s="25">
        <f t="shared" si="7"/>
        <v>2</v>
      </c>
      <c r="V24" s="24"/>
      <c r="W24" s="25"/>
      <c r="Y24" s="25">
        <v>18</v>
      </c>
      <c r="Z24" s="32">
        <v>1</v>
      </c>
      <c r="AA24" s="32"/>
      <c r="AB24" s="32"/>
      <c r="AC24" s="24"/>
      <c r="AD24" s="25">
        <f>Z24*2</f>
        <v>2</v>
      </c>
      <c r="AE24" s="25">
        <f t="shared" si="9"/>
        <v>0</v>
      </c>
      <c r="AF24" s="25">
        <f>AB24*0</f>
        <v>0</v>
      </c>
      <c r="AG24" s="25">
        <f t="shared" si="11"/>
        <v>2</v>
      </c>
      <c r="AH24" s="24"/>
      <c r="AI24" s="25"/>
    </row>
    <row r="25" spans="1:35" ht="21" customHeight="1">
      <c r="A25" s="25">
        <v>19</v>
      </c>
      <c r="B25" s="32">
        <v>1</v>
      </c>
      <c r="C25" s="32"/>
      <c r="D25" s="32"/>
      <c r="E25" s="24"/>
      <c r="F25" s="25">
        <f t="shared" ref="F25:F31" si="18">B25*0</f>
        <v>0</v>
      </c>
      <c r="G25" s="25">
        <f t="shared" si="1"/>
        <v>0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>
        <v>1</v>
      </c>
      <c r="O25" s="32"/>
      <c r="P25" s="32"/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>
        <v>1</v>
      </c>
      <c r="AA25" s="32"/>
      <c r="AB25" s="32"/>
      <c r="AC25" s="24"/>
      <c r="AD25" s="25">
        <f t="shared" ref="AD25:AD31" si="22">Z25*0</f>
        <v>0</v>
      </c>
      <c r="AE25" s="25">
        <f t="shared" si="9"/>
        <v>0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>
        <v>1</v>
      </c>
      <c r="D26" s="32"/>
      <c r="E26" s="24"/>
      <c r="F26" s="25">
        <f t="shared" si="18"/>
        <v>0</v>
      </c>
      <c r="G26" s="25">
        <f t="shared" si="1"/>
        <v>1</v>
      </c>
      <c r="H26" s="25">
        <f t="shared" si="19"/>
        <v>0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>
        <v>1</v>
      </c>
      <c r="P26" s="32"/>
      <c r="Q26" s="24"/>
      <c r="R26" s="25">
        <f t="shared" si="20"/>
        <v>0</v>
      </c>
      <c r="S26" s="25">
        <f t="shared" si="5"/>
        <v>1</v>
      </c>
      <c r="T26" s="25">
        <f t="shared" si="21"/>
        <v>0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/>
      <c r="AB26" s="32">
        <v>1</v>
      </c>
      <c r="AC26" s="24"/>
      <c r="AD26" s="25">
        <f t="shared" si="22"/>
        <v>0</v>
      </c>
      <c r="AE26" s="25">
        <f t="shared" si="9"/>
        <v>0</v>
      </c>
      <c r="AF26" s="25">
        <f t="shared" si="23"/>
        <v>2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>
        <v>1</v>
      </c>
      <c r="D27" s="32"/>
      <c r="E27" s="24"/>
      <c r="F27" s="25">
        <f t="shared" si="18"/>
        <v>0</v>
      </c>
      <c r="G27" s="25">
        <f t="shared" si="1"/>
        <v>1</v>
      </c>
      <c r="H27" s="25">
        <f t="shared" si="19"/>
        <v>0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/>
      <c r="O27" s="32">
        <v>1</v>
      </c>
      <c r="P27" s="32"/>
      <c r="Q27" s="24"/>
      <c r="R27" s="25">
        <f t="shared" si="20"/>
        <v>0</v>
      </c>
      <c r="S27" s="25">
        <f t="shared" si="5"/>
        <v>1</v>
      </c>
      <c r="T27" s="25">
        <f t="shared" si="21"/>
        <v>0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/>
      <c r="AA27" s="32"/>
      <c r="AB27" s="32">
        <v>1</v>
      </c>
      <c r="AC27" s="24"/>
      <c r="AD27" s="25">
        <f t="shared" si="22"/>
        <v>0</v>
      </c>
      <c r="AE27" s="25">
        <f t="shared" si="9"/>
        <v>0</v>
      </c>
      <c r="AF27" s="25">
        <f t="shared" si="23"/>
        <v>2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>
        <v>1</v>
      </c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>
        <v>1</v>
      </c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>
        <v>1</v>
      </c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>
        <v>1</v>
      </c>
      <c r="C29" s="32"/>
      <c r="D29" s="32"/>
      <c r="E29" s="24"/>
      <c r="F29" s="25">
        <f t="shared" si="18"/>
        <v>0</v>
      </c>
      <c r="G29" s="25">
        <f t="shared" si="1"/>
        <v>0</v>
      </c>
      <c r="H29" s="25">
        <f t="shared" si="19"/>
        <v>0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>
        <v>1</v>
      </c>
      <c r="P29" s="32"/>
      <c r="Q29" s="24"/>
      <c r="R29" s="25">
        <f t="shared" si="20"/>
        <v>0</v>
      </c>
      <c r="S29" s="25">
        <f t="shared" si="5"/>
        <v>1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/>
      <c r="AA29" s="32">
        <v>1</v>
      </c>
      <c r="AB29" s="32"/>
      <c r="AC29" s="24"/>
      <c r="AD29" s="25">
        <f t="shared" si="22"/>
        <v>0</v>
      </c>
      <c r="AE29" s="25">
        <f t="shared" si="9"/>
        <v>1</v>
      </c>
      <c r="AF29" s="25">
        <f t="shared" si="23"/>
        <v>0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>
        <v>1</v>
      </c>
      <c r="C30" s="32"/>
      <c r="D30" s="32"/>
      <c r="E30" s="24"/>
      <c r="F30" s="25">
        <f t="shared" si="18"/>
        <v>0</v>
      </c>
      <c r="G30" s="25">
        <f t="shared" si="1"/>
        <v>0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/>
      <c r="O30" s="32">
        <v>1</v>
      </c>
      <c r="P30" s="32"/>
      <c r="Q30" s="24"/>
      <c r="R30" s="25">
        <f t="shared" si="20"/>
        <v>0</v>
      </c>
      <c r="S30" s="25">
        <f t="shared" si="5"/>
        <v>1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>
        <v>1</v>
      </c>
      <c r="AA30" s="32"/>
      <c r="AB30" s="32"/>
      <c r="AC30" s="24"/>
      <c r="AD30" s="25">
        <f t="shared" si="22"/>
        <v>0</v>
      </c>
      <c r="AE30" s="25">
        <f t="shared" si="9"/>
        <v>0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>
        <v>1</v>
      </c>
      <c r="D31" s="32"/>
      <c r="E31" s="24"/>
      <c r="F31" s="25">
        <f t="shared" si="18"/>
        <v>0</v>
      </c>
      <c r="G31" s="25">
        <f t="shared" si="1"/>
        <v>1</v>
      </c>
      <c r="H31" s="25">
        <f t="shared" si="19"/>
        <v>0</v>
      </c>
      <c r="I31" s="25">
        <f t="shared" si="3"/>
        <v>0</v>
      </c>
      <c r="J31" s="24"/>
      <c r="K31" s="108">
        <f>K7+K12+K17+K22</f>
        <v>4</v>
      </c>
      <c r="M31" s="25">
        <v>25</v>
      </c>
      <c r="N31" s="32"/>
      <c r="O31" s="32">
        <v>1</v>
      </c>
      <c r="P31" s="32"/>
      <c r="Q31" s="24"/>
      <c r="R31" s="25">
        <f t="shared" si="20"/>
        <v>0</v>
      </c>
      <c r="S31" s="25">
        <f t="shared" si="5"/>
        <v>1</v>
      </c>
      <c r="T31" s="25">
        <f t="shared" si="21"/>
        <v>0</v>
      </c>
      <c r="U31" s="25">
        <f t="shared" si="7"/>
        <v>0</v>
      </c>
      <c r="V31" s="24"/>
      <c r="W31" s="108">
        <f>W7+W12+W17+W22</f>
        <v>4</v>
      </c>
      <c r="Y31" s="25">
        <v>25</v>
      </c>
      <c r="Z31" s="32"/>
      <c r="AA31" s="32"/>
      <c r="AB31" s="32">
        <v>1</v>
      </c>
      <c r="AC31" s="24"/>
      <c r="AD31" s="25">
        <f t="shared" si="22"/>
        <v>0</v>
      </c>
      <c r="AE31" s="25">
        <f t="shared" si="9"/>
        <v>0</v>
      </c>
      <c r="AF31" s="25">
        <f t="shared" si="23"/>
        <v>2</v>
      </c>
      <c r="AG31" s="25">
        <f t="shared" si="11"/>
        <v>0</v>
      </c>
      <c r="AH31" s="24"/>
      <c r="AI31" s="108">
        <f>AI7+AI12+AI17+AI22</f>
        <v>4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7"/>
  </sheetPr>
  <dimension ref="A1:AI41"/>
  <sheetViews>
    <sheetView topLeftCell="W23" zoomScale="150" workbookViewId="0">
      <selection activeCell="AA27" sqref="AA27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 t="str">
        <f>รายชื่อ!B24</f>
        <v>เด็กหญิง</v>
      </c>
      <c r="C3" s="110" t="str">
        <f>รายชื่อ!C24</f>
        <v>อภิษฎา</v>
      </c>
      <c r="D3" s="110" t="str">
        <f>รายชื่อ!D24</f>
        <v>โม่งเมือง</v>
      </c>
      <c r="E3" s="60"/>
      <c r="F3" s="103"/>
      <c r="G3" s="165"/>
      <c r="H3" s="165"/>
      <c r="I3" s="165"/>
      <c r="J3" s="25"/>
      <c r="K3" s="106" t="s">
        <v>50</v>
      </c>
      <c r="M3" s="25" t="s">
        <v>85</v>
      </c>
      <c r="N3" s="110" t="str">
        <f>รายชื่อ!B24</f>
        <v>เด็กหญิง</v>
      </c>
      <c r="O3" s="110" t="str">
        <f>รายชื่อ!C24</f>
        <v>อภิษฎา</v>
      </c>
      <c r="P3" s="110" t="str">
        <f>รายชื่อ!D24</f>
        <v>โม่งเมือง</v>
      </c>
      <c r="Q3" s="60"/>
      <c r="R3" s="103"/>
      <c r="S3" s="165"/>
      <c r="T3" s="165"/>
      <c r="U3" s="165"/>
      <c r="V3" s="25"/>
      <c r="W3" s="106" t="s">
        <v>50</v>
      </c>
      <c r="Y3" s="25" t="s">
        <v>85</v>
      </c>
      <c r="Z3" s="110" t="str">
        <f>รายชื่อ!B24</f>
        <v>เด็กหญิง</v>
      </c>
      <c r="AA3" s="110" t="str">
        <f>รายชื่อ!C24</f>
        <v>อภิษฎา</v>
      </c>
      <c r="AB3" s="110" t="str">
        <f>รายชื่อ!D24</f>
        <v>โม่งเมือง</v>
      </c>
      <c r="AC3" s="60"/>
      <c r="AD3" s="103"/>
      <c r="AE3" s="165"/>
      <c r="AF3" s="165"/>
      <c r="AG3" s="165"/>
      <c r="AH3" s="25"/>
      <c r="AI3" s="106" t="s">
        <v>50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>
        <v>1</v>
      </c>
      <c r="C7" s="32"/>
      <c r="D7" s="32"/>
      <c r="E7" s="24"/>
      <c r="F7" s="25">
        <f t="shared" ref="F7:F12" si="0">B7*0</f>
        <v>0</v>
      </c>
      <c r="G7" s="25">
        <f t="shared" ref="G7:G31" si="1">C7*1</f>
        <v>0</v>
      </c>
      <c r="H7" s="25">
        <f t="shared" ref="H7:H12" si="2">D7*2</f>
        <v>0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/>
      <c r="O7" s="32">
        <v>1</v>
      </c>
      <c r="P7" s="32"/>
      <c r="Q7" s="24"/>
      <c r="R7" s="25">
        <f t="shared" ref="R7:R12" si="4">N7*0</f>
        <v>0</v>
      </c>
      <c r="S7" s="25">
        <f t="shared" ref="S7:S31" si="5">O7*1</f>
        <v>1</v>
      </c>
      <c r="T7" s="25">
        <f t="shared" ref="T7:T12" si="6">P7*2</f>
        <v>0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>
        <v>1</v>
      </c>
      <c r="AB7" s="32"/>
      <c r="AC7" s="24"/>
      <c r="AD7" s="25">
        <f t="shared" ref="AD7:AD12" si="8">Z7*0</f>
        <v>0</v>
      </c>
      <c r="AE7" s="25">
        <f t="shared" ref="AE7:AE31" si="9">AA7*1</f>
        <v>1</v>
      </c>
      <c r="AF7" s="25">
        <f t="shared" ref="AF7:AF12" si="10">AB7*2</f>
        <v>0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>
        <v>1</v>
      </c>
      <c r="C8" s="32"/>
      <c r="D8" s="32"/>
      <c r="E8" s="24"/>
      <c r="F8" s="25">
        <f t="shared" si="0"/>
        <v>0</v>
      </c>
      <c r="G8" s="25">
        <f t="shared" si="1"/>
        <v>0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>
        <v>1</v>
      </c>
      <c r="O8" s="32"/>
      <c r="P8" s="32"/>
      <c r="Q8" s="24"/>
      <c r="R8" s="25">
        <f t="shared" si="4"/>
        <v>0</v>
      </c>
      <c r="S8" s="25">
        <f t="shared" si="5"/>
        <v>0</v>
      </c>
      <c r="T8" s="25">
        <f t="shared" si="6"/>
        <v>0</v>
      </c>
      <c r="U8" s="25">
        <f t="shared" si="7"/>
        <v>0</v>
      </c>
      <c r="V8" s="24"/>
      <c r="W8" s="25"/>
      <c r="Y8" s="25">
        <v>2</v>
      </c>
      <c r="Z8" s="32">
        <v>1</v>
      </c>
      <c r="AA8" s="32"/>
      <c r="AB8" s="32"/>
      <c r="AC8" s="24"/>
      <c r="AD8" s="25">
        <f t="shared" si="8"/>
        <v>0</v>
      </c>
      <c r="AE8" s="25">
        <f t="shared" si="9"/>
        <v>0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>
        <v>1</v>
      </c>
      <c r="C9" s="32"/>
      <c r="D9" s="32"/>
      <c r="E9" s="24"/>
      <c r="F9" s="25">
        <f t="shared" si="0"/>
        <v>0</v>
      </c>
      <c r="G9" s="25">
        <f t="shared" si="1"/>
        <v>0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/>
      <c r="O9" s="32"/>
      <c r="P9" s="32">
        <v>1</v>
      </c>
      <c r="Q9" s="24"/>
      <c r="R9" s="25">
        <f t="shared" si="4"/>
        <v>0</v>
      </c>
      <c r="S9" s="25">
        <f t="shared" si="5"/>
        <v>0</v>
      </c>
      <c r="T9" s="25">
        <f t="shared" si="6"/>
        <v>2</v>
      </c>
      <c r="U9" s="25">
        <f t="shared" si="7"/>
        <v>0</v>
      </c>
      <c r="V9" s="24"/>
      <c r="W9" s="25"/>
      <c r="Y9" s="25">
        <v>3</v>
      </c>
      <c r="Z9" s="32">
        <v>1</v>
      </c>
      <c r="AA9" s="32"/>
      <c r="AB9" s="32"/>
      <c r="AC9" s="24"/>
      <c r="AD9" s="25">
        <f t="shared" si="8"/>
        <v>0</v>
      </c>
      <c r="AE9" s="25">
        <f t="shared" si="9"/>
        <v>0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/>
      <c r="D10" s="32">
        <v>1</v>
      </c>
      <c r="E10" s="24"/>
      <c r="F10" s="25">
        <f t="shared" si="0"/>
        <v>0</v>
      </c>
      <c r="G10" s="25">
        <f t="shared" si="1"/>
        <v>0</v>
      </c>
      <c r="H10" s="25">
        <f t="shared" si="2"/>
        <v>2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>
        <v>1</v>
      </c>
      <c r="P10" s="32"/>
      <c r="Q10" s="24"/>
      <c r="R10" s="25">
        <f t="shared" si="4"/>
        <v>0</v>
      </c>
      <c r="S10" s="25">
        <f t="shared" si="5"/>
        <v>1</v>
      </c>
      <c r="T10" s="25">
        <f t="shared" si="6"/>
        <v>0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>
        <v>1</v>
      </c>
      <c r="AB10" s="32"/>
      <c r="AC10" s="24"/>
      <c r="AD10" s="25">
        <f t="shared" si="8"/>
        <v>0</v>
      </c>
      <c r="AE10" s="25">
        <f t="shared" si="9"/>
        <v>1</v>
      </c>
      <c r="AF10" s="25">
        <f t="shared" si="10"/>
        <v>0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>
        <v>1</v>
      </c>
      <c r="C11" s="32"/>
      <c r="D11" s="32"/>
      <c r="E11" s="24"/>
      <c r="F11" s="25">
        <f t="shared" si="0"/>
        <v>0</v>
      </c>
      <c r="G11" s="25">
        <f t="shared" si="1"/>
        <v>0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>
        <v>1</v>
      </c>
      <c r="O11" s="32"/>
      <c r="P11" s="32"/>
      <c r="Q11" s="24"/>
      <c r="R11" s="25">
        <f t="shared" si="4"/>
        <v>0</v>
      </c>
      <c r="S11" s="25">
        <f t="shared" si="5"/>
        <v>0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>
        <v>1</v>
      </c>
      <c r="AA11" s="32"/>
      <c r="AB11" s="32"/>
      <c r="AC11" s="24"/>
      <c r="AD11" s="25">
        <f t="shared" si="8"/>
        <v>0</v>
      </c>
      <c r="AE11" s="25">
        <f t="shared" si="9"/>
        <v>0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>
        <v>1</v>
      </c>
      <c r="C12" s="32"/>
      <c r="D12" s="32"/>
      <c r="E12" s="24"/>
      <c r="F12" s="25">
        <f t="shared" si="0"/>
        <v>0</v>
      </c>
      <c r="G12" s="25">
        <f t="shared" si="1"/>
        <v>0</v>
      </c>
      <c r="H12" s="25">
        <f t="shared" si="2"/>
        <v>0</v>
      </c>
      <c r="I12" s="25">
        <f t="shared" si="3"/>
        <v>0</v>
      </c>
      <c r="J12" s="105">
        <f>I11+I13+I18+I24+I28</f>
        <v>2</v>
      </c>
      <c r="K12" s="108">
        <f>J12</f>
        <v>2</v>
      </c>
      <c r="M12" s="25">
        <v>6</v>
      </c>
      <c r="N12" s="32"/>
      <c r="O12" s="32">
        <v>1</v>
      </c>
      <c r="P12" s="32"/>
      <c r="Q12" s="24"/>
      <c r="R12" s="25">
        <f t="shared" si="4"/>
        <v>0</v>
      </c>
      <c r="S12" s="25">
        <f t="shared" si="5"/>
        <v>1</v>
      </c>
      <c r="T12" s="25">
        <f t="shared" si="6"/>
        <v>0</v>
      </c>
      <c r="U12" s="25">
        <f t="shared" si="7"/>
        <v>0</v>
      </c>
      <c r="V12" s="105">
        <f>U11+U13+U18+U24+U28</f>
        <v>2</v>
      </c>
      <c r="W12" s="108">
        <f>V12</f>
        <v>2</v>
      </c>
      <c r="Y12" s="25">
        <v>6</v>
      </c>
      <c r="Z12" s="32">
        <v>1</v>
      </c>
      <c r="AA12" s="32"/>
      <c r="AB12" s="32"/>
      <c r="AC12" s="24"/>
      <c r="AD12" s="25">
        <f t="shared" si="8"/>
        <v>0</v>
      </c>
      <c r="AE12" s="25">
        <f t="shared" si="9"/>
        <v>0</v>
      </c>
      <c r="AF12" s="25">
        <f t="shared" si="10"/>
        <v>0</v>
      </c>
      <c r="AG12" s="25">
        <f t="shared" si="11"/>
        <v>0</v>
      </c>
      <c r="AH12" s="105">
        <f>AG11+AG13+AG18+AG24+AG28</f>
        <v>2</v>
      </c>
      <c r="AI12" s="108">
        <f>AH12</f>
        <v>2</v>
      </c>
    </row>
    <row r="13" spans="1:35" ht="21" customHeight="1">
      <c r="A13" s="25">
        <v>7</v>
      </c>
      <c r="B13" s="32"/>
      <c r="C13" s="32"/>
      <c r="D13" s="32">
        <v>1</v>
      </c>
      <c r="E13" s="24"/>
      <c r="F13" s="25">
        <f>B13*2</f>
        <v>0</v>
      </c>
      <c r="G13" s="25">
        <f t="shared" si="1"/>
        <v>0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>
        <v>1</v>
      </c>
      <c r="P13" s="32"/>
      <c r="Q13" s="24"/>
      <c r="R13" s="25">
        <f>N13*2</f>
        <v>0</v>
      </c>
      <c r="S13" s="25">
        <f t="shared" si="5"/>
        <v>1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/>
      <c r="AA13" s="32"/>
      <c r="AB13" s="32">
        <v>1</v>
      </c>
      <c r="AC13" s="24"/>
      <c r="AD13" s="25">
        <f>Z13*2</f>
        <v>0</v>
      </c>
      <c r="AE13" s="25">
        <f t="shared" si="9"/>
        <v>0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>
        <v>1</v>
      </c>
      <c r="C14" s="32"/>
      <c r="D14" s="32"/>
      <c r="E14" s="24"/>
      <c r="F14" s="25">
        <f t="shared" ref="F14:F19" si="12">B14*0</f>
        <v>0</v>
      </c>
      <c r="G14" s="25">
        <f t="shared" si="1"/>
        <v>0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/>
      <c r="O14" s="32">
        <v>1</v>
      </c>
      <c r="P14" s="32"/>
      <c r="Q14" s="24"/>
      <c r="R14" s="25">
        <f t="shared" ref="R14:R19" si="14">N14*0</f>
        <v>0</v>
      </c>
      <c r="S14" s="25">
        <f t="shared" si="5"/>
        <v>1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>
        <v>1</v>
      </c>
      <c r="AA14" s="32"/>
      <c r="AB14" s="32"/>
      <c r="AC14" s="24"/>
      <c r="AD14" s="25">
        <f t="shared" ref="AD14:AD19" si="16">Z14*0</f>
        <v>0</v>
      </c>
      <c r="AE14" s="25">
        <f t="shared" si="9"/>
        <v>0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>
        <v>1</v>
      </c>
      <c r="D15" s="32"/>
      <c r="E15" s="24"/>
      <c r="F15" s="25">
        <f t="shared" si="12"/>
        <v>0</v>
      </c>
      <c r="G15" s="25">
        <f t="shared" si="1"/>
        <v>1</v>
      </c>
      <c r="H15" s="25">
        <f t="shared" si="13"/>
        <v>0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>
        <v>1</v>
      </c>
      <c r="P15" s="32"/>
      <c r="Q15" s="24"/>
      <c r="R15" s="25">
        <f t="shared" si="14"/>
        <v>0</v>
      </c>
      <c r="S15" s="25">
        <f t="shared" si="5"/>
        <v>1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/>
      <c r="AA15" s="32">
        <v>1</v>
      </c>
      <c r="AB15" s="32"/>
      <c r="AC15" s="24"/>
      <c r="AD15" s="25">
        <f t="shared" si="16"/>
        <v>0</v>
      </c>
      <c r="AE15" s="25">
        <f t="shared" si="9"/>
        <v>1</v>
      </c>
      <c r="AF15" s="25">
        <f t="shared" si="17"/>
        <v>0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>
        <v>1</v>
      </c>
      <c r="C16" s="32"/>
      <c r="D16" s="32"/>
      <c r="E16" s="24"/>
      <c r="F16" s="25">
        <f t="shared" si="12"/>
        <v>0</v>
      </c>
      <c r="G16" s="25">
        <f t="shared" si="1"/>
        <v>0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>
        <v>1</v>
      </c>
      <c r="O16" s="32"/>
      <c r="P16" s="32"/>
      <c r="Q16" s="24"/>
      <c r="R16" s="25">
        <f t="shared" si="14"/>
        <v>0</v>
      </c>
      <c r="S16" s="25">
        <f t="shared" si="5"/>
        <v>0</v>
      </c>
      <c r="T16" s="25">
        <f t="shared" si="15"/>
        <v>0</v>
      </c>
      <c r="U16" s="25">
        <f t="shared" si="7"/>
        <v>0</v>
      </c>
      <c r="V16" s="24"/>
      <c r="W16" s="107" t="s">
        <v>99</v>
      </c>
      <c r="Y16" s="25">
        <v>10</v>
      </c>
      <c r="Z16" s="32">
        <v>1</v>
      </c>
      <c r="AA16" s="32"/>
      <c r="AB16" s="32"/>
      <c r="AC16" s="24"/>
      <c r="AD16" s="25">
        <f t="shared" si="16"/>
        <v>0</v>
      </c>
      <c r="AE16" s="25">
        <f t="shared" si="9"/>
        <v>0</v>
      </c>
      <c r="AF16" s="25">
        <f t="shared" si="17"/>
        <v>0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/>
      <c r="D17" s="32">
        <v>1</v>
      </c>
      <c r="E17" s="24"/>
      <c r="F17" s="25">
        <f t="shared" si="12"/>
        <v>0</v>
      </c>
      <c r="G17" s="25">
        <f t="shared" si="1"/>
        <v>0</v>
      </c>
      <c r="H17" s="25">
        <f t="shared" si="13"/>
        <v>2</v>
      </c>
      <c r="I17" s="25">
        <f t="shared" si="3"/>
        <v>0</v>
      </c>
      <c r="J17" s="105">
        <f>I8+I16+I21+I27+I31</f>
        <v>2</v>
      </c>
      <c r="K17" s="108">
        <f>J17</f>
        <v>2</v>
      </c>
      <c r="M17" s="25">
        <v>11</v>
      </c>
      <c r="N17" s="32"/>
      <c r="O17" s="32"/>
      <c r="P17" s="32">
        <v>1</v>
      </c>
      <c r="Q17" s="24"/>
      <c r="R17" s="25">
        <f t="shared" si="14"/>
        <v>0</v>
      </c>
      <c r="S17" s="25">
        <f t="shared" si="5"/>
        <v>0</v>
      </c>
      <c r="T17" s="25">
        <f t="shared" si="15"/>
        <v>2</v>
      </c>
      <c r="U17" s="25">
        <f t="shared" si="7"/>
        <v>0</v>
      </c>
      <c r="V17" s="105">
        <f>U8+U16+U21+U27+U31</f>
        <v>0</v>
      </c>
      <c r="W17" s="108">
        <f>V17</f>
        <v>0</v>
      </c>
      <c r="Y17" s="25">
        <v>11</v>
      </c>
      <c r="Z17" s="32"/>
      <c r="AA17" s="32"/>
      <c r="AB17" s="32">
        <v>1</v>
      </c>
      <c r="AC17" s="24"/>
      <c r="AD17" s="25">
        <f t="shared" si="16"/>
        <v>0</v>
      </c>
      <c r="AE17" s="25">
        <f t="shared" si="9"/>
        <v>0</v>
      </c>
      <c r="AF17" s="25">
        <f t="shared" si="17"/>
        <v>2</v>
      </c>
      <c r="AG17" s="25">
        <f t="shared" si="11"/>
        <v>0</v>
      </c>
      <c r="AH17" s="105">
        <f>AG8+AG16+AG21+AG27+AG31</f>
        <v>2</v>
      </c>
      <c r="AI17" s="108">
        <f>AH17</f>
        <v>2</v>
      </c>
    </row>
    <row r="18" spans="1:35" ht="21" customHeight="1">
      <c r="A18" s="25">
        <v>12</v>
      </c>
      <c r="B18" s="32">
        <v>1</v>
      </c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>
        <v>1</v>
      </c>
      <c r="O18" s="32"/>
      <c r="P18" s="32"/>
      <c r="Q18" s="24"/>
      <c r="R18" s="25">
        <f t="shared" si="14"/>
        <v>0</v>
      </c>
      <c r="S18" s="25">
        <f t="shared" si="5"/>
        <v>0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>
        <v>1</v>
      </c>
      <c r="AA18" s="32"/>
      <c r="AB18" s="32"/>
      <c r="AC18" s="24"/>
      <c r="AD18" s="25">
        <f t="shared" si="16"/>
        <v>0</v>
      </c>
      <c r="AE18" s="25">
        <f t="shared" si="9"/>
        <v>0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>
        <v>1</v>
      </c>
      <c r="C19" s="32"/>
      <c r="D19" s="32"/>
      <c r="E19" s="24"/>
      <c r="F19" s="25">
        <f t="shared" si="12"/>
        <v>0</v>
      </c>
      <c r="G19" s="25">
        <f t="shared" si="1"/>
        <v>0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/>
      <c r="O19" s="32">
        <v>1</v>
      </c>
      <c r="P19" s="32"/>
      <c r="Q19" s="24"/>
      <c r="R19" s="25">
        <f t="shared" si="14"/>
        <v>0</v>
      </c>
      <c r="S19" s="25">
        <f t="shared" si="5"/>
        <v>1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/>
      <c r="AA19" s="32"/>
      <c r="AB19" s="32">
        <v>1</v>
      </c>
      <c r="AC19" s="24"/>
      <c r="AD19" s="25">
        <f t="shared" si="16"/>
        <v>0</v>
      </c>
      <c r="AE19" s="25">
        <f t="shared" si="9"/>
        <v>0</v>
      </c>
      <c r="AF19" s="25">
        <f t="shared" si="17"/>
        <v>2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/>
      <c r="C20" s="32">
        <v>1</v>
      </c>
      <c r="D20" s="32"/>
      <c r="E20" s="24"/>
      <c r="F20" s="25">
        <f>B20*2</f>
        <v>0</v>
      </c>
      <c r="G20" s="25">
        <f t="shared" si="1"/>
        <v>1</v>
      </c>
      <c r="H20" s="25">
        <f>D20*0</f>
        <v>0</v>
      </c>
      <c r="I20" s="25">
        <f t="shared" si="3"/>
        <v>0</v>
      </c>
      <c r="J20" s="24"/>
      <c r="K20" s="107" t="s">
        <v>100</v>
      </c>
      <c r="M20" s="25">
        <v>14</v>
      </c>
      <c r="N20" s="32"/>
      <c r="O20" s="32">
        <v>1</v>
      </c>
      <c r="P20" s="32"/>
      <c r="Q20" s="24"/>
      <c r="R20" s="25">
        <f>N20*2</f>
        <v>0</v>
      </c>
      <c r="S20" s="25">
        <f t="shared" si="5"/>
        <v>1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>
        <v>1</v>
      </c>
      <c r="AA20" s="32"/>
      <c r="AB20" s="32"/>
      <c r="AC20" s="24"/>
      <c r="AD20" s="25">
        <f>Z20*2</f>
        <v>2</v>
      </c>
      <c r="AE20" s="25">
        <f t="shared" si="9"/>
        <v>0</v>
      </c>
      <c r="AF20" s="25">
        <f>AB20*0</f>
        <v>0</v>
      </c>
      <c r="AG20" s="25">
        <f t="shared" si="11"/>
        <v>2</v>
      </c>
      <c r="AH20" s="24"/>
      <c r="AI20" s="107" t="s">
        <v>100</v>
      </c>
    </row>
    <row r="21" spans="1:35" ht="21" customHeight="1">
      <c r="A21" s="25">
        <v>15</v>
      </c>
      <c r="B21" s="32">
        <v>1</v>
      </c>
      <c r="C21" s="32"/>
      <c r="D21" s="32"/>
      <c r="E21" s="24"/>
      <c r="F21" s="25">
        <f>B21*2</f>
        <v>2</v>
      </c>
      <c r="G21" s="25">
        <f t="shared" si="1"/>
        <v>0</v>
      </c>
      <c r="H21" s="25">
        <f>D21*0</f>
        <v>0</v>
      </c>
      <c r="I21" s="25">
        <f t="shared" si="3"/>
        <v>2</v>
      </c>
      <c r="J21" s="24"/>
      <c r="K21" s="107" t="s">
        <v>101</v>
      </c>
      <c r="M21" s="25">
        <v>15</v>
      </c>
      <c r="N21" s="32"/>
      <c r="O21" s="32">
        <v>1</v>
      </c>
      <c r="P21" s="32"/>
      <c r="Q21" s="24"/>
      <c r="R21" s="25">
        <f>N21*2</f>
        <v>0</v>
      </c>
      <c r="S21" s="25">
        <f t="shared" si="5"/>
        <v>1</v>
      </c>
      <c r="T21" s="25">
        <f>P21*0</f>
        <v>0</v>
      </c>
      <c r="U21" s="25">
        <f t="shared" si="7"/>
        <v>0</v>
      </c>
      <c r="V21" s="24"/>
      <c r="W21" s="107" t="s">
        <v>101</v>
      </c>
      <c r="Y21" s="25">
        <v>15</v>
      </c>
      <c r="Z21" s="32">
        <v>1</v>
      </c>
      <c r="AA21" s="32"/>
      <c r="AB21" s="32"/>
      <c r="AC21" s="24"/>
      <c r="AD21" s="25">
        <f>Z21*2</f>
        <v>2</v>
      </c>
      <c r="AE21" s="25">
        <f t="shared" si="9"/>
        <v>0</v>
      </c>
      <c r="AF21" s="25">
        <f>AB21*0</f>
        <v>0</v>
      </c>
      <c r="AG21" s="25">
        <f t="shared" si="11"/>
        <v>2</v>
      </c>
      <c r="AH21" s="24"/>
      <c r="AI21" s="107" t="s">
        <v>101</v>
      </c>
    </row>
    <row r="22" spans="1:35" ht="21" customHeight="1">
      <c r="A22" s="25">
        <v>16</v>
      </c>
      <c r="B22" s="32"/>
      <c r="C22" s="32">
        <v>1</v>
      </c>
      <c r="D22" s="32"/>
      <c r="E22" s="24"/>
      <c r="F22" s="25">
        <f>B22*0</f>
        <v>0</v>
      </c>
      <c r="G22" s="25">
        <f t="shared" si="1"/>
        <v>1</v>
      </c>
      <c r="H22" s="25">
        <f>D22*2</f>
        <v>0</v>
      </c>
      <c r="I22" s="25">
        <f t="shared" si="3"/>
        <v>0</v>
      </c>
      <c r="J22" s="105">
        <f>I12+I17+I20+I25+I29</f>
        <v>0</v>
      </c>
      <c r="K22" s="108">
        <f>J22</f>
        <v>0</v>
      </c>
      <c r="M22" s="25">
        <v>16</v>
      </c>
      <c r="N22" s="32"/>
      <c r="O22" s="32">
        <v>1</v>
      </c>
      <c r="P22" s="32"/>
      <c r="Q22" s="24"/>
      <c r="R22" s="25">
        <f>N22*0</f>
        <v>0</v>
      </c>
      <c r="S22" s="25">
        <f t="shared" si="5"/>
        <v>1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/>
      <c r="AA22" s="32">
        <v>1</v>
      </c>
      <c r="AB22" s="32"/>
      <c r="AC22" s="24"/>
      <c r="AD22" s="25">
        <f>Z22*0</f>
        <v>0</v>
      </c>
      <c r="AE22" s="25">
        <f t="shared" si="9"/>
        <v>1</v>
      </c>
      <c r="AF22" s="25">
        <f>AB22*2</f>
        <v>0</v>
      </c>
      <c r="AG22" s="25">
        <f t="shared" si="11"/>
        <v>0</v>
      </c>
      <c r="AH22" s="105">
        <f>AG12+AG17+AG20+AG25+AG29</f>
        <v>2</v>
      </c>
      <c r="AI22" s="108">
        <f>AH22</f>
        <v>2</v>
      </c>
    </row>
    <row r="23" spans="1:35" ht="21" customHeight="1">
      <c r="A23" s="25">
        <v>17</v>
      </c>
      <c r="B23" s="32"/>
      <c r="C23" s="32">
        <v>1</v>
      </c>
      <c r="D23" s="32"/>
      <c r="E23" s="24"/>
      <c r="F23" s="25">
        <f>B23*2</f>
        <v>0</v>
      </c>
      <c r="G23" s="25">
        <f t="shared" si="1"/>
        <v>1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/>
      <c r="O23" s="32">
        <v>1</v>
      </c>
      <c r="P23" s="32"/>
      <c r="Q23" s="24"/>
      <c r="R23" s="25">
        <f>N23*2</f>
        <v>0</v>
      </c>
      <c r="S23" s="25">
        <f t="shared" si="5"/>
        <v>1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/>
      <c r="AA23" s="32">
        <v>1</v>
      </c>
      <c r="AB23" s="32"/>
      <c r="AC23" s="24"/>
      <c r="AD23" s="25">
        <f>Z23*2</f>
        <v>0</v>
      </c>
      <c r="AE23" s="25">
        <f t="shared" si="9"/>
        <v>1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>
        <v>1</v>
      </c>
      <c r="C24" s="32"/>
      <c r="D24" s="32"/>
      <c r="E24" s="24"/>
      <c r="F24" s="25">
        <f>B24*2</f>
        <v>2</v>
      </c>
      <c r="G24" s="25">
        <f t="shared" si="1"/>
        <v>0</v>
      </c>
      <c r="H24" s="25">
        <f>D24*0</f>
        <v>0</v>
      </c>
      <c r="I24" s="25">
        <f t="shared" si="3"/>
        <v>2</v>
      </c>
      <c r="J24" s="24"/>
      <c r="K24" s="25"/>
      <c r="M24" s="25">
        <v>18</v>
      </c>
      <c r="N24" s="32">
        <v>1</v>
      </c>
      <c r="O24" s="32"/>
      <c r="P24" s="32"/>
      <c r="Q24" s="24"/>
      <c r="R24" s="25">
        <f>N24*2</f>
        <v>2</v>
      </c>
      <c r="S24" s="25">
        <f t="shared" si="5"/>
        <v>0</v>
      </c>
      <c r="T24" s="25">
        <f>P24*0</f>
        <v>0</v>
      </c>
      <c r="U24" s="25">
        <f t="shared" si="7"/>
        <v>2</v>
      </c>
      <c r="V24" s="24"/>
      <c r="W24" s="25"/>
      <c r="Y24" s="25">
        <v>18</v>
      </c>
      <c r="Z24" s="32">
        <v>1</v>
      </c>
      <c r="AA24" s="32"/>
      <c r="AB24" s="32"/>
      <c r="AC24" s="24"/>
      <c r="AD24" s="25">
        <f>Z24*2</f>
        <v>2</v>
      </c>
      <c r="AE24" s="25">
        <f t="shared" si="9"/>
        <v>0</v>
      </c>
      <c r="AF24" s="25">
        <f>AB24*0</f>
        <v>0</v>
      </c>
      <c r="AG24" s="25">
        <f t="shared" si="11"/>
        <v>2</v>
      </c>
      <c r="AH24" s="24"/>
      <c r="AI24" s="25"/>
    </row>
    <row r="25" spans="1:35" ht="21" customHeight="1">
      <c r="A25" s="25">
        <v>19</v>
      </c>
      <c r="B25" s="32">
        <v>1</v>
      </c>
      <c r="C25" s="32"/>
      <c r="D25" s="32"/>
      <c r="E25" s="24"/>
      <c r="F25" s="25">
        <f t="shared" ref="F25:F31" si="18">B25*0</f>
        <v>0</v>
      </c>
      <c r="G25" s="25">
        <f t="shared" si="1"/>
        <v>0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>
        <v>1</v>
      </c>
      <c r="O25" s="32"/>
      <c r="P25" s="32"/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>
        <v>1</v>
      </c>
      <c r="AA25" s="32"/>
      <c r="AB25" s="32"/>
      <c r="AC25" s="24"/>
      <c r="AD25" s="25">
        <f t="shared" ref="AD25:AD31" si="22">Z25*0</f>
        <v>0</v>
      </c>
      <c r="AE25" s="25">
        <f t="shared" si="9"/>
        <v>0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>
        <v>1</v>
      </c>
      <c r="D26" s="32"/>
      <c r="E26" s="24"/>
      <c r="F26" s="25">
        <f t="shared" si="18"/>
        <v>0</v>
      </c>
      <c r="G26" s="25">
        <f t="shared" si="1"/>
        <v>1</v>
      </c>
      <c r="H26" s="25">
        <f t="shared" si="19"/>
        <v>0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>
        <v>1</v>
      </c>
      <c r="P26" s="32"/>
      <c r="Q26" s="24"/>
      <c r="R26" s="25">
        <f t="shared" si="20"/>
        <v>0</v>
      </c>
      <c r="S26" s="25">
        <f t="shared" si="5"/>
        <v>1</v>
      </c>
      <c r="T26" s="25">
        <f t="shared" si="21"/>
        <v>0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>
        <v>1</v>
      </c>
      <c r="AB26" s="32"/>
      <c r="AC26" s="24"/>
      <c r="AD26" s="25">
        <f t="shared" si="22"/>
        <v>0</v>
      </c>
      <c r="AE26" s="25">
        <f t="shared" si="9"/>
        <v>1</v>
      </c>
      <c r="AF26" s="25">
        <f t="shared" si="23"/>
        <v>0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/>
      <c r="D27" s="32">
        <v>1</v>
      </c>
      <c r="E27" s="24"/>
      <c r="F27" s="25">
        <f t="shared" si="18"/>
        <v>0</v>
      </c>
      <c r="G27" s="25">
        <f t="shared" si="1"/>
        <v>0</v>
      </c>
      <c r="H27" s="25">
        <f t="shared" si="19"/>
        <v>2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/>
      <c r="O27" s="32">
        <v>1</v>
      </c>
      <c r="P27" s="32"/>
      <c r="Q27" s="24"/>
      <c r="R27" s="25">
        <f t="shared" si="20"/>
        <v>0</v>
      </c>
      <c r="S27" s="25">
        <f t="shared" si="5"/>
        <v>1</v>
      </c>
      <c r="T27" s="25">
        <f t="shared" si="21"/>
        <v>0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/>
      <c r="AA27" s="32">
        <v>1</v>
      </c>
      <c r="AB27" s="32"/>
      <c r="AC27" s="24"/>
      <c r="AD27" s="25">
        <f t="shared" si="22"/>
        <v>0</v>
      </c>
      <c r="AE27" s="25">
        <f t="shared" si="9"/>
        <v>1</v>
      </c>
      <c r="AF27" s="25">
        <f t="shared" si="23"/>
        <v>0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>
        <v>1</v>
      </c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>
        <v>1</v>
      </c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>
        <v>1</v>
      </c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>
        <v>1</v>
      </c>
      <c r="C29" s="32"/>
      <c r="D29" s="32"/>
      <c r="E29" s="24"/>
      <c r="F29" s="25">
        <f t="shared" si="18"/>
        <v>0</v>
      </c>
      <c r="G29" s="25">
        <f t="shared" si="1"/>
        <v>0</v>
      </c>
      <c r="H29" s="25">
        <f t="shared" si="19"/>
        <v>0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>
        <v>1</v>
      </c>
      <c r="P29" s="32"/>
      <c r="Q29" s="24"/>
      <c r="R29" s="25">
        <f t="shared" si="20"/>
        <v>0</v>
      </c>
      <c r="S29" s="25">
        <f t="shared" si="5"/>
        <v>1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>
        <v>1</v>
      </c>
      <c r="AA29" s="32"/>
      <c r="AB29" s="32"/>
      <c r="AC29" s="24"/>
      <c r="AD29" s="25">
        <f t="shared" si="22"/>
        <v>0</v>
      </c>
      <c r="AE29" s="25">
        <f t="shared" si="9"/>
        <v>0</v>
      </c>
      <c r="AF29" s="25">
        <f t="shared" si="23"/>
        <v>0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>
        <v>1</v>
      </c>
      <c r="C30" s="32"/>
      <c r="D30" s="32"/>
      <c r="E30" s="24"/>
      <c r="F30" s="25">
        <f t="shared" si="18"/>
        <v>0</v>
      </c>
      <c r="G30" s="25">
        <f t="shared" si="1"/>
        <v>0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/>
      <c r="O30" s="32">
        <v>1</v>
      </c>
      <c r="P30" s="32"/>
      <c r="Q30" s="24"/>
      <c r="R30" s="25">
        <f t="shared" si="20"/>
        <v>0</v>
      </c>
      <c r="S30" s="25">
        <f t="shared" si="5"/>
        <v>1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>
        <v>1</v>
      </c>
      <c r="AA30" s="32"/>
      <c r="AB30" s="32"/>
      <c r="AC30" s="24"/>
      <c r="AD30" s="25">
        <f t="shared" si="22"/>
        <v>0</v>
      </c>
      <c r="AE30" s="25">
        <f t="shared" si="9"/>
        <v>0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>
        <v>1</v>
      </c>
      <c r="D31" s="32"/>
      <c r="E31" s="24"/>
      <c r="F31" s="25">
        <f t="shared" si="18"/>
        <v>0</v>
      </c>
      <c r="G31" s="25">
        <f t="shared" si="1"/>
        <v>1</v>
      </c>
      <c r="H31" s="25">
        <f t="shared" si="19"/>
        <v>0</v>
      </c>
      <c r="I31" s="25">
        <f t="shared" si="3"/>
        <v>0</v>
      </c>
      <c r="J31" s="24"/>
      <c r="K31" s="108">
        <f>K7+K12+K17+K22</f>
        <v>4</v>
      </c>
      <c r="M31" s="25">
        <v>25</v>
      </c>
      <c r="N31" s="32"/>
      <c r="O31" s="32">
        <v>1</v>
      </c>
      <c r="P31" s="32"/>
      <c r="Q31" s="24"/>
      <c r="R31" s="25">
        <f t="shared" si="20"/>
        <v>0</v>
      </c>
      <c r="S31" s="25">
        <f t="shared" si="5"/>
        <v>1</v>
      </c>
      <c r="T31" s="25">
        <f t="shared" si="21"/>
        <v>0</v>
      </c>
      <c r="U31" s="25">
        <f t="shared" si="7"/>
        <v>0</v>
      </c>
      <c r="V31" s="24"/>
      <c r="W31" s="108">
        <f>W7+W12+W17+W22</f>
        <v>2</v>
      </c>
      <c r="Y31" s="25">
        <v>25</v>
      </c>
      <c r="Z31" s="32"/>
      <c r="AA31" s="32">
        <v>1</v>
      </c>
      <c r="AB31" s="32"/>
      <c r="AC31" s="24"/>
      <c r="AD31" s="25">
        <f t="shared" si="22"/>
        <v>0</v>
      </c>
      <c r="AE31" s="25">
        <f t="shared" si="9"/>
        <v>1</v>
      </c>
      <c r="AF31" s="25">
        <f t="shared" si="23"/>
        <v>0</v>
      </c>
      <c r="AG31" s="25">
        <f t="shared" si="11"/>
        <v>0</v>
      </c>
      <c r="AH31" s="24"/>
      <c r="AI31" s="108">
        <f>AI7+AI12+AI17+AI22</f>
        <v>6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7"/>
  </sheetPr>
  <dimension ref="A1:AI41"/>
  <sheetViews>
    <sheetView topLeftCell="W23" zoomScale="150" workbookViewId="0">
      <selection activeCell="AA31" sqref="AA31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 t="str">
        <f>รายชื่อ!B25</f>
        <v>เด็กหญิง</v>
      </c>
      <c r="C3" s="110" t="str">
        <f>รายชื่อ!C25</f>
        <v>ณิชาพร</v>
      </c>
      <c r="D3" s="110" t="str">
        <f>รายชื่อ!D25</f>
        <v>โตเย็น</v>
      </c>
      <c r="E3" s="60"/>
      <c r="F3" s="103"/>
      <c r="G3" s="165"/>
      <c r="H3" s="165"/>
      <c r="I3" s="165"/>
      <c r="J3" s="25"/>
      <c r="K3" s="106" t="s">
        <v>51</v>
      </c>
      <c r="M3" s="25" t="s">
        <v>85</v>
      </c>
      <c r="N3" s="110" t="str">
        <f>รายชื่อ!B25</f>
        <v>เด็กหญิง</v>
      </c>
      <c r="O3" s="110" t="str">
        <f>รายชื่อ!C25</f>
        <v>ณิชาพร</v>
      </c>
      <c r="P3" s="110" t="str">
        <f>รายชื่อ!D25</f>
        <v>โตเย็น</v>
      </c>
      <c r="Q3" s="60"/>
      <c r="R3" s="103"/>
      <c r="S3" s="165"/>
      <c r="T3" s="165"/>
      <c r="U3" s="165"/>
      <c r="V3" s="25"/>
      <c r="W3" s="106" t="s">
        <v>51</v>
      </c>
      <c r="Y3" s="25" t="s">
        <v>85</v>
      </c>
      <c r="Z3" s="110" t="str">
        <f>รายชื่อ!B25</f>
        <v>เด็กหญิง</v>
      </c>
      <c r="AA3" s="110" t="str">
        <f>รายชื่อ!C25</f>
        <v>ณิชาพร</v>
      </c>
      <c r="AB3" s="110" t="str">
        <f>รายชื่อ!D25</f>
        <v>โตเย็น</v>
      </c>
      <c r="AC3" s="60"/>
      <c r="AD3" s="103"/>
      <c r="AE3" s="165"/>
      <c r="AF3" s="165"/>
      <c r="AG3" s="165"/>
      <c r="AH3" s="25"/>
      <c r="AI3" s="106" t="s">
        <v>51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/>
      <c r="C7" s="32">
        <v>1</v>
      </c>
      <c r="D7" s="32"/>
      <c r="E7" s="24"/>
      <c r="F7" s="25">
        <f t="shared" ref="F7:F12" si="0">B7*0</f>
        <v>0</v>
      </c>
      <c r="G7" s="25">
        <f t="shared" ref="G7:G31" si="1">C7*1</f>
        <v>1</v>
      </c>
      <c r="H7" s="25">
        <f t="shared" ref="H7:H12" si="2">D7*2</f>
        <v>0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/>
      <c r="O7" s="32">
        <v>1</v>
      </c>
      <c r="P7" s="32"/>
      <c r="Q7" s="24"/>
      <c r="R7" s="25">
        <f t="shared" ref="R7:R12" si="4">N7*0</f>
        <v>0</v>
      </c>
      <c r="S7" s="25">
        <f t="shared" ref="S7:S31" si="5">O7*1</f>
        <v>1</v>
      </c>
      <c r="T7" s="25">
        <f t="shared" ref="T7:T12" si="6">P7*2</f>
        <v>0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>
        <v>1</v>
      </c>
      <c r="AB7" s="32"/>
      <c r="AC7" s="24"/>
      <c r="AD7" s="25">
        <f t="shared" ref="AD7:AD12" si="8">Z7*0</f>
        <v>0</v>
      </c>
      <c r="AE7" s="25">
        <f t="shared" ref="AE7:AE31" si="9">AA7*1</f>
        <v>1</v>
      </c>
      <c r="AF7" s="25">
        <f t="shared" ref="AF7:AF12" si="10">AB7*2</f>
        <v>0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>
        <v>1</v>
      </c>
      <c r="C8" s="32"/>
      <c r="D8" s="32"/>
      <c r="E8" s="24"/>
      <c r="F8" s="25">
        <f t="shared" si="0"/>
        <v>0</v>
      </c>
      <c r="G8" s="25">
        <f t="shared" si="1"/>
        <v>0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>
        <v>1</v>
      </c>
      <c r="O8" s="32"/>
      <c r="P8" s="32"/>
      <c r="Q8" s="24"/>
      <c r="R8" s="25">
        <f t="shared" si="4"/>
        <v>0</v>
      </c>
      <c r="S8" s="25">
        <f t="shared" si="5"/>
        <v>0</v>
      </c>
      <c r="T8" s="25">
        <f t="shared" si="6"/>
        <v>0</v>
      </c>
      <c r="U8" s="25">
        <f t="shared" si="7"/>
        <v>0</v>
      </c>
      <c r="V8" s="24"/>
      <c r="W8" s="25"/>
      <c r="Y8" s="25">
        <v>2</v>
      </c>
      <c r="Z8" s="32">
        <v>1</v>
      </c>
      <c r="AA8" s="32"/>
      <c r="AB8" s="32"/>
      <c r="AC8" s="24"/>
      <c r="AD8" s="25">
        <f t="shared" si="8"/>
        <v>0</v>
      </c>
      <c r="AE8" s="25">
        <f t="shared" si="9"/>
        <v>0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>
        <v>1</v>
      </c>
      <c r="C9" s="32"/>
      <c r="D9" s="32"/>
      <c r="E9" s="24"/>
      <c r="F9" s="25">
        <f t="shared" si="0"/>
        <v>0</v>
      </c>
      <c r="G9" s="25">
        <f t="shared" si="1"/>
        <v>0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>
        <v>1</v>
      </c>
      <c r="O9" s="32"/>
      <c r="P9" s="32"/>
      <c r="Q9" s="24"/>
      <c r="R9" s="25">
        <f t="shared" si="4"/>
        <v>0</v>
      </c>
      <c r="S9" s="25">
        <f t="shared" si="5"/>
        <v>0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>
        <v>1</v>
      </c>
      <c r="AA9" s="32"/>
      <c r="AB9" s="32"/>
      <c r="AC9" s="24"/>
      <c r="AD9" s="25">
        <f t="shared" si="8"/>
        <v>0</v>
      </c>
      <c r="AE9" s="25">
        <f t="shared" si="9"/>
        <v>0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>
        <v>1</v>
      </c>
      <c r="D10" s="32"/>
      <c r="E10" s="24"/>
      <c r="F10" s="25">
        <f t="shared" si="0"/>
        <v>0</v>
      </c>
      <c r="G10" s="25">
        <f t="shared" si="1"/>
        <v>1</v>
      </c>
      <c r="H10" s="25">
        <f t="shared" si="2"/>
        <v>0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>
        <v>1</v>
      </c>
      <c r="P10" s="32"/>
      <c r="Q10" s="24"/>
      <c r="R10" s="25">
        <f t="shared" si="4"/>
        <v>0</v>
      </c>
      <c r="S10" s="25">
        <f t="shared" si="5"/>
        <v>1</v>
      </c>
      <c r="T10" s="25">
        <f t="shared" si="6"/>
        <v>0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>
        <v>1</v>
      </c>
      <c r="AB10" s="32"/>
      <c r="AC10" s="24"/>
      <c r="AD10" s="25">
        <f t="shared" si="8"/>
        <v>0</v>
      </c>
      <c r="AE10" s="25">
        <f t="shared" si="9"/>
        <v>1</v>
      </c>
      <c r="AF10" s="25">
        <f t="shared" si="10"/>
        <v>0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>
        <v>1</v>
      </c>
      <c r="C11" s="32"/>
      <c r="D11" s="32"/>
      <c r="E11" s="24"/>
      <c r="F11" s="25">
        <f t="shared" si="0"/>
        <v>0</v>
      </c>
      <c r="G11" s="25">
        <f t="shared" si="1"/>
        <v>0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>
        <v>1</v>
      </c>
      <c r="O11" s="32"/>
      <c r="P11" s="32"/>
      <c r="Q11" s="24"/>
      <c r="R11" s="25">
        <f t="shared" si="4"/>
        <v>0</v>
      </c>
      <c r="S11" s="25">
        <f t="shared" si="5"/>
        <v>0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>
        <v>1</v>
      </c>
      <c r="AA11" s="32"/>
      <c r="AB11" s="32"/>
      <c r="AC11" s="24"/>
      <c r="AD11" s="25">
        <f t="shared" si="8"/>
        <v>0</v>
      </c>
      <c r="AE11" s="25">
        <f t="shared" si="9"/>
        <v>0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>
        <v>1</v>
      </c>
      <c r="C12" s="32"/>
      <c r="D12" s="32"/>
      <c r="E12" s="24"/>
      <c r="F12" s="25">
        <f t="shared" si="0"/>
        <v>0</v>
      </c>
      <c r="G12" s="25">
        <f t="shared" si="1"/>
        <v>0</v>
      </c>
      <c r="H12" s="25">
        <f t="shared" si="2"/>
        <v>0</v>
      </c>
      <c r="I12" s="25">
        <f t="shared" si="3"/>
        <v>0</v>
      </c>
      <c r="J12" s="105">
        <f>I11+I13+I18+I24+I28</f>
        <v>2</v>
      </c>
      <c r="K12" s="108">
        <f>J12</f>
        <v>2</v>
      </c>
      <c r="M12" s="25">
        <v>6</v>
      </c>
      <c r="N12" s="32">
        <v>1</v>
      </c>
      <c r="O12" s="32"/>
      <c r="P12" s="32"/>
      <c r="Q12" s="24"/>
      <c r="R12" s="25">
        <f t="shared" si="4"/>
        <v>0</v>
      </c>
      <c r="S12" s="25">
        <f t="shared" si="5"/>
        <v>0</v>
      </c>
      <c r="T12" s="25">
        <f t="shared" si="6"/>
        <v>0</v>
      </c>
      <c r="U12" s="25">
        <f t="shared" si="7"/>
        <v>0</v>
      </c>
      <c r="V12" s="105">
        <f>U11+U13+U18+U24+U28</f>
        <v>2</v>
      </c>
      <c r="W12" s="108">
        <f>V12</f>
        <v>2</v>
      </c>
      <c r="Y12" s="25">
        <v>6</v>
      </c>
      <c r="Z12" s="32">
        <v>1</v>
      </c>
      <c r="AA12" s="32"/>
      <c r="AB12" s="32"/>
      <c r="AC12" s="24"/>
      <c r="AD12" s="25">
        <f t="shared" si="8"/>
        <v>0</v>
      </c>
      <c r="AE12" s="25">
        <f t="shared" si="9"/>
        <v>0</v>
      </c>
      <c r="AF12" s="25">
        <f t="shared" si="10"/>
        <v>0</v>
      </c>
      <c r="AG12" s="25">
        <f t="shared" si="11"/>
        <v>0</v>
      </c>
      <c r="AH12" s="105">
        <f>AG11+AG13+AG18+AG24+AG28</f>
        <v>2</v>
      </c>
      <c r="AI12" s="108">
        <f>AH12</f>
        <v>2</v>
      </c>
    </row>
    <row r="13" spans="1:35" ht="21" customHeight="1">
      <c r="A13" s="25">
        <v>7</v>
      </c>
      <c r="B13" s="32"/>
      <c r="C13" s="32">
        <v>1</v>
      </c>
      <c r="D13" s="32"/>
      <c r="E13" s="24"/>
      <c r="F13" s="25">
        <f>B13*2</f>
        <v>0</v>
      </c>
      <c r="G13" s="25">
        <f t="shared" si="1"/>
        <v>1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>
        <v>1</v>
      </c>
      <c r="P13" s="32"/>
      <c r="Q13" s="24"/>
      <c r="R13" s="25">
        <f>N13*2</f>
        <v>0</v>
      </c>
      <c r="S13" s="25">
        <f t="shared" si="5"/>
        <v>1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/>
      <c r="AA13" s="32">
        <v>1</v>
      </c>
      <c r="AB13" s="32"/>
      <c r="AC13" s="24"/>
      <c r="AD13" s="25">
        <f>Z13*2</f>
        <v>0</v>
      </c>
      <c r="AE13" s="25">
        <f t="shared" si="9"/>
        <v>1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>
        <v>1</v>
      </c>
      <c r="C14" s="32"/>
      <c r="D14" s="32"/>
      <c r="E14" s="24"/>
      <c r="F14" s="25">
        <f t="shared" ref="F14:F19" si="12">B14*0</f>
        <v>0</v>
      </c>
      <c r="G14" s="25">
        <f t="shared" si="1"/>
        <v>0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>
        <v>1</v>
      </c>
      <c r="O14" s="32"/>
      <c r="P14" s="32"/>
      <c r="Q14" s="24"/>
      <c r="R14" s="25">
        <f t="shared" ref="R14:R19" si="14">N14*0</f>
        <v>0</v>
      </c>
      <c r="S14" s="25">
        <f t="shared" si="5"/>
        <v>0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>
        <v>1</v>
      </c>
      <c r="AA14" s="32"/>
      <c r="AB14" s="32"/>
      <c r="AC14" s="24"/>
      <c r="AD14" s="25">
        <f t="shared" ref="AD14:AD19" si="16">Z14*0</f>
        <v>0</v>
      </c>
      <c r="AE14" s="25">
        <f t="shared" si="9"/>
        <v>0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>
        <v>1</v>
      </c>
      <c r="D15" s="32"/>
      <c r="E15" s="24"/>
      <c r="F15" s="25">
        <f t="shared" si="12"/>
        <v>0</v>
      </c>
      <c r="G15" s="25">
        <f t="shared" si="1"/>
        <v>1</v>
      </c>
      <c r="H15" s="25">
        <f t="shared" si="13"/>
        <v>0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>
        <v>1</v>
      </c>
      <c r="P15" s="32"/>
      <c r="Q15" s="24"/>
      <c r="R15" s="25">
        <f t="shared" si="14"/>
        <v>0</v>
      </c>
      <c r="S15" s="25">
        <f t="shared" si="5"/>
        <v>1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/>
      <c r="AA15" s="32">
        <v>1</v>
      </c>
      <c r="AB15" s="32"/>
      <c r="AC15" s="24"/>
      <c r="AD15" s="25">
        <f t="shared" si="16"/>
        <v>0</v>
      </c>
      <c r="AE15" s="25">
        <f t="shared" si="9"/>
        <v>1</v>
      </c>
      <c r="AF15" s="25">
        <f t="shared" si="17"/>
        <v>0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>
        <v>1</v>
      </c>
      <c r="C16" s="32"/>
      <c r="D16" s="32"/>
      <c r="E16" s="24"/>
      <c r="F16" s="25">
        <f t="shared" si="12"/>
        <v>0</v>
      </c>
      <c r="G16" s="25">
        <f t="shared" si="1"/>
        <v>0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>
        <v>1</v>
      </c>
      <c r="O16" s="32"/>
      <c r="P16" s="32"/>
      <c r="Q16" s="24"/>
      <c r="R16" s="25">
        <f t="shared" si="14"/>
        <v>0</v>
      </c>
      <c r="S16" s="25">
        <f t="shared" si="5"/>
        <v>0</v>
      </c>
      <c r="T16" s="25">
        <f t="shared" si="15"/>
        <v>0</v>
      </c>
      <c r="U16" s="25">
        <f t="shared" si="7"/>
        <v>0</v>
      </c>
      <c r="V16" s="24"/>
      <c r="W16" s="107" t="s">
        <v>99</v>
      </c>
      <c r="Y16" s="25">
        <v>10</v>
      </c>
      <c r="Z16" s="32">
        <v>1</v>
      </c>
      <c r="AA16" s="32"/>
      <c r="AB16" s="32"/>
      <c r="AC16" s="24"/>
      <c r="AD16" s="25">
        <f t="shared" si="16"/>
        <v>0</v>
      </c>
      <c r="AE16" s="25">
        <f t="shared" si="9"/>
        <v>0</v>
      </c>
      <c r="AF16" s="25">
        <f t="shared" si="17"/>
        <v>0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/>
      <c r="D17" s="32">
        <v>1</v>
      </c>
      <c r="E17" s="24"/>
      <c r="F17" s="25">
        <f t="shared" si="12"/>
        <v>0</v>
      </c>
      <c r="G17" s="25">
        <f t="shared" si="1"/>
        <v>0</v>
      </c>
      <c r="H17" s="25">
        <f t="shared" si="13"/>
        <v>2</v>
      </c>
      <c r="I17" s="25">
        <f t="shared" si="3"/>
        <v>0</v>
      </c>
      <c r="J17" s="105">
        <f>I8+I16+I21+I27+I31</f>
        <v>2</v>
      </c>
      <c r="K17" s="108">
        <f>J17</f>
        <v>2</v>
      </c>
      <c r="M17" s="25">
        <v>11</v>
      </c>
      <c r="N17" s="32"/>
      <c r="O17" s="32"/>
      <c r="P17" s="32">
        <v>1</v>
      </c>
      <c r="Q17" s="24"/>
      <c r="R17" s="25">
        <f t="shared" si="14"/>
        <v>0</v>
      </c>
      <c r="S17" s="25">
        <f t="shared" si="5"/>
        <v>0</v>
      </c>
      <c r="T17" s="25">
        <f t="shared" si="15"/>
        <v>2</v>
      </c>
      <c r="U17" s="25">
        <f t="shared" si="7"/>
        <v>0</v>
      </c>
      <c r="V17" s="105">
        <f>U8+U16+U21+U27+U31</f>
        <v>2</v>
      </c>
      <c r="W17" s="108">
        <f>V17</f>
        <v>2</v>
      </c>
      <c r="Y17" s="25">
        <v>11</v>
      </c>
      <c r="Z17" s="32"/>
      <c r="AA17" s="32">
        <v>1</v>
      </c>
      <c r="AB17" s="32"/>
      <c r="AC17" s="24"/>
      <c r="AD17" s="25">
        <f t="shared" si="16"/>
        <v>0</v>
      </c>
      <c r="AE17" s="25">
        <f t="shared" si="9"/>
        <v>1</v>
      </c>
      <c r="AF17" s="25">
        <f t="shared" si="17"/>
        <v>0</v>
      </c>
      <c r="AG17" s="25">
        <f t="shared" si="11"/>
        <v>0</v>
      </c>
      <c r="AH17" s="105">
        <f>AG8+AG16+AG21+AG27+AG31</f>
        <v>2</v>
      </c>
      <c r="AI17" s="108">
        <f>AH17</f>
        <v>2</v>
      </c>
    </row>
    <row r="18" spans="1:35" ht="21" customHeight="1">
      <c r="A18" s="25">
        <v>12</v>
      </c>
      <c r="B18" s="32">
        <v>1</v>
      </c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>
        <v>1</v>
      </c>
      <c r="O18" s="32"/>
      <c r="P18" s="32"/>
      <c r="Q18" s="24"/>
      <c r="R18" s="25">
        <f t="shared" si="14"/>
        <v>0</v>
      </c>
      <c r="S18" s="25">
        <f t="shared" si="5"/>
        <v>0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>
        <v>1</v>
      </c>
      <c r="AA18" s="32"/>
      <c r="AB18" s="32"/>
      <c r="AC18" s="24"/>
      <c r="AD18" s="25">
        <f t="shared" si="16"/>
        <v>0</v>
      </c>
      <c r="AE18" s="25">
        <f t="shared" si="9"/>
        <v>0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>
        <v>1</v>
      </c>
      <c r="C19" s="32"/>
      <c r="D19" s="32"/>
      <c r="E19" s="24"/>
      <c r="F19" s="25">
        <f t="shared" si="12"/>
        <v>0</v>
      </c>
      <c r="G19" s="25">
        <f t="shared" si="1"/>
        <v>0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>
        <v>1</v>
      </c>
      <c r="O19" s="32"/>
      <c r="P19" s="32"/>
      <c r="Q19" s="24"/>
      <c r="R19" s="25">
        <f t="shared" si="14"/>
        <v>0</v>
      </c>
      <c r="S19" s="25">
        <f t="shared" si="5"/>
        <v>0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>
        <v>1</v>
      </c>
      <c r="AA19" s="32"/>
      <c r="AB19" s="32"/>
      <c r="AC19" s="24"/>
      <c r="AD19" s="25">
        <f t="shared" si="16"/>
        <v>0</v>
      </c>
      <c r="AE19" s="25">
        <f t="shared" si="9"/>
        <v>0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/>
      <c r="C20" s="32">
        <v>1</v>
      </c>
      <c r="D20" s="32"/>
      <c r="E20" s="24"/>
      <c r="F20" s="25">
        <f>B20*2</f>
        <v>0</v>
      </c>
      <c r="G20" s="25">
        <f t="shared" si="1"/>
        <v>1</v>
      </c>
      <c r="H20" s="25">
        <f>D20*0</f>
        <v>0</v>
      </c>
      <c r="I20" s="25">
        <f t="shared" si="3"/>
        <v>0</v>
      </c>
      <c r="J20" s="24"/>
      <c r="K20" s="107" t="s">
        <v>100</v>
      </c>
      <c r="M20" s="25">
        <v>14</v>
      </c>
      <c r="N20" s="32"/>
      <c r="O20" s="32">
        <v>1</v>
      </c>
      <c r="P20" s="32"/>
      <c r="Q20" s="24"/>
      <c r="R20" s="25">
        <f>N20*2</f>
        <v>0</v>
      </c>
      <c r="S20" s="25">
        <f t="shared" si="5"/>
        <v>1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/>
      <c r="AA20" s="32">
        <v>1</v>
      </c>
      <c r="AB20" s="32"/>
      <c r="AC20" s="24"/>
      <c r="AD20" s="25">
        <f>Z20*2</f>
        <v>0</v>
      </c>
      <c r="AE20" s="25">
        <f t="shared" si="9"/>
        <v>1</v>
      </c>
      <c r="AF20" s="25">
        <f>AB20*0</f>
        <v>0</v>
      </c>
      <c r="AG20" s="25">
        <f t="shared" si="11"/>
        <v>0</v>
      </c>
      <c r="AH20" s="24"/>
      <c r="AI20" s="107" t="s">
        <v>100</v>
      </c>
    </row>
    <row r="21" spans="1:35" ht="21" customHeight="1">
      <c r="A21" s="25">
        <v>15</v>
      </c>
      <c r="B21" s="32">
        <v>1</v>
      </c>
      <c r="C21" s="32"/>
      <c r="D21" s="32"/>
      <c r="E21" s="24"/>
      <c r="F21" s="25">
        <f>B21*2</f>
        <v>2</v>
      </c>
      <c r="G21" s="25">
        <f t="shared" si="1"/>
        <v>0</v>
      </c>
      <c r="H21" s="25">
        <f>D21*0</f>
        <v>0</v>
      </c>
      <c r="I21" s="25">
        <f t="shared" si="3"/>
        <v>2</v>
      </c>
      <c r="J21" s="24"/>
      <c r="K21" s="107" t="s">
        <v>101</v>
      </c>
      <c r="M21" s="25">
        <v>15</v>
      </c>
      <c r="N21" s="32">
        <v>1</v>
      </c>
      <c r="O21" s="32"/>
      <c r="P21" s="32"/>
      <c r="Q21" s="24"/>
      <c r="R21" s="25">
        <f>N21*2</f>
        <v>2</v>
      </c>
      <c r="S21" s="25">
        <f t="shared" si="5"/>
        <v>0</v>
      </c>
      <c r="T21" s="25">
        <f>P21*0</f>
        <v>0</v>
      </c>
      <c r="U21" s="25">
        <f t="shared" si="7"/>
        <v>2</v>
      </c>
      <c r="V21" s="24"/>
      <c r="W21" s="107" t="s">
        <v>101</v>
      </c>
      <c r="Y21" s="25">
        <v>15</v>
      </c>
      <c r="Z21" s="32">
        <v>1</v>
      </c>
      <c r="AA21" s="32"/>
      <c r="AB21" s="32"/>
      <c r="AC21" s="24"/>
      <c r="AD21" s="25">
        <f>Z21*2</f>
        <v>2</v>
      </c>
      <c r="AE21" s="25">
        <f t="shared" si="9"/>
        <v>0</v>
      </c>
      <c r="AF21" s="25">
        <f>AB21*0</f>
        <v>0</v>
      </c>
      <c r="AG21" s="25">
        <f t="shared" si="11"/>
        <v>2</v>
      </c>
      <c r="AH21" s="24"/>
      <c r="AI21" s="107" t="s">
        <v>101</v>
      </c>
    </row>
    <row r="22" spans="1:35" ht="21" customHeight="1">
      <c r="A22" s="25">
        <v>16</v>
      </c>
      <c r="B22" s="32"/>
      <c r="C22" s="32"/>
      <c r="D22" s="32">
        <v>1</v>
      </c>
      <c r="E22" s="24"/>
      <c r="F22" s="25">
        <f>B22*0</f>
        <v>0</v>
      </c>
      <c r="G22" s="25">
        <f t="shared" si="1"/>
        <v>0</v>
      </c>
      <c r="H22" s="25">
        <f>D22*2</f>
        <v>2</v>
      </c>
      <c r="I22" s="25">
        <f t="shared" si="3"/>
        <v>0</v>
      </c>
      <c r="J22" s="105">
        <f>I12+I17+I20+I25+I29</f>
        <v>0</v>
      </c>
      <c r="K22" s="108">
        <f>J22</f>
        <v>0</v>
      </c>
      <c r="M22" s="25">
        <v>16</v>
      </c>
      <c r="N22" s="32"/>
      <c r="O22" s="32">
        <v>1</v>
      </c>
      <c r="P22" s="32"/>
      <c r="Q22" s="24"/>
      <c r="R22" s="25">
        <f>N22*0</f>
        <v>0</v>
      </c>
      <c r="S22" s="25">
        <f t="shared" si="5"/>
        <v>1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/>
      <c r="AA22" s="32">
        <v>1</v>
      </c>
      <c r="AB22" s="32"/>
      <c r="AC22" s="24"/>
      <c r="AD22" s="25">
        <f>Z22*0</f>
        <v>0</v>
      </c>
      <c r="AE22" s="25">
        <f t="shared" si="9"/>
        <v>1</v>
      </c>
      <c r="AF22" s="25">
        <f>AB22*2</f>
        <v>0</v>
      </c>
      <c r="AG22" s="25">
        <f t="shared" si="11"/>
        <v>0</v>
      </c>
      <c r="AH22" s="105">
        <f>AG12+AG17+AG20+AG25+AG29</f>
        <v>0</v>
      </c>
      <c r="AI22" s="108">
        <f>AH22</f>
        <v>0</v>
      </c>
    </row>
    <row r="23" spans="1:35" ht="21" customHeight="1">
      <c r="A23" s="25">
        <v>17</v>
      </c>
      <c r="B23" s="32"/>
      <c r="C23" s="32"/>
      <c r="D23" s="32">
        <v>1</v>
      </c>
      <c r="E23" s="24"/>
      <c r="F23" s="25">
        <f>B23*2</f>
        <v>0</v>
      </c>
      <c r="G23" s="25">
        <f t="shared" si="1"/>
        <v>0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/>
      <c r="O23" s="32">
        <v>1</v>
      </c>
      <c r="P23" s="32"/>
      <c r="Q23" s="24"/>
      <c r="R23" s="25">
        <f>N23*2</f>
        <v>0</v>
      </c>
      <c r="S23" s="25">
        <f t="shared" si="5"/>
        <v>1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/>
      <c r="AA23" s="32"/>
      <c r="AB23" s="32">
        <v>1</v>
      </c>
      <c r="AC23" s="24"/>
      <c r="AD23" s="25">
        <f>Z23*2</f>
        <v>0</v>
      </c>
      <c r="AE23" s="25">
        <f t="shared" si="9"/>
        <v>0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>
        <v>1</v>
      </c>
      <c r="C24" s="32"/>
      <c r="D24" s="32"/>
      <c r="E24" s="24"/>
      <c r="F24" s="25">
        <f>B24*2</f>
        <v>2</v>
      </c>
      <c r="G24" s="25">
        <f t="shared" si="1"/>
        <v>0</v>
      </c>
      <c r="H24" s="25">
        <f>D24*0</f>
        <v>0</v>
      </c>
      <c r="I24" s="25">
        <f t="shared" si="3"/>
        <v>2</v>
      </c>
      <c r="J24" s="24"/>
      <c r="K24" s="25"/>
      <c r="M24" s="25">
        <v>18</v>
      </c>
      <c r="N24" s="32">
        <v>1</v>
      </c>
      <c r="O24" s="32"/>
      <c r="P24" s="32"/>
      <c r="Q24" s="24"/>
      <c r="R24" s="25">
        <f>N24*2</f>
        <v>2</v>
      </c>
      <c r="S24" s="25">
        <f t="shared" si="5"/>
        <v>0</v>
      </c>
      <c r="T24" s="25">
        <f>P24*0</f>
        <v>0</v>
      </c>
      <c r="U24" s="25">
        <f t="shared" si="7"/>
        <v>2</v>
      </c>
      <c r="V24" s="24"/>
      <c r="W24" s="25"/>
      <c r="Y24" s="25">
        <v>18</v>
      </c>
      <c r="Z24" s="32">
        <v>1</v>
      </c>
      <c r="AA24" s="32"/>
      <c r="AB24" s="32"/>
      <c r="AC24" s="24"/>
      <c r="AD24" s="25">
        <f>Z24*2</f>
        <v>2</v>
      </c>
      <c r="AE24" s="25">
        <f t="shared" si="9"/>
        <v>0</v>
      </c>
      <c r="AF24" s="25">
        <f>AB24*0</f>
        <v>0</v>
      </c>
      <c r="AG24" s="25">
        <f t="shared" si="11"/>
        <v>2</v>
      </c>
      <c r="AH24" s="24"/>
      <c r="AI24" s="25"/>
    </row>
    <row r="25" spans="1:35" ht="21" customHeight="1">
      <c r="A25" s="25">
        <v>19</v>
      </c>
      <c r="B25" s="32">
        <v>1</v>
      </c>
      <c r="C25" s="32"/>
      <c r="D25" s="32"/>
      <c r="E25" s="24"/>
      <c r="F25" s="25">
        <f t="shared" ref="F25:F31" si="18">B25*0</f>
        <v>0</v>
      </c>
      <c r="G25" s="25">
        <f t="shared" si="1"/>
        <v>0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>
        <v>1</v>
      </c>
      <c r="O25" s="32"/>
      <c r="P25" s="32"/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>
        <v>1</v>
      </c>
      <c r="AA25" s="32"/>
      <c r="AB25" s="32"/>
      <c r="AC25" s="24"/>
      <c r="AD25" s="25">
        <f t="shared" ref="AD25:AD31" si="22">Z25*0</f>
        <v>0</v>
      </c>
      <c r="AE25" s="25">
        <f t="shared" si="9"/>
        <v>0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>
        <v>1</v>
      </c>
      <c r="D26" s="32"/>
      <c r="E26" s="24"/>
      <c r="F26" s="25">
        <f t="shared" si="18"/>
        <v>0</v>
      </c>
      <c r="G26" s="25">
        <f t="shared" si="1"/>
        <v>1</v>
      </c>
      <c r="H26" s="25">
        <f t="shared" si="19"/>
        <v>0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>
        <v>1</v>
      </c>
      <c r="P26" s="32"/>
      <c r="Q26" s="24"/>
      <c r="R26" s="25">
        <f t="shared" si="20"/>
        <v>0</v>
      </c>
      <c r="S26" s="25">
        <f t="shared" si="5"/>
        <v>1</v>
      </c>
      <c r="T26" s="25">
        <f t="shared" si="21"/>
        <v>0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>
        <v>1</v>
      </c>
      <c r="AB26" s="32"/>
      <c r="AC26" s="24"/>
      <c r="AD26" s="25">
        <f t="shared" si="22"/>
        <v>0</v>
      </c>
      <c r="AE26" s="25">
        <f t="shared" si="9"/>
        <v>1</v>
      </c>
      <c r="AF26" s="25">
        <f t="shared" si="23"/>
        <v>0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>
        <v>1</v>
      </c>
      <c r="D27" s="32"/>
      <c r="E27" s="24"/>
      <c r="F27" s="25">
        <f t="shared" si="18"/>
        <v>0</v>
      </c>
      <c r="G27" s="25">
        <f t="shared" si="1"/>
        <v>1</v>
      </c>
      <c r="H27" s="25">
        <f t="shared" si="19"/>
        <v>0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/>
      <c r="O27" s="32">
        <v>1</v>
      </c>
      <c r="P27" s="32"/>
      <c r="Q27" s="24"/>
      <c r="R27" s="25">
        <f t="shared" si="20"/>
        <v>0</v>
      </c>
      <c r="S27" s="25">
        <f t="shared" si="5"/>
        <v>1</v>
      </c>
      <c r="T27" s="25">
        <f t="shared" si="21"/>
        <v>0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/>
      <c r="AA27" s="32">
        <v>1</v>
      </c>
      <c r="AB27" s="32"/>
      <c r="AC27" s="24"/>
      <c r="AD27" s="25">
        <f t="shared" si="22"/>
        <v>0</v>
      </c>
      <c r="AE27" s="25">
        <f t="shared" si="9"/>
        <v>1</v>
      </c>
      <c r="AF27" s="25">
        <f t="shared" si="23"/>
        <v>0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>
        <v>1</v>
      </c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>
        <v>1</v>
      </c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>
        <v>1</v>
      </c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>
        <v>1</v>
      </c>
      <c r="C29" s="32"/>
      <c r="D29" s="32"/>
      <c r="E29" s="24"/>
      <c r="F29" s="25">
        <f t="shared" si="18"/>
        <v>0</v>
      </c>
      <c r="G29" s="25">
        <f t="shared" si="1"/>
        <v>0</v>
      </c>
      <c r="H29" s="25">
        <f t="shared" si="19"/>
        <v>0</v>
      </c>
      <c r="I29" s="25">
        <f t="shared" si="3"/>
        <v>0</v>
      </c>
      <c r="J29" s="24"/>
      <c r="K29" s="107" t="s">
        <v>104</v>
      </c>
      <c r="M29" s="25">
        <v>23</v>
      </c>
      <c r="N29" s="32">
        <v>1</v>
      </c>
      <c r="O29" s="32"/>
      <c r="P29" s="32"/>
      <c r="Q29" s="24"/>
      <c r="R29" s="25">
        <f t="shared" si="20"/>
        <v>0</v>
      </c>
      <c r="S29" s="25">
        <f t="shared" si="5"/>
        <v>0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/>
      <c r="AA29" s="32">
        <v>1</v>
      </c>
      <c r="AB29" s="32"/>
      <c r="AC29" s="24"/>
      <c r="AD29" s="25">
        <f t="shared" si="22"/>
        <v>0</v>
      </c>
      <c r="AE29" s="25">
        <f t="shared" si="9"/>
        <v>1</v>
      </c>
      <c r="AF29" s="25">
        <f t="shared" si="23"/>
        <v>0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>
        <v>1</v>
      </c>
      <c r="C30" s="32"/>
      <c r="D30" s="32"/>
      <c r="E30" s="24"/>
      <c r="F30" s="25">
        <f t="shared" si="18"/>
        <v>0</v>
      </c>
      <c r="G30" s="25">
        <f t="shared" si="1"/>
        <v>0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>
        <v>1</v>
      </c>
      <c r="O30" s="32"/>
      <c r="P30" s="32"/>
      <c r="Q30" s="24"/>
      <c r="R30" s="25">
        <f t="shared" si="20"/>
        <v>0</v>
      </c>
      <c r="S30" s="25">
        <f t="shared" si="5"/>
        <v>0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>
        <v>1</v>
      </c>
      <c r="AA30" s="32"/>
      <c r="AB30" s="32"/>
      <c r="AC30" s="24"/>
      <c r="AD30" s="25">
        <f t="shared" si="22"/>
        <v>0</v>
      </c>
      <c r="AE30" s="25">
        <f t="shared" si="9"/>
        <v>0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>
        <v>1</v>
      </c>
      <c r="D31" s="32"/>
      <c r="E31" s="24"/>
      <c r="F31" s="25">
        <f t="shared" si="18"/>
        <v>0</v>
      </c>
      <c r="G31" s="25">
        <f t="shared" si="1"/>
        <v>1</v>
      </c>
      <c r="H31" s="25">
        <f t="shared" si="19"/>
        <v>0</v>
      </c>
      <c r="I31" s="25">
        <f t="shared" si="3"/>
        <v>0</v>
      </c>
      <c r="J31" s="24"/>
      <c r="K31" s="108">
        <f>K7+K12+K17+K22</f>
        <v>4</v>
      </c>
      <c r="M31" s="25">
        <v>25</v>
      </c>
      <c r="N31" s="32"/>
      <c r="O31" s="32">
        <v>1</v>
      </c>
      <c r="P31" s="32"/>
      <c r="Q31" s="24"/>
      <c r="R31" s="25">
        <f t="shared" si="20"/>
        <v>0</v>
      </c>
      <c r="S31" s="25">
        <f t="shared" si="5"/>
        <v>1</v>
      </c>
      <c r="T31" s="25">
        <f t="shared" si="21"/>
        <v>0</v>
      </c>
      <c r="U31" s="25">
        <f t="shared" si="7"/>
        <v>0</v>
      </c>
      <c r="V31" s="24"/>
      <c r="W31" s="108">
        <f>W7+W12+W17+W22</f>
        <v>4</v>
      </c>
      <c r="Y31" s="25">
        <v>25</v>
      </c>
      <c r="Z31" s="32"/>
      <c r="AA31" s="32">
        <v>1</v>
      </c>
      <c r="AB31" s="32"/>
      <c r="AC31" s="24"/>
      <c r="AD31" s="25">
        <f t="shared" si="22"/>
        <v>0</v>
      </c>
      <c r="AE31" s="25">
        <f t="shared" si="9"/>
        <v>1</v>
      </c>
      <c r="AF31" s="25">
        <f t="shared" si="23"/>
        <v>0</v>
      </c>
      <c r="AG31" s="25">
        <f t="shared" si="11"/>
        <v>0</v>
      </c>
      <c r="AH31" s="24"/>
      <c r="AI31" s="108">
        <f>AI7+AI12+AI17+AI22</f>
        <v>4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7"/>
  </sheetPr>
  <dimension ref="A1:AI41"/>
  <sheetViews>
    <sheetView topLeftCell="Q23" zoomScale="150" workbookViewId="0">
      <selection activeCell="AA31" sqref="AA31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 t="str">
        <f>รายชื่อ!B26</f>
        <v>เด็กหญิง</v>
      </c>
      <c r="C3" s="110" t="str">
        <f>รายชื่อ!C26</f>
        <v>วาทการณ์</v>
      </c>
      <c r="D3" s="110" t="str">
        <f>รายชื่อ!D26</f>
        <v>อินดวง</v>
      </c>
      <c r="E3" s="60"/>
      <c r="F3" s="103"/>
      <c r="G3" s="165"/>
      <c r="H3" s="165"/>
      <c r="I3" s="165"/>
      <c r="J3" s="25"/>
      <c r="K3" s="106" t="s">
        <v>52</v>
      </c>
      <c r="M3" s="25" t="s">
        <v>85</v>
      </c>
      <c r="N3" s="110" t="str">
        <f>รายชื่อ!B26</f>
        <v>เด็กหญิง</v>
      </c>
      <c r="O3" s="110" t="str">
        <f>รายชื่อ!C26</f>
        <v>วาทการณ์</v>
      </c>
      <c r="P3" s="110" t="str">
        <f>รายชื่อ!D26</f>
        <v>อินดวง</v>
      </c>
      <c r="Q3" s="60"/>
      <c r="R3" s="103"/>
      <c r="S3" s="165"/>
      <c r="T3" s="165"/>
      <c r="U3" s="165"/>
      <c r="V3" s="25"/>
      <c r="W3" s="106" t="s">
        <v>52</v>
      </c>
      <c r="Y3" s="25" t="s">
        <v>85</v>
      </c>
      <c r="Z3" s="110" t="str">
        <f>รายชื่อ!B26</f>
        <v>เด็กหญิง</v>
      </c>
      <c r="AA3" s="110" t="str">
        <f>รายชื่อ!C26</f>
        <v>วาทการณ์</v>
      </c>
      <c r="AB3" s="110" t="str">
        <f>รายชื่อ!D26</f>
        <v>อินดวง</v>
      </c>
      <c r="AC3" s="60"/>
      <c r="AD3" s="103"/>
      <c r="AE3" s="165"/>
      <c r="AF3" s="165"/>
      <c r="AG3" s="165"/>
      <c r="AH3" s="25"/>
      <c r="AI3" s="106" t="s">
        <v>52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/>
      <c r="C7" s="32">
        <v>1</v>
      </c>
      <c r="D7" s="32"/>
      <c r="E7" s="24"/>
      <c r="F7" s="25">
        <f t="shared" ref="F7:F12" si="0">B7*0</f>
        <v>0</v>
      </c>
      <c r="G7" s="25">
        <f t="shared" ref="G7:G31" si="1">C7*1</f>
        <v>1</v>
      </c>
      <c r="H7" s="25">
        <f t="shared" ref="H7:H12" si="2">D7*2</f>
        <v>0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/>
      <c r="O7" s="32">
        <v>1</v>
      </c>
      <c r="P7" s="32"/>
      <c r="Q7" s="24"/>
      <c r="R7" s="25">
        <f t="shared" ref="R7:R12" si="4">N7*0</f>
        <v>0</v>
      </c>
      <c r="S7" s="25">
        <f t="shared" ref="S7:S31" si="5">O7*1</f>
        <v>1</v>
      </c>
      <c r="T7" s="25">
        <f t="shared" ref="T7:T12" si="6">P7*2</f>
        <v>0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/>
      <c r="AB7" s="32">
        <v>1</v>
      </c>
      <c r="AC7" s="24"/>
      <c r="AD7" s="25">
        <f t="shared" ref="AD7:AD12" si="8">Z7*0</f>
        <v>0</v>
      </c>
      <c r="AE7" s="25">
        <f t="shared" ref="AE7:AE31" si="9">AA7*1</f>
        <v>0</v>
      </c>
      <c r="AF7" s="25">
        <f t="shared" ref="AF7:AF12" si="10">AB7*2</f>
        <v>2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>
        <v>1</v>
      </c>
      <c r="C8" s="32"/>
      <c r="D8" s="32"/>
      <c r="E8" s="24"/>
      <c r="F8" s="25">
        <f t="shared" si="0"/>
        <v>0</v>
      </c>
      <c r="G8" s="25">
        <f t="shared" si="1"/>
        <v>0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>
        <v>1</v>
      </c>
      <c r="O8" s="32"/>
      <c r="P8" s="32"/>
      <c r="Q8" s="24"/>
      <c r="R8" s="25">
        <f t="shared" si="4"/>
        <v>0</v>
      </c>
      <c r="S8" s="25">
        <f t="shared" si="5"/>
        <v>0</v>
      </c>
      <c r="T8" s="25">
        <f t="shared" si="6"/>
        <v>0</v>
      </c>
      <c r="U8" s="25">
        <f t="shared" si="7"/>
        <v>0</v>
      </c>
      <c r="V8" s="24"/>
      <c r="W8" s="25"/>
      <c r="Y8" s="25">
        <v>2</v>
      </c>
      <c r="Z8" s="32">
        <v>1</v>
      </c>
      <c r="AA8" s="32"/>
      <c r="AB8" s="32"/>
      <c r="AC8" s="24"/>
      <c r="AD8" s="25">
        <f t="shared" si="8"/>
        <v>0</v>
      </c>
      <c r="AE8" s="25">
        <f t="shared" si="9"/>
        <v>0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/>
      <c r="C9" s="32">
        <v>1</v>
      </c>
      <c r="D9" s="32"/>
      <c r="E9" s="24"/>
      <c r="F9" s="25">
        <f t="shared" si="0"/>
        <v>0</v>
      </c>
      <c r="G9" s="25">
        <f t="shared" si="1"/>
        <v>1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/>
      <c r="O9" s="32">
        <v>1</v>
      </c>
      <c r="P9" s="32"/>
      <c r="Q9" s="24"/>
      <c r="R9" s="25">
        <f t="shared" si="4"/>
        <v>0</v>
      </c>
      <c r="S9" s="25">
        <f t="shared" si="5"/>
        <v>1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/>
      <c r="AA9" s="32">
        <v>1</v>
      </c>
      <c r="AB9" s="32"/>
      <c r="AC9" s="24"/>
      <c r="AD9" s="25">
        <f t="shared" si="8"/>
        <v>0</v>
      </c>
      <c r="AE9" s="25">
        <f t="shared" si="9"/>
        <v>1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>
        <v>1</v>
      </c>
      <c r="D10" s="32"/>
      <c r="E10" s="24"/>
      <c r="F10" s="25">
        <f t="shared" si="0"/>
        <v>0</v>
      </c>
      <c r="G10" s="25">
        <f t="shared" si="1"/>
        <v>1</v>
      </c>
      <c r="H10" s="25">
        <f t="shared" si="2"/>
        <v>0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>
        <v>1</v>
      </c>
      <c r="P10" s="32"/>
      <c r="Q10" s="24"/>
      <c r="R10" s="25">
        <f t="shared" si="4"/>
        <v>0</v>
      </c>
      <c r="S10" s="25">
        <f t="shared" si="5"/>
        <v>1</v>
      </c>
      <c r="T10" s="25">
        <f t="shared" si="6"/>
        <v>0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/>
      <c r="AB10" s="32">
        <v>1</v>
      </c>
      <c r="AC10" s="24"/>
      <c r="AD10" s="25">
        <f t="shared" si="8"/>
        <v>0</v>
      </c>
      <c r="AE10" s="25">
        <f t="shared" si="9"/>
        <v>0</v>
      </c>
      <c r="AF10" s="25">
        <f t="shared" si="10"/>
        <v>2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>
        <v>1</v>
      </c>
      <c r="C11" s="32"/>
      <c r="D11" s="32"/>
      <c r="E11" s="24"/>
      <c r="F11" s="25">
        <f t="shared" si="0"/>
        <v>0</v>
      </c>
      <c r="G11" s="25">
        <f t="shared" si="1"/>
        <v>0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>
        <v>1</v>
      </c>
      <c r="O11" s="32"/>
      <c r="P11" s="32"/>
      <c r="Q11" s="24"/>
      <c r="R11" s="25">
        <f t="shared" si="4"/>
        <v>0</v>
      </c>
      <c r="S11" s="25">
        <f t="shared" si="5"/>
        <v>0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>
        <v>1</v>
      </c>
      <c r="AA11" s="32"/>
      <c r="AB11" s="32"/>
      <c r="AC11" s="24"/>
      <c r="AD11" s="25">
        <f t="shared" si="8"/>
        <v>0</v>
      </c>
      <c r="AE11" s="25">
        <f t="shared" si="9"/>
        <v>0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/>
      <c r="C12" s="32">
        <v>1</v>
      </c>
      <c r="D12" s="32"/>
      <c r="E12" s="24"/>
      <c r="F12" s="25">
        <f t="shared" si="0"/>
        <v>0</v>
      </c>
      <c r="G12" s="25">
        <f t="shared" si="1"/>
        <v>1</v>
      </c>
      <c r="H12" s="25">
        <f t="shared" si="2"/>
        <v>0</v>
      </c>
      <c r="I12" s="25">
        <f t="shared" si="3"/>
        <v>0</v>
      </c>
      <c r="J12" s="105">
        <f>I11+I13+I18+I24+I28</f>
        <v>2</v>
      </c>
      <c r="K12" s="108">
        <f>J12</f>
        <v>2</v>
      </c>
      <c r="M12" s="25">
        <v>6</v>
      </c>
      <c r="N12" s="32"/>
      <c r="O12" s="32">
        <v>1</v>
      </c>
      <c r="P12" s="32"/>
      <c r="Q12" s="24"/>
      <c r="R12" s="25">
        <f t="shared" si="4"/>
        <v>0</v>
      </c>
      <c r="S12" s="25">
        <f t="shared" si="5"/>
        <v>1</v>
      </c>
      <c r="T12" s="25">
        <f t="shared" si="6"/>
        <v>0</v>
      </c>
      <c r="U12" s="25">
        <f t="shared" si="7"/>
        <v>0</v>
      </c>
      <c r="V12" s="105">
        <f>U11+U13+U18+U24+U28</f>
        <v>2</v>
      </c>
      <c r="W12" s="108">
        <f>V12</f>
        <v>2</v>
      </c>
      <c r="Y12" s="25">
        <v>6</v>
      </c>
      <c r="Z12" s="32">
        <v>1</v>
      </c>
      <c r="AA12" s="32"/>
      <c r="AB12" s="32"/>
      <c r="AC12" s="24"/>
      <c r="AD12" s="25">
        <f t="shared" si="8"/>
        <v>0</v>
      </c>
      <c r="AE12" s="25">
        <f t="shared" si="9"/>
        <v>0</v>
      </c>
      <c r="AF12" s="25">
        <f t="shared" si="10"/>
        <v>0</v>
      </c>
      <c r="AG12" s="25">
        <f t="shared" si="11"/>
        <v>0</v>
      </c>
      <c r="AH12" s="105">
        <f>AG11+AG13+AG18+AG24+AG28</f>
        <v>2</v>
      </c>
      <c r="AI12" s="108">
        <f>AH12</f>
        <v>2</v>
      </c>
    </row>
    <row r="13" spans="1:35" ht="21" customHeight="1">
      <c r="A13" s="25">
        <v>7</v>
      </c>
      <c r="B13" s="32"/>
      <c r="C13" s="32">
        <v>1</v>
      </c>
      <c r="D13" s="32"/>
      <c r="E13" s="24"/>
      <c r="F13" s="25">
        <f>B13*2</f>
        <v>0</v>
      </c>
      <c r="G13" s="25">
        <f t="shared" si="1"/>
        <v>1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>
        <v>1</v>
      </c>
      <c r="P13" s="32"/>
      <c r="Q13" s="24"/>
      <c r="R13" s="25">
        <f>N13*2</f>
        <v>0</v>
      </c>
      <c r="S13" s="25">
        <f t="shared" si="5"/>
        <v>1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/>
      <c r="AA13" s="32">
        <v>1</v>
      </c>
      <c r="AB13" s="32"/>
      <c r="AC13" s="24"/>
      <c r="AD13" s="25">
        <f>Z13*2</f>
        <v>0</v>
      </c>
      <c r="AE13" s="25">
        <f t="shared" si="9"/>
        <v>1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/>
      <c r="C14" s="32">
        <v>1</v>
      </c>
      <c r="D14" s="32"/>
      <c r="E14" s="24"/>
      <c r="F14" s="25">
        <f t="shared" ref="F14:F19" si="12">B14*0</f>
        <v>0</v>
      </c>
      <c r="G14" s="25">
        <f t="shared" si="1"/>
        <v>1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/>
      <c r="O14" s="32">
        <v>1</v>
      </c>
      <c r="P14" s="32"/>
      <c r="Q14" s="24"/>
      <c r="R14" s="25">
        <f t="shared" ref="R14:R19" si="14">N14*0</f>
        <v>0</v>
      </c>
      <c r="S14" s="25">
        <f t="shared" si="5"/>
        <v>1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/>
      <c r="AA14" s="32">
        <v>1</v>
      </c>
      <c r="AB14" s="32"/>
      <c r="AC14" s="24"/>
      <c r="AD14" s="25">
        <f t="shared" ref="AD14:AD19" si="16">Z14*0</f>
        <v>0</v>
      </c>
      <c r="AE14" s="25">
        <f t="shared" si="9"/>
        <v>1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/>
      <c r="D15" s="32">
        <v>1</v>
      </c>
      <c r="E15" s="24"/>
      <c r="F15" s="25">
        <f t="shared" si="12"/>
        <v>0</v>
      </c>
      <c r="G15" s="25">
        <f t="shared" si="1"/>
        <v>0</v>
      </c>
      <c r="H15" s="25">
        <f t="shared" si="13"/>
        <v>2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>
        <v>1</v>
      </c>
      <c r="P15" s="32"/>
      <c r="Q15" s="24"/>
      <c r="R15" s="25">
        <f t="shared" si="14"/>
        <v>0</v>
      </c>
      <c r="S15" s="25">
        <f t="shared" si="5"/>
        <v>1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/>
      <c r="AA15" s="32">
        <v>1</v>
      </c>
      <c r="AB15" s="32"/>
      <c r="AC15" s="24"/>
      <c r="AD15" s="25">
        <f t="shared" si="16"/>
        <v>0</v>
      </c>
      <c r="AE15" s="25">
        <f t="shared" si="9"/>
        <v>1</v>
      </c>
      <c r="AF15" s="25">
        <f t="shared" si="17"/>
        <v>0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>
        <v>1</v>
      </c>
      <c r="C16" s="32"/>
      <c r="D16" s="32"/>
      <c r="E16" s="24"/>
      <c r="F16" s="25">
        <f t="shared" si="12"/>
        <v>0</v>
      </c>
      <c r="G16" s="25">
        <f t="shared" si="1"/>
        <v>0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>
        <v>1</v>
      </c>
      <c r="O16" s="32"/>
      <c r="P16" s="32"/>
      <c r="Q16" s="24"/>
      <c r="R16" s="25">
        <f t="shared" si="14"/>
        <v>0</v>
      </c>
      <c r="S16" s="25">
        <f t="shared" si="5"/>
        <v>0</v>
      </c>
      <c r="T16" s="25">
        <f t="shared" si="15"/>
        <v>0</v>
      </c>
      <c r="U16" s="25">
        <f t="shared" si="7"/>
        <v>0</v>
      </c>
      <c r="V16" s="24"/>
      <c r="W16" s="107" t="s">
        <v>99</v>
      </c>
      <c r="Y16" s="25">
        <v>10</v>
      </c>
      <c r="Z16" s="32">
        <v>1</v>
      </c>
      <c r="AA16" s="32"/>
      <c r="AB16" s="32"/>
      <c r="AC16" s="24"/>
      <c r="AD16" s="25">
        <f t="shared" si="16"/>
        <v>0</v>
      </c>
      <c r="AE16" s="25">
        <f t="shared" si="9"/>
        <v>0</v>
      </c>
      <c r="AF16" s="25">
        <f t="shared" si="17"/>
        <v>0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>
        <v>1</v>
      </c>
      <c r="D17" s="32"/>
      <c r="E17" s="24"/>
      <c r="F17" s="25">
        <f t="shared" si="12"/>
        <v>0</v>
      </c>
      <c r="G17" s="25">
        <f t="shared" si="1"/>
        <v>1</v>
      </c>
      <c r="H17" s="25">
        <f t="shared" si="13"/>
        <v>0</v>
      </c>
      <c r="I17" s="25">
        <f t="shared" si="3"/>
        <v>0</v>
      </c>
      <c r="J17" s="105">
        <f>I8+I16+I21+I27+I31</f>
        <v>2</v>
      </c>
      <c r="K17" s="108">
        <f>J17</f>
        <v>2</v>
      </c>
      <c r="M17" s="25">
        <v>11</v>
      </c>
      <c r="N17" s="32"/>
      <c r="O17" s="32"/>
      <c r="P17" s="32">
        <v>1</v>
      </c>
      <c r="Q17" s="24"/>
      <c r="R17" s="25">
        <f t="shared" si="14"/>
        <v>0</v>
      </c>
      <c r="S17" s="25">
        <f t="shared" si="5"/>
        <v>0</v>
      </c>
      <c r="T17" s="25">
        <f t="shared" si="15"/>
        <v>2</v>
      </c>
      <c r="U17" s="25">
        <f t="shared" si="7"/>
        <v>0</v>
      </c>
      <c r="V17" s="105">
        <f>U8+U16+U21+U27+U31</f>
        <v>0</v>
      </c>
      <c r="W17" s="108">
        <f>V17</f>
        <v>0</v>
      </c>
      <c r="Y17" s="25">
        <v>11</v>
      </c>
      <c r="Z17" s="32"/>
      <c r="AA17" s="32">
        <v>1</v>
      </c>
      <c r="AB17" s="32"/>
      <c r="AC17" s="24"/>
      <c r="AD17" s="25">
        <f t="shared" si="16"/>
        <v>0</v>
      </c>
      <c r="AE17" s="25">
        <f t="shared" si="9"/>
        <v>1</v>
      </c>
      <c r="AF17" s="25">
        <f t="shared" si="17"/>
        <v>0</v>
      </c>
      <c r="AG17" s="25">
        <f t="shared" si="11"/>
        <v>0</v>
      </c>
      <c r="AH17" s="105">
        <f>AG8+AG16+AG21+AG27+AG31</f>
        <v>2</v>
      </c>
      <c r="AI17" s="108">
        <f>AH17</f>
        <v>2</v>
      </c>
    </row>
    <row r="18" spans="1:35" ht="21" customHeight="1">
      <c r="A18" s="25">
        <v>12</v>
      </c>
      <c r="B18" s="32">
        <v>1</v>
      </c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/>
      <c r="O18" s="32">
        <v>1</v>
      </c>
      <c r="P18" s="32"/>
      <c r="Q18" s="24"/>
      <c r="R18" s="25">
        <f t="shared" si="14"/>
        <v>0</v>
      </c>
      <c r="S18" s="25">
        <f t="shared" si="5"/>
        <v>1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>
        <v>1</v>
      </c>
      <c r="AA18" s="32"/>
      <c r="AB18" s="32"/>
      <c r="AC18" s="24"/>
      <c r="AD18" s="25">
        <f t="shared" si="16"/>
        <v>0</v>
      </c>
      <c r="AE18" s="25">
        <f t="shared" si="9"/>
        <v>0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/>
      <c r="C19" s="32">
        <v>1</v>
      </c>
      <c r="D19" s="32"/>
      <c r="E19" s="24"/>
      <c r="F19" s="25">
        <f t="shared" si="12"/>
        <v>0</v>
      </c>
      <c r="G19" s="25">
        <f t="shared" si="1"/>
        <v>1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/>
      <c r="O19" s="32">
        <v>1</v>
      </c>
      <c r="P19" s="32"/>
      <c r="Q19" s="24"/>
      <c r="R19" s="25">
        <f t="shared" si="14"/>
        <v>0</v>
      </c>
      <c r="S19" s="25">
        <f t="shared" si="5"/>
        <v>1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/>
      <c r="AA19" s="32">
        <v>1</v>
      </c>
      <c r="AB19" s="32"/>
      <c r="AC19" s="24"/>
      <c r="AD19" s="25">
        <f t="shared" si="16"/>
        <v>0</v>
      </c>
      <c r="AE19" s="25">
        <f t="shared" si="9"/>
        <v>1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/>
      <c r="C20" s="32">
        <v>1</v>
      </c>
      <c r="D20" s="32"/>
      <c r="E20" s="24"/>
      <c r="F20" s="25">
        <f>B20*2</f>
        <v>0</v>
      </c>
      <c r="G20" s="25">
        <f t="shared" si="1"/>
        <v>1</v>
      </c>
      <c r="H20" s="25">
        <f>D20*0</f>
        <v>0</v>
      </c>
      <c r="I20" s="25">
        <f t="shared" si="3"/>
        <v>0</v>
      </c>
      <c r="J20" s="24"/>
      <c r="K20" s="107" t="s">
        <v>100</v>
      </c>
      <c r="M20" s="25">
        <v>14</v>
      </c>
      <c r="N20" s="32"/>
      <c r="O20" s="32">
        <v>1</v>
      </c>
      <c r="P20" s="32"/>
      <c r="Q20" s="24"/>
      <c r="R20" s="25">
        <f>N20*2</f>
        <v>0</v>
      </c>
      <c r="S20" s="25">
        <f t="shared" si="5"/>
        <v>1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/>
      <c r="AA20" s="32">
        <v>1</v>
      </c>
      <c r="AB20" s="32"/>
      <c r="AC20" s="24"/>
      <c r="AD20" s="25">
        <f>Z20*2</f>
        <v>0</v>
      </c>
      <c r="AE20" s="25">
        <f t="shared" si="9"/>
        <v>1</v>
      </c>
      <c r="AF20" s="25">
        <f>AB20*0</f>
        <v>0</v>
      </c>
      <c r="AG20" s="25">
        <f t="shared" si="11"/>
        <v>0</v>
      </c>
      <c r="AH20" s="24"/>
      <c r="AI20" s="107" t="s">
        <v>100</v>
      </c>
    </row>
    <row r="21" spans="1:35" ht="21" customHeight="1">
      <c r="A21" s="25">
        <v>15</v>
      </c>
      <c r="B21" s="32">
        <v>1</v>
      </c>
      <c r="C21" s="32"/>
      <c r="D21" s="32"/>
      <c r="E21" s="24"/>
      <c r="F21" s="25">
        <f>B21*2</f>
        <v>2</v>
      </c>
      <c r="G21" s="25">
        <f t="shared" si="1"/>
        <v>0</v>
      </c>
      <c r="H21" s="25">
        <f>D21*0</f>
        <v>0</v>
      </c>
      <c r="I21" s="25">
        <f t="shared" si="3"/>
        <v>2</v>
      </c>
      <c r="J21" s="24"/>
      <c r="K21" s="107" t="s">
        <v>101</v>
      </c>
      <c r="M21" s="25">
        <v>15</v>
      </c>
      <c r="N21" s="32"/>
      <c r="O21" s="32">
        <v>1</v>
      </c>
      <c r="P21" s="32"/>
      <c r="Q21" s="24"/>
      <c r="R21" s="25">
        <f>N21*2</f>
        <v>0</v>
      </c>
      <c r="S21" s="25">
        <f t="shared" si="5"/>
        <v>1</v>
      </c>
      <c r="T21" s="25">
        <f>P21*0</f>
        <v>0</v>
      </c>
      <c r="U21" s="25">
        <f t="shared" si="7"/>
        <v>0</v>
      </c>
      <c r="V21" s="24"/>
      <c r="W21" s="107" t="s">
        <v>101</v>
      </c>
      <c r="Y21" s="25">
        <v>15</v>
      </c>
      <c r="Z21" s="32">
        <v>1</v>
      </c>
      <c r="AA21" s="32"/>
      <c r="AB21" s="32"/>
      <c r="AC21" s="24"/>
      <c r="AD21" s="25">
        <f>Z21*2</f>
        <v>2</v>
      </c>
      <c r="AE21" s="25">
        <f t="shared" si="9"/>
        <v>0</v>
      </c>
      <c r="AF21" s="25">
        <f>AB21*0</f>
        <v>0</v>
      </c>
      <c r="AG21" s="25">
        <f t="shared" si="11"/>
        <v>2</v>
      </c>
      <c r="AH21" s="24"/>
      <c r="AI21" s="107" t="s">
        <v>101</v>
      </c>
    </row>
    <row r="22" spans="1:35" ht="21" customHeight="1">
      <c r="A22" s="25">
        <v>16</v>
      </c>
      <c r="B22" s="32"/>
      <c r="C22" s="32">
        <v>1</v>
      </c>
      <c r="D22" s="32"/>
      <c r="E22" s="24"/>
      <c r="F22" s="25">
        <f>B22*0</f>
        <v>0</v>
      </c>
      <c r="G22" s="25">
        <f t="shared" si="1"/>
        <v>1</v>
      </c>
      <c r="H22" s="25">
        <f>D22*2</f>
        <v>0</v>
      </c>
      <c r="I22" s="25">
        <f t="shared" si="3"/>
        <v>0</v>
      </c>
      <c r="J22" s="105">
        <f>I12+I17+I20+I25+I29</f>
        <v>0</v>
      </c>
      <c r="K22" s="108">
        <f>J22</f>
        <v>0</v>
      </c>
      <c r="M22" s="25">
        <v>16</v>
      </c>
      <c r="N22" s="32"/>
      <c r="O22" s="32">
        <v>1</v>
      </c>
      <c r="P22" s="32"/>
      <c r="Q22" s="24"/>
      <c r="R22" s="25">
        <f>N22*0</f>
        <v>0</v>
      </c>
      <c r="S22" s="25">
        <f t="shared" si="5"/>
        <v>1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/>
      <c r="AA22" s="32">
        <v>1</v>
      </c>
      <c r="AB22" s="32"/>
      <c r="AC22" s="24"/>
      <c r="AD22" s="25">
        <f>Z22*0</f>
        <v>0</v>
      </c>
      <c r="AE22" s="25">
        <f t="shared" si="9"/>
        <v>1</v>
      </c>
      <c r="AF22" s="25">
        <f>AB22*2</f>
        <v>0</v>
      </c>
      <c r="AG22" s="25">
        <f t="shared" si="11"/>
        <v>0</v>
      </c>
      <c r="AH22" s="105">
        <f>AG12+AG17+AG20+AG25+AG29</f>
        <v>0</v>
      </c>
      <c r="AI22" s="108">
        <f>AH22</f>
        <v>0</v>
      </c>
    </row>
    <row r="23" spans="1:35" ht="21" customHeight="1">
      <c r="A23" s="25">
        <v>17</v>
      </c>
      <c r="B23" s="32"/>
      <c r="C23" s="32">
        <v>1</v>
      </c>
      <c r="D23" s="32"/>
      <c r="E23" s="24"/>
      <c r="F23" s="25">
        <f>B23*2</f>
        <v>0</v>
      </c>
      <c r="G23" s="25">
        <f t="shared" si="1"/>
        <v>1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/>
      <c r="O23" s="32">
        <v>1</v>
      </c>
      <c r="P23" s="32"/>
      <c r="Q23" s="24"/>
      <c r="R23" s="25">
        <f>N23*2</f>
        <v>0</v>
      </c>
      <c r="S23" s="25">
        <f t="shared" si="5"/>
        <v>1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/>
      <c r="AA23" s="32">
        <v>1</v>
      </c>
      <c r="AB23" s="32"/>
      <c r="AC23" s="24"/>
      <c r="AD23" s="25">
        <f>Z23*2</f>
        <v>0</v>
      </c>
      <c r="AE23" s="25">
        <f t="shared" si="9"/>
        <v>1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>
        <v>1</v>
      </c>
      <c r="C24" s="32"/>
      <c r="D24" s="32"/>
      <c r="E24" s="24"/>
      <c r="F24" s="25">
        <f>B24*2</f>
        <v>2</v>
      </c>
      <c r="G24" s="25">
        <f t="shared" si="1"/>
        <v>0</v>
      </c>
      <c r="H24" s="25">
        <f>D24*0</f>
        <v>0</v>
      </c>
      <c r="I24" s="25">
        <f t="shared" si="3"/>
        <v>2</v>
      </c>
      <c r="J24" s="24"/>
      <c r="K24" s="25"/>
      <c r="M24" s="25">
        <v>18</v>
      </c>
      <c r="N24" s="32">
        <v>1</v>
      </c>
      <c r="O24" s="32"/>
      <c r="P24" s="32"/>
      <c r="Q24" s="24"/>
      <c r="R24" s="25">
        <f>N24*2</f>
        <v>2</v>
      </c>
      <c r="S24" s="25">
        <f t="shared" si="5"/>
        <v>0</v>
      </c>
      <c r="T24" s="25">
        <f>P24*0</f>
        <v>0</v>
      </c>
      <c r="U24" s="25">
        <f t="shared" si="7"/>
        <v>2</v>
      </c>
      <c r="V24" s="24"/>
      <c r="W24" s="25"/>
      <c r="Y24" s="25">
        <v>18</v>
      </c>
      <c r="Z24" s="32">
        <v>1</v>
      </c>
      <c r="AA24" s="32"/>
      <c r="AB24" s="32"/>
      <c r="AC24" s="24"/>
      <c r="AD24" s="25">
        <f>Z24*2</f>
        <v>2</v>
      </c>
      <c r="AE24" s="25">
        <f t="shared" si="9"/>
        <v>0</v>
      </c>
      <c r="AF24" s="25">
        <f>AB24*0</f>
        <v>0</v>
      </c>
      <c r="AG24" s="25">
        <f t="shared" si="11"/>
        <v>2</v>
      </c>
      <c r="AH24" s="24"/>
      <c r="AI24" s="25"/>
    </row>
    <row r="25" spans="1:35" ht="21" customHeight="1">
      <c r="A25" s="25">
        <v>19</v>
      </c>
      <c r="B25" s="32">
        <v>1</v>
      </c>
      <c r="C25" s="32"/>
      <c r="D25" s="32"/>
      <c r="E25" s="24"/>
      <c r="F25" s="25">
        <f t="shared" ref="F25:F31" si="18">B25*0</f>
        <v>0</v>
      </c>
      <c r="G25" s="25">
        <f t="shared" si="1"/>
        <v>0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>
        <v>1</v>
      </c>
      <c r="O25" s="32"/>
      <c r="P25" s="32"/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>
        <v>1</v>
      </c>
      <c r="AA25" s="32"/>
      <c r="AB25" s="32"/>
      <c r="AC25" s="24"/>
      <c r="AD25" s="25">
        <f t="shared" ref="AD25:AD31" si="22">Z25*0</f>
        <v>0</v>
      </c>
      <c r="AE25" s="25">
        <f t="shared" si="9"/>
        <v>0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>
        <v>1</v>
      </c>
      <c r="D26" s="32"/>
      <c r="E26" s="24"/>
      <c r="F26" s="25">
        <f t="shared" si="18"/>
        <v>0</v>
      </c>
      <c r="G26" s="25">
        <f t="shared" si="1"/>
        <v>1</v>
      </c>
      <c r="H26" s="25">
        <f t="shared" si="19"/>
        <v>0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>
        <v>1</v>
      </c>
      <c r="P26" s="32"/>
      <c r="Q26" s="24"/>
      <c r="R26" s="25">
        <f t="shared" si="20"/>
        <v>0</v>
      </c>
      <c r="S26" s="25">
        <f t="shared" si="5"/>
        <v>1</v>
      </c>
      <c r="T26" s="25">
        <f t="shared" si="21"/>
        <v>0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>
        <v>1</v>
      </c>
      <c r="AB26" s="32"/>
      <c r="AC26" s="24"/>
      <c r="AD26" s="25">
        <f t="shared" si="22"/>
        <v>0</v>
      </c>
      <c r="AE26" s="25">
        <f t="shared" si="9"/>
        <v>1</v>
      </c>
      <c r="AF26" s="25">
        <f t="shared" si="23"/>
        <v>0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>
        <v>1</v>
      </c>
      <c r="D27" s="32"/>
      <c r="E27" s="24"/>
      <c r="F27" s="25">
        <f t="shared" si="18"/>
        <v>0</v>
      </c>
      <c r="G27" s="25">
        <f t="shared" si="1"/>
        <v>1</v>
      </c>
      <c r="H27" s="25">
        <f t="shared" si="19"/>
        <v>0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/>
      <c r="O27" s="32">
        <v>1</v>
      </c>
      <c r="P27" s="32"/>
      <c r="Q27" s="24"/>
      <c r="R27" s="25">
        <f t="shared" si="20"/>
        <v>0</v>
      </c>
      <c r="S27" s="25">
        <f t="shared" si="5"/>
        <v>1</v>
      </c>
      <c r="T27" s="25">
        <f t="shared" si="21"/>
        <v>0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/>
      <c r="AA27" s="32">
        <v>1</v>
      </c>
      <c r="AB27" s="32"/>
      <c r="AC27" s="24"/>
      <c r="AD27" s="25">
        <f t="shared" si="22"/>
        <v>0</v>
      </c>
      <c r="AE27" s="25">
        <f t="shared" si="9"/>
        <v>1</v>
      </c>
      <c r="AF27" s="25">
        <f t="shared" si="23"/>
        <v>0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>
        <v>1</v>
      </c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>
        <v>1</v>
      </c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>
        <v>1</v>
      </c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>
        <v>1</v>
      </c>
      <c r="C29" s="32"/>
      <c r="D29" s="32"/>
      <c r="E29" s="24"/>
      <c r="F29" s="25">
        <f t="shared" si="18"/>
        <v>0</v>
      </c>
      <c r="G29" s="25">
        <f t="shared" si="1"/>
        <v>0</v>
      </c>
      <c r="H29" s="25">
        <f t="shared" si="19"/>
        <v>0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>
        <v>1</v>
      </c>
      <c r="P29" s="32"/>
      <c r="Q29" s="24"/>
      <c r="R29" s="25">
        <f t="shared" si="20"/>
        <v>0</v>
      </c>
      <c r="S29" s="25">
        <f t="shared" si="5"/>
        <v>1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>
        <v>1</v>
      </c>
      <c r="AA29" s="32"/>
      <c r="AB29" s="32"/>
      <c r="AC29" s="24"/>
      <c r="AD29" s="25">
        <f t="shared" si="22"/>
        <v>0</v>
      </c>
      <c r="AE29" s="25">
        <f t="shared" si="9"/>
        <v>0</v>
      </c>
      <c r="AF29" s="25">
        <f t="shared" si="23"/>
        <v>0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>
        <v>1</v>
      </c>
      <c r="C30" s="32"/>
      <c r="D30" s="32"/>
      <c r="E30" s="24"/>
      <c r="F30" s="25">
        <f t="shared" si="18"/>
        <v>0</v>
      </c>
      <c r="G30" s="25">
        <f t="shared" si="1"/>
        <v>0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/>
      <c r="O30" s="32">
        <v>1</v>
      </c>
      <c r="P30" s="32"/>
      <c r="Q30" s="24"/>
      <c r="R30" s="25">
        <f t="shared" si="20"/>
        <v>0</v>
      </c>
      <c r="S30" s="25">
        <f t="shared" si="5"/>
        <v>1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>
        <v>1</v>
      </c>
      <c r="AA30" s="32"/>
      <c r="AB30" s="32"/>
      <c r="AC30" s="24"/>
      <c r="AD30" s="25">
        <f t="shared" si="22"/>
        <v>0</v>
      </c>
      <c r="AE30" s="25">
        <f t="shared" si="9"/>
        <v>0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>
        <v>1</v>
      </c>
      <c r="D31" s="32"/>
      <c r="E31" s="24"/>
      <c r="F31" s="25">
        <f t="shared" si="18"/>
        <v>0</v>
      </c>
      <c r="G31" s="25">
        <f t="shared" si="1"/>
        <v>1</v>
      </c>
      <c r="H31" s="25">
        <f t="shared" si="19"/>
        <v>0</v>
      </c>
      <c r="I31" s="25">
        <f t="shared" si="3"/>
        <v>0</v>
      </c>
      <c r="J31" s="24"/>
      <c r="K31" s="108">
        <f>K7+K12+K17+K22</f>
        <v>4</v>
      </c>
      <c r="M31" s="25">
        <v>25</v>
      </c>
      <c r="N31" s="32"/>
      <c r="O31" s="32">
        <v>1</v>
      </c>
      <c r="P31" s="32"/>
      <c r="Q31" s="24"/>
      <c r="R31" s="25">
        <f t="shared" si="20"/>
        <v>0</v>
      </c>
      <c r="S31" s="25">
        <f t="shared" si="5"/>
        <v>1</v>
      </c>
      <c r="T31" s="25">
        <f t="shared" si="21"/>
        <v>0</v>
      </c>
      <c r="U31" s="25">
        <f t="shared" si="7"/>
        <v>0</v>
      </c>
      <c r="V31" s="24"/>
      <c r="W31" s="108">
        <f>W7+W12+W17+W22</f>
        <v>2</v>
      </c>
      <c r="Y31" s="25">
        <v>25</v>
      </c>
      <c r="Z31" s="32"/>
      <c r="AA31" s="32">
        <v>1</v>
      </c>
      <c r="AB31" s="32"/>
      <c r="AC31" s="24"/>
      <c r="AD31" s="25">
        <f t="shared" si="22"/>
        <v>0</v>
      </c>
      <c r="AE31" s="25">
        <f t="shared" si="9"/>
        <v>1</v>
      </c>
      <c r="AF31" s="25">
        <f t="shared" si="23"/>
        <v>0</v>
      </c>
      <c r="AG31" s="25">
        <f t="shared" si="11"/>
        <v>0</v>
      </c>
      <c r="AH31" s="24"/>
      <c r="AI31" s="108">
        <f>AI7+AI12+AI17+AI22</f>
        <v>4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7"/>
  </sheetPr>
  <dimension ref="A1:AI41"/>
  <sheetViews>
    <sheetView tabSelected="1" topLeftCell="W24" zoomScale="150" workbookViewId="0">
      <selection activeCell="AB31" sqref="AB31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 t="str">
        <f>รายชื่อ!B27</f>
        <v>เด็กหญิง</v>
      </c>
      <c r="C3" s="110" t="str">
        <f>รายชื่อ!C27</f>
        <v>ยิ่งลักษณ์</v>
      </c>
      <c r="D3" s="110" t="str">
        <f>รายชื่อ!D27</f>
        <v>ลักษณพิสุทธิ์</v>
      </c>
      <c r="E3" s="60"/>
      <c r="F3" s="103"/>
      <c r="G3" s="165"/>
      <c r="H3" s="165"/>
      <c r="I3" s="165"/>
      <c r="J3" s="25"/>
      <c r="K3" s="106" t="str">
        <f>รายชื่อ!A1</f>
        <v>1</v>
      </c>
      <c r="M3" s="25" t="s">
        <v>85</v>
      </c>
      <c r="N3" s="110" t="str">
        <f>รายชื่อ!B27</f>
        <v>เด็กหญิง</v>
      </c>
      <c r="O3" s="110" t="str">
        <f>รายชื่อ!C27</f>
        <v>ยิ่งลักษณ์</v>
      </c>
      <c r="P3" s="110" t="str">
        <f>รายชื่อ!D27</f>
        <v>ลักษณพิสุทธิ์</v>
      </c>
      <c r="Q3" s="60"/>
      <c r="R3" s="103"/>
      <c r="S3" s="165"/>
      <c r="T3" s="165"/>
      <c r="U3" s="165"/>
      <c r="V3" s="25"/>
      <c r="W3" s="106" t="s">
        <v>53</v>
      </c>
      <c r="Y3" s="25" t="s">
        <v>85</v>
      </c>
      <c r="Z3" s="110" t="str">
        <f>รายชื่อ!B27</f>
        <v>เด็กหญิง</v>
      </c>
      <c r="AA3" s="110" t="str">
        <f>รายชื่อ!C27</f>
        <v>ยิ่งลักษณ์</v>
      </c>
      <c r="AB3" s="110" t="str">
        <f>รายชื่อ!D27</f>
        <v>ลักษณพิสุทธิ์</v>
      </c>
      <c r="AC3" s="60"/>
      <c r="AD3" s="103"/>
      <c r="AE3" s="165"/>
      <c r="AF3" s="165"/>
      <c r="AG3" s="165"/>
      <c r="AH3" s="25"/>
      <c r="AI3" s="106" t="s">
        <v>53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>
        <v>1</v>
      </c>
      <c r="C7" s="32"/>
      <c r="D7" s="32"/>
      <c r="E7" s="24"/>
      <c r="F7" s="25">
        <f t="shared" ref="F7:F12" si="0">B7*0</f>
        <v>0</v>
      </c>
      <c r="G7" s="25">
        <f t="shared" ref="G7:G31" si="1">C7*1</f>
        <v>0</v>
      </c>
      <c r="H7" s="25">
        <f t="shared" ref="H7:H12" si="2">D7*2</f>
        <v>0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>
        <v>1</v>
      </c>
      <c r="O7" s="32"/>
      <c r="P7" s="32"/>
      <c r="Q7" s="24"/>
      <c r="R7" s="25">
        <f t="shared" ref="R7:R12" si="4">N7*0</f>
        <v>0</v>
      </c>
      <c r="S7" s="25">
        <f t="shared" ref="S7:S31" si="5">O7*1</f>
        <v>0</v>
      </c>
      <c r="T7" s="25">
        <f t="shared" ref="T7:T12" si="6">P7*2</f>
        <v>0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/>
      <c r="AB7" s="32">
        <v>1</v>
      </c>
      <c r="AC7" s="24"/>
      <c r="AD7" s="25">
        <f t="shared" ref="AD7:AD12" si="8">Z7*0</f>
        <v>0</v>
      </c>
      <c r="AE7" s="25">
        <f t="shared" ref="AE7:AE31" si="9">AA7*1</f>
        <v>0</v>
      </c>
      <c r="AF7" s="25">
        <f t="shared" ref="AF7:AF12" si="10">AB7*2</f>
        <v>2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>
        <v>1</v>
      </c>
      <c r="C8" s="32"/>
      <c r="D8" s="32"/>
      <c r="E8" s="24"/>
      <c r="F8" s="25">
        <f t="shared" si="0"/>
        <v>0</v>
      </c>
      <c r="G8" s="25">
        <f t="shared" si="1"/>
        <v>0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/>
      <c r="O8" s="32">
        <v>1</v>
      </c>
      <c r="P8" s="32"/>
      <c r="Q8" s="24"/>
      <c r="R8" s="25">
        <f t="shared" si="4"/>
        <v>0</v>
      </c>
      <c r="S8" s="25">
        <f t="shared" si="5"/>
        <v>1</v>
      </c>
      <c r="T8" s="25">
        <f t="shared" si="6"/>
        <v>0</v>
      </c>
      <c r="U8" s="25">
        <f t="shared" si="7"/>
        <v>0</v>
      </c>
      <c r="V8" s="24"/>
      <c r="W8" s="25"/>
      <c r="Y8" s="25">
        <v>2</v>
      </c>
      <c r="Z8" s="32">
        <v>1</v>
      </c>
      <c r="AA8" s="32"/>
      <c r="AB8" s="32"/>
      <c r="AC8" s="24"/>
      <c r="AD8" s="25">
        <f t="shared" si="8"/>
        <v>0</v>
      </c>
      <c r="AE8" s="25">
        <f t="shared" si="9"/>
        <v>0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/>
      <c r="C9" s="32">
        <v>1</v>
      </c>
      <c r="D9" s="32"/>
      <c r="E9" s="24"/>
      <c r="F9" s="25">
        <f t="shared" si="0"/>
        <v>0</v>
      </c>
      <c r="G9" s="25">
        <f t="shared" si="1"/>
        <v>1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/>
      <c r="O9" s="32">
        <v>1</v>
      </c>
      <c r="P9" s="32"/>
      <c r="Q9" s="24"/>
      <c r="R9" s="25">
        <f t="shared" si="4"/>
        <v>0</v>
      </c>
      <c r="S9" s="25">
        <f t="shared" si="5"/>
        <v>1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/>
      <c r="AA9" s="32"/>
      <c r="AB9" s="32">
        <v>1</v>
      </c>
      <c r="AC9" s="24"/>
      <c r="AD9" s="25">
        <f t="shared" si="8"/>
        <v>0</v>
      </c>
      <c r="AE9" s="25">
        <f t="shared" si="9"/>
        <v>0</v>
      </c>
      <c r="AF9" s="25">
        <f t="shared" si="10"/>
        <v>2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>
        <v>1</v>
      </c>
      <c r="C10" s="32"/>
      <c r="D10" s="32"/>
      <c r="E10" s="24"/>
      <c r="F10" s="25">
        <f t="shared" si="0"/>
        <v>0</v>
      </c>
      <c r="G10" s="25">
        <f t="shared" si="1"/>
        <v>0</v>
      </c>
      <c r="H10" s="25">
        <f t="shared" si="2"/>
        <v>0</v>
      </c>
      <c r="I10" s="25">
        <f t="shared" si="3"/>
        <v>0</v>
      </c>
      <c r="J10" s="24"/>
      <c r="K10" s="107" t="s">
        <v>96</v>
      </c>
      <c r="M10" s="25">
        <v>4</v>
      </c>
      <c r="N10" s="32">
        <v>1</v>
      </c>
      <c r="O10" s="32"/>
      <c r="P10" s="32"/>
      <c r="Q10" s="24"/>
      <c r="R10" s="25">
        <f t="shared" si="4"/>
        <v>0</v>
      </c>
      <c r="S10" s="25">
        <f t="shared" si="5"/>
        <v>0</v>
      </c>
      <c r="T10" s="25">
        <f t="shared" si="6"/>
        <v>0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/>
      <c r="AB10" s="32">
        <v>1</v>
      </c>
      <c r="AC10" s="24"/>
      <c r="AD10" s="25">
        <f t="shared" si="8"/>
        <v>0</v>
      </c>
      <c r="AE10" s="25">
        <f t="shared" si="9"/>
        <v>0</v>
      </c>
      <c r="AF10" s="25">
        <f t="shared" si="10"/>
        <v>2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/>
      <c r="C11" s="32"/>
      <c r="D11" s="32">
        <v>1</v>
      </c>
      <c r="E11" s="24"/>
      <c r="F11" s="25">
        <f t="shared" si="0"/>
        <v>0</v>
      </c>
      <c r="G11" s="25">
        <f t="shared" si="1"/>
        <v>0</v>
      </c>
      <c r="H11" s="25">
        <f t="shared" si="2"/>
        <v>2</v>
      </c>
      <c r="I11" s="25">
        <f t="shared" si="3"/>
        <v>0</v>
      </c>
      <c r="J11" s="24"/>
      <c r="K11" s="107" t="s">
        <v>97</v>
      </c>
      <c r="M11" s="25">
        <v>5</v>
      </c>
      <c r="N11" s="32"/>
      <c r="O11" s="32">
        <v>1</v>
      </c>
      <c r="P11" s="32"/>
      <c r="Q11" s="24"/>
      <c r="R11" s="25">
        <f t="shared" si="4"/>
        <v>0</v>
      </c>
      <c r="S11" s="25">
        <f t="shared" si="5"/>
        <v>1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/>
      <c r="AA11" s="32"/>
      <c r="AB11" s="32">
        <v>1</v>
      </c>
      <c r="AC11" s="24"/>
      <c r="AD11" s="25">
        <f t="shared" si="8"/>
        <v>0</v>
      </c>
      <c r="AE11" s="25">
        <f t="shared" si="9"/>
        <v>0</v>
      </c>
      <c r="AF11" s="25">
        <f t="shared" si="10"/>
        <v>2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>
        <v>1</v>
      </c>
      <c r="C12" s="32"/>
      <c r="D12" s="32"/>
      <c r="E12" s="24"/>
      <c r="F12" s="25">
        <f t="shared" si="0"/>
        <v>0</v>
      </c>
      <c r="G12" s="25">
        <f t="shared" si="1"/>
        <v>0</v>
      </c>
      <c r="H12" s="25">
        <f t="shared" si="2"/>
        <v>0</v>
      </c>
      <c r="I12" s="25">
        <f t="shared" si="3"/>
        <v>0</v>
      </c>
      <c r="J12" s="105">
        <f>I11+I13+I18+I24+I28</f>
        <v>0</v>
      </c>
      <c r="K12" s="108">
        <f>J12</f>
        <v>0</v>
      </c>
      <c r="M12" s="25">
        <v>6</v>
      </c>
      <c r="N12" s="32">
        <v>1</v>
      </c>
      <c r="O12" s="32"/>
      <c r="P12" s="32"/>
      <c r="Q12" s="24"/>
      <c r="R12" s="25">
        <f t="shared" si="4"/>
        <v>0</v>
      </c>
      <c r="S12" s="25">
        <f t="shared" si="5"/>
        <v>0</v>
      </c>
      <c r="T12" s="25">
        <f t="shared" si="6"/>
        <v>0</v>
      </c>
      <c r="U12" s="25">
        <f t="shared" si="7"/>
        <v>0</v>
      </c>
      <c r="V12" s="105">
        <f>U11+U13+U18+U24+U28</f>
        <v>2</v>
      </c>
      <c r="W12" s="108">
        <f>V12</f>
        <v>2</v>
      </c>
      <c r="Y12" s="25">
        <v>6</v>
      </c>
      <c r="Z12" s="32"/>
      <c r="AA12" s="32">
        <v>1</v>
      </c>
      <c r="AB12" s="32"/>
      <c r="AC12" s="24"/>
      <c r="AD12" s="25">
        <f t="shared" si="8"/>
        <v>0</v>
      </c>
      <c r="AE12" s="25">
        <f t="shared" si="9"/>
        <v>1</v>
      </c>
      <c r="AF12" s="25">
        <f t="shared" si="10"/>
        <v>0</v>
      </c>
      <c r="AG12" s="25">
        <f t="shared" si="11"/>
        <v>0</v>
      </c>
      <c r="AH12" s="105">
        <f>AG11+AG13+AG18+AG24+AG28</f>
        <v>2</v>
      </c>
      <c r="AI12" s="108">
        <f>AH12</f>
        <v>2</v>
      </c>
    </row>
    <row r="13" spans="1:35" ht="21" customHeight="1">
      <c r="A13" s="25">
        <v>7</v>
      </c>
      <c r="B13" s="32"/>
      <c r="C13" s="32">
        <v>1</v>
      </c>
      <c r="D13" s="32"/>
      <c r="E13" s="24"/>
      <c r="F13" s="25">
        <f>B13*2</f>
        <v>0</v>
      </c>
      <c r="G13" s="25">
        <f t="shared" si="1"/>
        <v>1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>
        <v>1</v>
      </c>
      <c r="P13" s="32"/>
      <c r="Q13" s="24"/>
      <c r="R13" s="25">
        <f>N13*2</f>
        <v>0</v>
      </c>
      <c r="S13" s="25">
        <f t="shared" si="5"/>
        <v>1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/>
      <c r="AA13" s="32"/>
      <c r="AB13" s="32">
        <v>1</v>
      </c>
      <c r="AC13" s="24"/>
      <c r="AD13" s="25">
        <f>Z13*2</f>
        <v>0</v>
      </c>
      <c r="AE13" s="25">
        <f t="shared" si="9"/>
        <v>0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/>
      <c r="C14" s="32"/>
      <c r="D14" s="32">
        <v>1</v>
      </c>
      <c r="E14" s="24"/>
      <c r="F14" s="25">
        <f t="shared" ref="F14:F19" si="12">B14*0</f>
        <v>0</v>
      </c>
      <c r="G14" s="25">
        <f t="shared" si="1"/>
        <v>0</v>
      </c>
      <c r="H14" s="25">
        <f t="shared" ref="H14:H19" si="13">D14*2</f>
        <v>2</v>
      </c>
      <c r="I14" s="25">
        <f t="shared" si="3"/>
        <v>0</v>
      </c>
      <c r="J14" s="24"/>
      <c r="K14" s="25"/>
      <c r="M14" s="25">
        <v>8</v>
      </c>
      <c r="N14" s="32"/>
      <c r="O14" s="32">
        <v>1</v>
      </c>
      <c r="P14" s="32"/>
      <c r="Q14" s="24"/>
      <c r="R14" s="25">
        <f t="shared" ref="R14:R19" si="14">N14*0</f>
        <v>0</v>
      </c>
      <c r="S14" s="25">
        <f t="shared" si="5"/>
        <v>1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/>
      <c r="AA14" s="32"/>
      <c r="AB14" s="32">
        <v>1</v>
      </c>
      <c r="AC14" s="24"/>
      <c r="AD14" s="25">
        <f t="shared" ref="AD14:AD19" si="16">Z14*0</f>
        <v>0</v>
      </c>
      <c r="AE14" s="25">
        <f t="shared" si="9"/>
        <v>0</v>
      </c>
      <c r="AF14" s="25">
        <f t="shared" ref="AF14:AF19" si="17">AB14*2</f>
        <v>2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>
        <v>1</v>
      </c>
      <c r="D15" s="32"/>
      <c r="E15" s="24"/>
      <c r="F15" s="25">
        <f t="shared" si="12"/>
        <v>0</v>
      </c>
      <c r="G15" s="25">
        <f t="shared" si="1"/>
        <v>1</v>
      </c>
      <c r="H15" s="25">
        <f t="shared" si="13"/>
        <v>0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>
        <v>1</v>
      </c>
      <c r="P15" s="32"/>
      <c r="Q15" s="24"/>
      <c r="R15" s="25">
        <f t="shared" si="14"/>
        <v>0</v>
      </c>
      <c r="S15" s="25">
        <f t="shared" si="5"/>
        <v>1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>
        <v>1</v>
      </c>
      <c r="AA15" s="32"/>
      <c r="AB15" s="32"/>
      <c r="AC15" s="24"/>
      <c r="AD15" s="25">
        <f t="shared" si="16"/>
        <v>0</v>
      </c>
      <c r="AE15" s="25">
        <f t="shared" si="9"/>
        <v>0</v>
      </c>
      <c r="AF15" s="25">
        <f t="shared" si="17"/>
        <v>0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/>
      <c r="C16" s="32"/>
      <c r="D16" s="32">
        <v>1</v>
      </c>
      <c r="E16" s="24"/>
      <c r="F16" s="25">
        <f t="shared" si="12"/>
        <v>0</v>
      </c>
      <c r="G16" s="25">
        <f t="shared" si="1"/>
        <v>0</v>
      </c>
      <c r="H16" s="25">
        <f t="shared" si="13"/>
        <v>2</v>
      </c>
      <c r="I16" s="25">
        <f t="shared" si="3"/>
        <v>0</v>
      </c>
      <c r="J16" s="24"/>
      <c r="K16" s="107" t="s">
        <v>99</v>
      </c>
      <c r="M16" s="25">
        <v>10</v>
      </c>
      <c r="N16" s="32"/>
      <c r="O16" s="32">
        <v>1</v>
      </c>
      <c r="P16" s="32"/>
      <c r="Q16" s="24"/>
      <c r="R16" s="25">
        <f t="shared" si="14"/>
        <v>0</v>
      </c>
      <c r="S16" s="25">
        <f t="shared" si="5"/>
        <v>1</v>
      </c>
      <c r="T16" s="25">
        <f t="shared" si="15"/>
        <v>0</v>
      </c>
      <c r="U16" s="25">
        <f t="shared" si="7"/>
        <v>0</v>
      </c>
      <c r="V16" s="24"/>
      <c r="W16" s="107" t="s">
        <v>99</v>
      </c>
      <c r="Y16" s="25">
        <v>10</v>
      </c>
      <c r="Z16" s="32">
        <v>1</v>
      </c>
      <c r="AA16" s="32"/>
      <c r="AB16" s="32"/>
      <c r="AC16" s="24"/>
      <c r="AD16" s="25">
        <f t="shared" si="16"/>
        <v>0</v>
      </c>
      <c r="AE16" s="25">
        <f t="shared" si="9"/>
        <v>0</v>
      </c>
      <c r="AF16" s="25">
        <f t="shared" si="17"/>
        <v>0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/>
      <c r="D17" s="32">
        <v>1</v>
      </c>
      <c r="E17" s="24"/>
      <c r="F17" s="25">
        <f t="shared" si="12"/>
        <v>0</v>
      </c>
      <c r="G17" s="25">
        <f t="shared" si="1"/>
        <v>0</v>
      </c>
      <c r="H17" s="25">
        <f t="shared" si="13"/>
        <v>2</v>
      </c>
      <c r="I17" s="25">
        <f t="shared" si="3"/>
        <v>0</v>
      </c>
      <c r="J17" s="105">
        <f>I8+I16+I21+I27+I31</f>
        <v>2</v>
      </c>
      <c r="K17" s="108">
        <f>J17</f>
        <v>2</v>
      </c>
      <c r="M17" s="25">
        <v>11</v>
      </c>
      <c r="N17" s="32"/>
      <c r="O17" s="32"/>
      <c r="P17" s="32">
        <v>1</v>
      </c>
      <c r="Q17" s="24"/>
      <c r="R17" s="25">
        <f t="shared" si="14"/>
        <v>0</v>
      </c>
      <c r="S17" s="25">
        <f t="shared" si="5"/>
        <v>0</v>
      </c>
      <c r="T17" s="25">
        <f t="shared" si="15"/>
        <v>2</v>
      </c>
      <c r="U17" s="25">
        <f t="shared" si="7"/>
        <v>0</v>
      </c>
      <c r="V17" s="105">
        <f>U8+U16+U21+U27+U31</f>
        <v>0</v>
      </c>
      <c r="W17" s="108">
        <f>V17</f>
        <v>0</v>
      </c>
      <c r="Y17" s="25">
        <v>11</v>
      </c>
      <c r="Z17" s="32"/>
      <c r="AA17" s="32"/>
      <c r="AB17" s="32">
        <v>1</v>
      </c>
      <c r="AC17" s="24"/>
      <c r="AD17" s="25">
        <f t="shared" si="16"/>
        <v>0</v>
      </c>
      <c r="AE17" s="25">
        <f t="shared" si="9"/>
        <v>0</v>
      </c>
      <c r="AF17" s="25">
        <f t="shared" si="17"/>
        <v>2</v>
      </c>
      <c r="AG17" s="25">
        <f t="shared" si="11"/>
        <v>0</v>
      </c>
      <c r="AH17" s="105">
        <f>AG8+AG16+AG21+AG27+AG31</f>
        <v>2</v>
      </c>
      <c r="AI17" s="108">
        <f>AH17</f>
        <v>2</v>
      </c>
    </row>
    <row r="18" spans="1:35" ht="21" customHeight="1">
      <c r="A18" s="25">
        <v>12</v>
      </c>
      <c r="B18" s="32"/>
      <c r="C18" s="32">
        <v>1</v>
      </c>
      <c r="D18" s="32"/>
      <c r="E18" s="24"/>
      <c r="F18" s="25">
        <f t="shared" si="12"/>
        <v>0</v>
      </c>
      <c r="G18" s="25">
        <f t="shared" si="1"/>
        <v>1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>
        <v>1</v>
      </c>
      <c r="O18" s="32"/>
      <c r="P18" s="32"/>
      <c r="Q18" s="24"/>
      <c r="R18" s="25">
        <f t="shared" si="14"/>
        <v>0</v>
      </c>
      <c r="S18" s="25">
        <f t="shared" si="5"/>
        <v>0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>
        <v>1</v>
      </c>
      <c r="AA18" s="32"/>
      <c r="AB18" s="32"/>
      <c r="AC18" s="24"/>
      <c r="AD18" s="25">
        <f t="shared" si="16"/>
        <v>0</v>
      </c>
      <c r="AE18" s="25">
        <f t="shared" si="9"/>
        <v>0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/>
      <c r="C19" s="32"/>
      <c r="D19" s="32">
        <v>1</v>
      </c>
      <c r="E19" s="24"/>
      <c r="F19" s="25">
        <f t="shared" si="12"/>
        <v>0</v>
      </c>
      <c r="G19" s="25">
        <f t="shared" si="1"/>
        <v>0</v>
      </c>
      <c r="H19" s="25">
        <f t="shared" si="13"/>
        <v>2</v>
      </c>
      <c r="I19" s="25">
        <f t="shared" si="3"/>
        <v>0</v>
      </c>
      <c r="J19" s="24"/>
      <c r="K19" s="25"/>
      <c r="M19" s="25">
        <v>13</v>
      </c>
      <c r="N19" s="32"/>
      <c r="O19" s="32">
        <v>1</v>
      </c>
      <c r="P19" s="32"/>
      <c r="Q19" s="24"/>
      <c r="R19" s="25">
        <f t="shared" si="14"/>
        <v>0</v>
      </c>
      <c r="S19" s="25">
        <f t="shared" si="5"/>
        <v>1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/>
      <c r="AA19" s="32">
        <v>1</v>
      </c>
      <c r="AB19" s="32"/>
      <c r="AC19" s="24"/>
      <c r="AD19" s="25">
        <f t="shared" si="16"/>
        <v>0</v>
      </c>
      <c r="AE19" s="25">
        <f t="shared" si="9"/>
        <v>1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/>
      <c r="C20" s="32">
        <v>1</v>
      </c>
      <c r="D20" s="32"/>
      <c r="E20" s="24"/>
      <c r="F20" s="25">
        <f>B20*2</f>
        <v>0</v>
      </c>
      <c r="G20" s="25">
        <f t="shared" si="1"/>
        <v>1</v>
      </c>
      <c r="H20" s="25">
        <f>D20*0</f>
        <v>0</v>
      </c>
      <c r="I20" s="25">
        <f t="shared" si="3"/>
        <v>0</v>
      </c>
      <c r="J20" s="24"/>
      <c r="K20" s="107" t="s">
        <v>100</v>
      </c>
      <c r="M20" s="25">
        <v>14</v>
      </c>
      <c r="N20" s="32"/>
      <c r="O20" s="32">
        <v>1</v>
      </c>
      <c r="P20" s="32"/>
      <c r="Q20" s="24"/>
      <c r="R20" s="25">
        <f>N20*2</f>
        <v>0</v>
      </c>
      <c r="S20" s="25">
        <f t="shared" si="5"/>
        <v>1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/>
      <c r="AA20" s="32"/>
      <c r="AB20" s="32">
        <v>1</v>
      </c>
      <c r="AC20" s="24"/>
      <c r="AD20" s="25">
        <f>Z20*2</f>
        <v>0</v>
      </c>
      <c r="AE20" s="25">
        <f t="shared" si="9"/>
        <v>0</v>
      </c>
      <c r="AF20" s="25">
        <f>AB20*0</f>
        <v>0</v>
      </c>
      <c r="AG20" s="25">
        <f t="shared" si="11"/>
        <v>0</v>
      </c>
      <c r="AH20" s="24"/>
      <c r="AI20" s="107" t="s">
        <v>100</v>
      </c>
    </row>
    <row r="21" spans="1:35" ht="21" customHeight="1">
      <c r="A21" s="25">
        <v>15</v>
      </c>
      <c r="B21" s="32">
        <v>1</v>
      </c>
      <c r="C21" s="32"/>
      <c r="D21" s="32"/>
      <c r="E21" s="24"/>
      <c r="F21" s="25">
        <f>B21*2</f>
        <v>2</v>
      </c>
      <c r="G21" s="25">
        <f t="shared" si="1"/>
        <v>0</v>
      </c>
      <c r="H21" s="25">
        <f>D21*0</f>
        <v>0</v>
      </c>
      <c r="I21" s="25">
        <f t="shared" si="3"/>
        <v>2</v>
      </c>
      <c r="J21" s="24"/>
      <c r="K21" s="107" t="s">
        <v>101</v>
      </c>
      <c r="M21" s="25">
        <v>15</v>
      </c>
      <c r="N21" s="32"/>
      <c r="O21" s="32">
        <v>1</v>
      </c>
      <c r="P21" s="32"/>
      <c r="Q21" s="24"/>
      <c r="R21" s="25">
        <f>N21*2</f>
        <v>0</v>
      </c>
      <c r="S21" s="25">
        <f t="shared" si="5"/>
        <v>1</v>
      </c>
      <c r="T21" s="25">
        <f>P21*0</f>
        <v>0</v>
      </c>
      <c r="U21" s="25">
        <f t="shared" si="7"/>
        <v>0</v>
      </c>
      <c r="V21" s="24"/>
      <c r="W21" s="107" t="s">
        <v>101</v>
      </c>
      <c r="Y21" s="25">
        <v>15</v>
      </c>
      <c r="Z21" s="32">
        <v>1</v>
      </c>
      <c r="AA21" s="32"/>
      <c r="AB21" s="32"/>
      <c r="AC21" s="24"/>
      <c r="AD21" s="25">
        <f>Z21*2</f>
        <v>2</v>
      </c>
      <c r="AE21" s="25">
        <f t="shared" si="9"/>
        <v>0</v>
      </c>
      <c r="AF21" s="25">
        <f>AB21*0</f>
        <v>0</v>
      </c>
      <c r="AG21" s="25">
        <f t="shared" si="11"/>
        <v>2</v>
      </c>
      <c r="AH21" s="24"/>
      <c r="AI21" s="107" t="s">
        <v>101</v>
      </c>
    </row>
    <row r="22" spans="1:35" ht="21" customHeight="1">
      <c r="A22" s="25">
        <v>16</v>
      </c>
      <c r="B22" s="32"/>
      <c r="C22" s="32"/>
      <c r="D22" s="32">
        <v>1</v>
      </c>
      <c r="E22" s="24"/>
      <c r="F22" s="25">
        <f>B22*0</f>
        <v>0</v>
      </c>
      <c r="G22" s="25">
        <f t="shared" si="1"/>
        <v>0</v>
      </c>
      <c r="H22" s="25">
        <f>D22*2</f>
        <v>2</v>
      </c>
      <c r="I22" s="25">
        <f t="shared" si="3"/>
        <v>0</v>
      </c>
      <c r="J22" s="105">
        <f>I12+I17+I20+I25+I29</f>
        <v>0</v>
      </c>
      <c r="K22" s="108">
        <f>J22</f>
        <v>0</v>
      </c>
      <c r="M22" s="25">
        <v>16</v>
      </c>
      <c r="N22" s="32"/>
      <c r="O22" s="32">
        <v>1</v>
      </c>
      <c r="P22" s="32"/>
      <c r="Q22" s="24"/>
      <c r="R22" s="25">
        <f>N22*0</f>
        <v>0</v>
      </c>
      <c r="S22" s="25">
        <f t="shared" si="5"/>
        <v>1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>
        <v>1</v>
      </c>
      <c r="AA22" s="32"/>
      <c r="AB22" s="32"/>
      <c r="AC22" s="24"/>
      <c r="AD22" s="25">
        <f>Z22*0</f>
        <v>0</v>
      </c>
      <c r="AE22" s="25">
        <f t="shared" si="9"/>
        <v>0</v>
      </c>
      <c r="AF22" s="25">
        <f>AB22*2</f>
        <v>0</v>
      </c>
      <c r="AG22" s="25">
        <f t="shared" si="11"/>
        <v>0</v>
      </c>
      <c r="AH22" s="105">
        <f>AG12+AG17+AG20+AG25+AG29</f>
        <v>0</v>
      </c>
      <c r="AI22" s="108">
        <f>AH22</f>
        <v>0</v>
      </c>
    </row>
    <row r="23" spans="1:35" ht="21" customHeight="1">
      <c r="A23" s="25">
        <v>17</v>
      </c>
      <c r="B23" s="32"/>
      <c r="C23" s="32"/>
      <c r="D23" s="32">
        <v>1</v>
      </c>
      <c r="E23" s="24"/>
      <c r="F23" s="25">
        <f>B23*2</f>
        <v>0</v>
      </c>
      <c r="G23" s="25">
        <f t="shared" si="1"/>
        <v>0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/>
      <c r="O23" s="32">
        <v>1</v>
      </c>
      <c r="P23" s="32"/>
      <c r="Q23" s="24"/>
      <c r="R23" s="25">
        <f>N23*2</f>
        <v>0</v>
      </c>
      <c r="S23" s="25">
        <f t="shared" si="5"/>
        <v>1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/>
      <c r="AA23" s="32"/>
      <c r="AB23" s="32">
        <v>1</v>
      </c>
      <c r="AC23" s="24"/>
      <c r="AD23" s="25">
        <f>Z23*2</f>
        <v>0</v>
      </c>
      <c r="AE23" s="25">
        <f t="shared" si="9"/>
        <v>0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/>
      <c r="C24" s="32"/>
      <c r="D24" s="32">
        <v>1</v>
      </c>
      <c r="E24" s="24"/>
      <c r="F24" s="25">
        <f>B24*2</f>
        <v>0</v>
      </c>
      <c r="G24" s="25">
        <f t="shared" si="1"/>
        <v>0</v>
      </c>
      <c r="H24" s="25">
        <f>D24*0</f>
        <v>0</v>
      </c>
      <c r="I24" s="25">
        <f t="shared" si="3"/>
        <v>0</v>
      </c>
      <c r="J24" s="24"/>
      <c r="K24" s="25"/>
      <c r="M24" s="25">
        <v>18</v>
      </c>
      <c r="N24" s="32">
        <v>1</v>
      </c>
      <c r="O24" s="32"/>
      <c r="P24" s="32"/>
      <c r="Q24" s="24"/>
      <c r="R24" s="25">
        <f>N24*2</f>
        <v>2</v>
      </c>
      <c r="S24" s="25">
        <f t="shared" si="5"/>
        <v>0</v>
      </c>
      <c r="T24" s="25">
        <f>P24*0</f>
        <v>0</v>
      </c>
      <c r="U24" s="25">
        <f t="shared" si="7"/>
        <v>2</v>
      </c>
      <c r="V24" s="24"/>
      <c r="W24" s="25"/>
      <c r="Y24" s="25">
        <v>18</v>
      </c>
      <c r="Z24" s="32">
        <v>1</v>
      </c>
      <c r="AA24" s="32"/>
      <c r="AB24" s="32"/>
      <c r="AC24" s="24"/>
      <c r="AD24" s="25">
        <f>Z24*2</f>
        <v>2</v>
      </c>
      <c r="AE24" s="25">
        <f t="shared" si="9"/>
        <v>0</v>
      </c>
      <c r="AF24" s="25">
        <f>AB24*0</f>
        <v>0</v>
      </c>
      <c r="AG24" s="25">
        <f t="shared" si="11"/>
        <v>2</v>
      </c>
      <c r="AH24" s="24"/>
      <c r="AI24" s="25"/>
    </row>
    <row r="25" spans="1:35" ht="21" customHeight="1">
      <c r="A25" s="25">
        <v>19</v>
      </c>
      <c r="B25" s="32"/>
      <c r="C25" s="32">
        <v>1</v>
      </c>
      <c r="D25" s="32"/>
      <c r="E25" s="24"/>
      <c r="F25" s="25">
        <f t="shared" ref="F25:F31" si="18">B25*0</f>
        <v>0</v>
      </c>
      <c r="G25" s="25">
        <f t="shared" si="1"/>
        <v>1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>
        <v>1</v>
      </c>
      <c r="O25" s="32"/>
      <c r="P25" s="32"/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>
        <v>1</v>
      </c>
      <c r="AA25" s="32"/>
      <c r="AB25" s="32"/>
      <c r="AC25" s="24"/>
      <c r="AD25" s="25">
        <f t="shared" ref="AD25:AD31" si="22">Z25*0</f>
        <v>0</v>
      </c>
      <c r="AE25" s="25">
        <f t="shared" si="9"/>
        <v>0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>
        <v>1</v>
      </c>
      <c r="D26" s="32"/>
      <c r="E26" s="24"/>
      <c r="F26" s="25">
        <f t="shared" si="18"/>
        <v>0</v>
      </c>
      <c r="G26" s="25">
        <f t="shared" si="1"/>
        <v>1</v>
      </c>
      <c r="H26" s="25">
        <f t="shared" si="19"/>
        <v>0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>
        <v>1</v>
      </c>
      <c r="P26" s="32"/>
      <c r="Q26" s="24"/>
      <c r="R26" s="25">
        <f t="shared" si="20"/>
        <v>0</v>
      </c>
      <c r="S26" s="25">
        <f t="shared" si="5"/>
        <v>1</v>
      </c>
      <c r="T26" s="25">
        <f t="shared" si="21"/>
        <v>0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/>
      <c r="AB26" s="32">
        <v>1</v>
      </c>
      <c r="AC26" s="24"/>
      <c r="AD26" s="25">
        <f t="shared" si="22"/>
        <v>0</v>
      </c>
      <c r="AE26" s="25">
        <f t="shared" si="9"/>
        <v>0</v>
      </c>
      <c r="AF26" s="25">
        <f t="shared" si="23"/>
        <v>2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/>
      <c r="D27" s="32">
        <v>1</v>
      </c>
      <c r="E27" s="24"/>
      <c r="F27" s="25">
        <f t="shared" si="18"/>
        <v>0</v>
      </c>
      <c r="G27" s="25">
        <f t="shared" si="1"/>
        <v>0</v>
      </c>
      <c r="H27" s="25">
        <f t="shared" si="19"/>
        <v>2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>
        <v>1</v>
      </c>
      <c r="O27" s="32"/>
      <c r="P27" s="32"/>
      <c r="Q27" s="24"/>
      <c r="R27" s="25">
        <f t="shared" si="20"/>
        <v>0</v>
      </c>
      <c r="S27" s="25">
        <f t="shared" si="5"/>
        <v>0</v>
      </c>
      <c r="T27" s="25">
        <f t="shared" si="21"/>
        <v>0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/>
      <c r="AA27" s="32"/>
      <c r="AB27" s="32">
        <v>1</v>
      </c>
      <c r="AC27" s="24"/>
      <c r="AD27" s="25">
        <f t="shared" si="22"/>
        <v>0</v>
      </c>
      <c r="AE27" s="25">
        <f t="shared" si="9"/>
        <v>0</v>
      </c>
      <c r="AF27" s="25">
        <f t="shared" si="23"/>
        <v>2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>
        <v>1</v>
      </c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>
        <v>1</v>
      </c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>
        <v>1</v>
      </c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/>
      <c r="C29" s="32"/>
      <c r="D29" s="32">
        <v>1</v>
      </c>
      <c r="E29" s="24"/>
      <c r="F29" s="25">
        <f t="shared" si="18"/>
        <v>0</v>
      </c>
      <c r="G29" s="25">
        <f t="shared" si="1"/>
        <v>0</v>
      </c>
      <c r="H29" s="25">
        <f t="shared" si="19"/>
        <v>2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>
        <v>1</v>
      </c>
      <c r="P29" s="32"/>
      <c r="Q29" s="24"/>
      <c r="R29" s="25">
        <f t="shared" si="20"/>
        <v>0</v>
      </c>
      <c r="S29" s="25">
        <f t="shared" si="5"/>
        <v>1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/>
      <c r="AA29" s="32">
        <v>1</v>
      </c>
      <c r="AB29" s="32"/>
      <c r="AC29" s="24"/>
      <c r="AD29" s="25">
        <f t="shared" si="22"/>
        <v>0</v>
      </c>
      <c r="AE29" s="25">
        <f t="shared" si="9"/>
        <v>1</v>
      </c>
      <c r="AF29" s="25">
        <f t="shared" si="23"/>
        <v>0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>
        <v>1</v>
      </c>
      <c r="C30" s="32"/>
      <c r="D30" s="32"/>
      <c r="E30" s="24"/>
      <c r="F30" s="25">
        <f t="shared" si="18"/>
        <v>0</v>
      </c>
      <c r="G30" s="25">
        <f t="shared" si="1"/>
        <v>0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/>
      <c r="O30" s="32">
        <v>1</v>
      </c>
      <c r="P30" s="32"/>
      <c r="Q30" s="24"/>
      <c r="R30" s="25">
        <f t="shared" si="20"/>
        <v>0</v>
      </c>
      <c r="S30" s="25">
        <f t="shared" si="5"/>
        <v>1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>
        <v>1</v>
      </c>
      <c r="AA30" s="32"/>
      <c r="AB30" s="32"/>
      <c r="AC30" s="24"/>
      <c r="AD30" s="25">
        <f t="shared" si="22"/>
        <v>0</v>
      </c>
      <c r="AE30" s="25">
        <f t="shared" si="9"/>
        <v>0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>
        <v>1</v>
      </c>
      <c r="C31" s="32"/>
      <c r="D31" s="32"/>
      <c r="E31" s="24"/>
      <c r="F31" s="25">
        <f t="shared" si="18"/>
        <v>0</v>
      </c>
      <c r="G31" s="25">
        <f t="shared" si="1"/>
        <v>0</v>
      </c>
      <c r="H31" s="25">
        <f t="shared" si="19"/>
        <v>0</v>
      </c>
      <c r="I31" s="25">
        <f t="shared" si="3"/>
        <v>0</v>
      </c>
      <c r="J31" s="24"/>
      <c r="K31" s="108">
        <f>K7+K12+K17+K22</f>
        <v>2</v>
      </c>
      <c r="M31" s="25">
        <v>25</v>
      </c>
      <c r="N31" s="32"/>
      <c r="O31" s="32">
        <v>1</v>
      </c>
      <c r="P31" s="32"/>
      <c r="Q31" s="24"/>
      <c r="R31" s="25">
        <f t="shared" si="20"/>
        <v>0</v>
      </c>
      <c r="S31" s="25">
        <f t="shared" si="5"/>
        <v>1</v>
      </c>
      <c r="T31" s="25">
        <f t="shared" si="21"/>
        <v>0</v>
      </c>
      <c r="U31" s="25">
        <f t="shared" si="7"/>
        <v>0</v>
      </c>
      <c r="V31" s="24"/>
      <c r="W31" s="108">
        <f>W7+W12+W17+W22</f>
        <v>2</v>
      </c>
      <c r="Y31" s="25">
        <v>25</v>
      </c>
      <c r="Z31" s="32"/>
      <c r="AA31" s="32"/>
      <c r="AB31" s="32">
        <v>1</v>
      </c>
      <c r="AC31" s="24"/>
      <c r="AD31" s="25">
        <f t="shared" si="22"/>
        <v>0</v>
      </c>
      <c r="AE31" s="25">
        <f t="shared" si="9"/>
        <v>0</v>
      </c>
      <c r="AF31" s="25">
        <f t="shared" si="23"/>
        <v>2</v>
      </c>
      <c r="AG31" s="25">
        <f t="shared" si="11"/>
        <v>0</v>
      </c>
      <c r="AH31" s="24"/>
      <c r="AI31" s="108">
        <f>AI7+AI12+AI17+AI22</f>
        <v>4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7"/>
  </sheetPr>
  <dimension ref="A1:AI41"/>
  <sheetViews>
    <sheetView zoomScale="150" workbookViewId="0">
      <selection activeCell="AI3" sqref="AI3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>
        <f>รายชื่อ!B28</f>
        <v>0</v>
      </c>
      <c r="C3" s="110">
        <f>รายชื่อ!C28</f>
        <v>0</v>
      </c>
      <c r="D3" s="110">
        <f>รายชื่อ!D28</f>
        <v>0</v>
      </c>
      <c r="E3" s="60"/>
      <c r="F3" s="103"/>
      <c r="G3" s="165"/>
      <c r="H3" s="165"/>
      <c r="I3" s="165"/>
      <c r="J3" s="25"/>
      <c r="K3" s="106" t="s">
        <v>54</v>
      </c>
      <c r="M3" s="25" t="s">
        <v>85</v>
      </c>
      <c r="N3" s="110">
        <f>รายชื่อ!B28</f>
        <v>0</v>
      </c>
      <c r="O3" s="110">
        <f>รายชื่อ!C28</f>
        <v>0</v>
      </c>
      <c r="P3" s="110">
        <f>รายชื่อ!D28</f>
        <v>0</v>
      </c>
      <c r="Q3" s="60"/>
      <c r="R3" s="103"/>
      <c r="S3" s="165"/>
      <c r="T3" s="165"/>
      <c r="U3" s="165"/>
      <c r="V3" s="25"/>
      <c r="W3" s="106" t="s">
        <v>54</v>
      </c>
      <c r="Y3" s="25" t="s">
        <v>85</v>
      </c>
      <c r="Z3" s="110">
        <f>รายชื่อ!B28</f>
        <v>0</v>
      </c>
      <c r="AA3" s="110">
        <f>รายชื่อ!C28</f>
        <v>0</v>
      </c>
      <c r="AB3" s="110">
        <f>รายชื่อ!D28</f>
        <v>0</v>
      </c>
      <c r="AC3" s="60"/>
      <c r="AD3" s="103"/>
      <c r="AE3" s="165"/>
      <c r="AF3" s="165"/>
      <c r="AG3" s="165"/>
      <c r="AH3" s="25"/>
      <c r="AI3" s="106" t="s">
        <v>54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/>
      <c r="C7" s="32"/>
      <c r="D7" s="32"/>
      <c r="E7" s="24"/>
      <c r="F7" s="25">
        <f t="shared" ref="F7:F12" si="0">B7*0</f>
        <v>0</v>
      </c>
      <c r="G7" s="25">
        <f t="shared" ref="G7:G31" si="1">C7*1</f>
        <v>0</v>
      </c>
      <c r="H7" s="25">
        <f t="shared" ref="H7:H12" si="2">D7*2</f>
        <v>0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/>
      <c r="O7" s="32"/>
      <c r="P7" s="32"/>
      <c r="Q7" s="24"/>
      <c r="R7" s="25">
        <f t="shared" ref="R7:R12" si="4">N7*0</f>
        <v>0</v>
      </c>
      <c r="S7" s="25">
        <f t="shared" ref="S7:S31" si="5">O7*1</f>
        <v>0</v>
      </c>
      <c r="T7" s="25">
        <f t="shared" ref="T7:T12" si="6">P7*2</f>
        <v>0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/>
      <c r="AB7" s="32"/>
      <c r="AC7" s="24"/>
      <c r="AD7" s="25">
        <f t="shared" ref="AD7:AD12" si="8">Z7*0</f>
        <v>0</v>
      </c>
      <c r="AE7" s="25">
        <f t="shared" ref="AE7:AE31" si="9">AA7*1</f>
        <v>0</v>
      </c>
      <c r="AF7" s="25">
        <f t="shared" ref="AF7:AF12" si="10">AB7*2</f>
        <v>0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/>
      <c r="C8" s="32"/>
      <c r="D8" s="32"/>
      <c r="E8" s="24"/>
      <c r="F8" s="25">
        <f t="shared" si="0"/>
        <v>0</v>
      </c>
      <c r="G8" s="25">
        <f t="shared" si="1"/>
        <v>0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/>
      <c r="O8" s="32"/>
      <c r="P8" s="32"/>
      <c r="Q8" s="24"/>
      <c r="R8" s="25">
        <f t="shared" si="4"/>
        <v>0</v>
      </c>
      <c r="S8" s="25">
        <f t="shared" si="5"/>
        <v>0</v>
      </c>
      <c r="T8" s="25">
        <f t="shared" si="6"/>
        <v>0</v>
      </c>
      <c r="U8" s="25">
        <f t="shared" si="7"/>
        <v>0</v>
      </c>
      <c r="V8" s="24"/>
      <c r="W8" s="25"/>
      <c r="Y8" s="25">
        <v>2</v>
      </c>
      <c r="Z8" s="32"/>
      <c r="AA8" s="32"/>
      <c r="AB8" s="32"/>
      <c r="AC8" s="24"/>
      <c r="AD8" s="25">
        <f t="shared" si="8"/>
        <v>0</v>
      </c>
      <c r="AE8" s="25">
        <f t="shared" si="9"/>
        <v>0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/>
      <c r="C9" s="32"/>
      <c r="D9" s="32"/>
      <c r="E9" s="24"/>
      <c r="F9" s="25">
        <f t="shared" si="0"/>
        <v>0</v>
      </c>
      <c r="G9" s="25">
        <f t="shared" si="1"/>
        <v>0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/>
      <c r="O9" s="32"/>
      <c r="P9" s="32"/>
      <c r="Q9" s="24"/>
      <c r="R9" s="25">
        <f t="shared" si="4"/>
        <v>0</v>
      </c>
      <c r="S9" s="25">
        <f t="shared" si="5"/>
        <v>0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/>
      <c r="AA9" s="32"/>
      <c r="AB9" s="32"/>
      <c r="AC9" s="24"/>
      <c r="AD9" s="25">
        <f t="shared" si="8"/>
        <v>0</v>
      </c>
      <c r="AE9" s="25">
        <f t="shared" si="9"/>
        <v>0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/>
      <c r="D10" s="32"/>
      <c r="E10" s="24"/>
      <c r="F10" s="25">
        <f t="shared" si="0"/>
        <v>0</v>
      </c>
      <c r="G10" s="25">
        <f t="shared" si="1"/>
        <v>0</v>
      </c>
      <c r="H10" s="25">
        <f t="shared" si="2"/>
        <v>0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/>
      <c r="P10" s="32"/>
      <c r="Q10" s="24"/>
      <c r="R10" s="25">
        <f t="shared" si="4"/>
        <v>0</v>
      </c>
      <c r="S10" s="25">
        <f t="shared" si="5"/>
        <v>0</v>
      </c>
      <c r="T10" s="25">
        <f t="shared" si="6"/>
        <v>0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/>
      <c r="AB10" s="32"/>
      <c r="AC10" s="24"/>
      <c r="AD10" s="25">
        <f t="shared" si="8"/>
        <v>0</v>
      </c>
      <c r="AE10" s="25">
        <f t="shared" si="9"/>
        <v>0</v>
      </c>
      <c r="AF10" s="25">
        <f t="shared" si="10"/>
        <v>0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/>
      <c r="C11" s="32"/>
      <c r="D11" s="32"/>
      <c r="E11" s="24"/>
      <c r="F11" s="25">
        <f t="shared" si="0"/>
        <v>0</v>
      </c>
      <c r="G11" s="25">
        <f t="shared" si="1"/>
        <v>0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/>
      <c r="O11" s="32"/>
      <c r="P11" s="32"/>
      <c r="Q11" s="24"/>
      <c r="R11" s="25">
        <f t="shared" si="4"/>
        <v>0</v>
      </c>
      <c r="S11" s="25">
        <f t="shared" si="5"/>
        <v>0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/>
      <c r="AA11" s="32"/>
      <c r="AB11" s="32"/>
      <c r="AC11" s="24"/>
      <c r="AD11" s="25">
        <f t="shared" si="8"/>
        <v>0</v>
      </c>
      <c r="AE11" s="25">
        <f t="shared" si="9"/>
        <v>0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/>
      <c r="C12" s="32"/>
      <c r="D12" s="32"/>
      <c r="E12" s="24"/>
      <c r="F12" s="25">
        <f t="shared" si="0"/>
        <v>0</v>
      </c>
      <c r="G12" s="25">
        <f t="shared" si="1"/>
        <v>0</v>
      </c>
      <c r="H12" s="25">
        <f t="shared" si="2"/>
        <v>0</v>
      </c>
      <c r="I12" s="25">
        <f t="shared" si="3"/>
        <v>0</v>
      </c>
      <c r="J12" s="105">
        <f>I11+I13+I18+I24+I28</f>
        <v>0</v>
      </c>
      <c r="K12" s="108">
        <f>J12</f>
        <v>0</v>
      </c>
      <c r="M12" s="25">
        <v>6</v>
      </c>
      <c r="N12" s="32"/>
      <c r="O12" s="32"/>
      <c r="P12" s="32"/>
      <c r="Q12" s="24"/>
      <c r="R12" s="25">
        <f t="shared" si="4"/>
        <v>0</v>
      </c>
      <c r="S12" s="25">
        <f t="shared" si="5"/>
        <v>0</v>
      </c>
      <c r="T12" s="25">
        <f t="shared" si="6"/>
        <v>0</v>
      </c>
      <c r="U12" s="25">
        <f t="shared" si="7"/>
        <v>0</v>
      </c>
      <c r="V12" s="105">
        <f>U11+U13+U18+U24+U28</f>
        <v>0</v>
      </c>
      <c r="W12" s="108">
        <f>V12</f>
        <v>0</v>
      </c>
      <c r="Y12" s="25">
        <v>6</v>
      </c>
      <c r="Z12" s="32"/>
      <c r="AA12" s="32"/>
      <c r="AB12" s="32"/>
      <c r="AC12" s="24"/>
      <c r="AD12" s="25">
        <f t="shared" si="8"/>
        <v>0</v>
      </c>
      <c r="AE12" s="25">
        <f t="shared" si="9"/>
        <v>0</v>
      </c>
      <c r="AF12" s="25">
        <f t="shared" si="10"/>
        <v>0</v>
      </c>
      <c r="AG12" s="25">
        <f t="shared" si="11"/>
        <v>0</v>
      </c>
      <c r="AH12" s="105">
        <f>AG11+AG13+AG18+AG24+AG28</f>
        <v>0</v>
      </c>
      <c r="AI12" s="108">
        <f>AH12</f>
        <v>0</v>
      </c>
    </row>
    <row r="13" spans="1:35" ht="21" customHeight="1">
      <c r="A13" s="25">
        <v>7</v>
      </c>
      <c r="B13" s="32"/>
      <c r="C13" s="32"/>
      <c r="D13" s="32"/>
      <c r="E13" s="24"/>
      <c r="F13" s="25">
        <f>B13*2</f>
        <v>0</v>
      </c>
      <c r="G13" s="25">
        <f t="shared" si="1"/>
        <v>0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/>
      <c r="P13" s="32"/>
      <c r="Q13" s="24"/>
      <c r="R13" s="25">
        <f>N13*2</f>
        <v>0</v>
      </c>
      <c r="S13" s="25">
        <f t="shared" si="5"/>
        <v>0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/>
      <c r="AA13" s="32"/>
      <c r="AB13" s="32"/>
      <c r="AC13" s="24"/>
      <c r="AD13" s="25">
        <f>Z13*2</f>
        <v>0</v>
      </c>
      <c r="AE13" s="25">
        <f t="shared" si="9"/>
        <v>0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/>
      <c r="C14" s="32"/>
      <c r="D14" s="32"/>
      <c r="E14" s="24"/>
      <c r="F14" s="25">
        <f t="shared" ref="F14:F19" si="12">B14*0</f>
        <v>0</v>
      </c>
      <c r="G14" s="25">
        <f t="shared" si="1"/>
        <v>0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/>
      <c r="O14" s="32"/>
      <c r="P14" s="32"/>
      <c r="Q14" s="24"/>
      <c r="R14" s="25">
        <f t="shared" ref="R14:R19" si="14">N14*0</f>
        <v>0</v>
      </c>
      <c r="S14" s="25">
        <f t="shared" si="5"/>
        <v>0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/>
      <c r="AA14" s="32"/>
      <c r="AB14" s="32"/>
      <c r="AC14" s="24"/>
      <c r="AD14" s="25">
        <f t="shared" ref="AD14:AD19" si="16">Z14*0</f>
        <v>0</v>
      </c>
      <c r="AE14" s="25">
        <f t="shared" si="9"/>
        <v>0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/>
      <c r="D15" s="32"/>
      <c r="E15" s="24"/>
      <c r="F15" s="25">
        <f t="shared" si="12"/>
        <v>0</v>
      </c>
      <c r="G15" s="25">
        <f t="shared" si="1"/>
        <v>0</v>
      </c>
      <c r="H15" s="25">
        <f t="shared" si="13"/>
        <v>0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/>
      <c r="P15" s="32"/>
      <c r="Q15" s="24"/>
      <c r="R15" s="25">
        <f t="shared" si="14"/>
        <v>0</v>
      </c>
      <c r="S15" s="25">
        <f t="shared" si="5"/>
        <v>0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/>
      <c r="AA15" s="32"/>
      <c r="AB15" s="32"/>
      <c r="AC15" s="24"/>
      <c r="AD15" s="25">
        <f t="shared" si="16"/>
        <v>0</v>
      </c>
      <c r="AE15" s="25">
        <f t="shared" si="9"/>
        <v>0</v>
      </c>
      <c r="AF15" s="25">
        <f t="shared" si="17"/>
        <v>0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/>
      <c r="C16" s="32"/>
      <c r="D16" s="32"/>
      <c r="E16" s="24"/>
      <c r="F16" s="25">
        <f t="shared" si="12"/>
        <v>0</v>
      </c>
      <c r="G16" s="25">
        <f t="shared" si="1"/>
        <v>0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/>
      <c r="O16" s="32"/>
      <c r="P16" s="32"/>
      <c r="Q16" s="24"/>
      <c r="R16" s="25">
        <f t="shared" si="14"/>
        <v>0</v>
      </c>
      <c r="S16" s="25">
        <f t="shared" si="5"/>
        <v>0</v>
      </c>
      <c r="T16" s="25">
        <f t="shared" si="15"/>
        <v>0</v>
      </c>
      <c r="U16" s="25">
        <f t="shared" si="7"/>
        <v>0</v>
      </c>
      <c r="V16" s="24"/>
      <c r="W16" s="107" t="s">
        <v>99</v>
      </c>
      <c r="Y16" s="25">
        <v>10</v>
      </c>
      <c r="Z16" s="32"/>
      <c r="AA16" s="32"/>
      <c r="AB16" s="32"/>
      <c r="AC16" s="24"/>
      <c r="AD16" s="25">
        <f t="shared" si="16"/>
        <v>0</v>
      </c>
      <c r="AE16" s="25">
        <f t="shared" si="9"/>
        <v>0</v>
      </c>
      <c r="AF16" s="25">
        <f t="shared" si="17"/>
        <v>0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/>
      <c r="D17" s="32"/>
      <c r="E17" s="24"/>
      <c r="F17" s="25">
        <f t="shared" si="12"/>
        <v>0</v>
      </c>
      <c r="G17" s="25">
        <f t="shared" si="1"/>
        <v>0</v>
      </c>
      <c r="H17" s="25">
        <f t="shared" si="13"/>
        <v>0</v>
      </c>
      <c r="I17" s="25">
        <f t="shared" si="3"/>
        <v>0</v>
      </c>
      <c r="J17" s="105">
        <f>I8+I16+I21+I27+I31</f>
        <v>0</v>
      </c>
      <c r="K17" s="108">
        <f>J17</f>
        <v>0</v>
      </c>
      <c r="M17" s="25">
        <v>11</v>
      </c>
      <c r="N17" s="32"/>
      <c r="O17" s="32"/>
      <c r="P17" s="32"/>
      <c r="Q17" s="24"/>
      <c r="R17" s="25">
        <f t="shared" si="14"/>
        <v>0</v>
      </c>
      <c r="S17" s="25">
        <f t="shared" si="5"/>
        <v>0</v>
      </c>
      <c r="T17" s="25">
        <f t="shared" si="15"/>
        <v>0</v>
      </c>
      <c r="U17" s="25">
        <f t="shared" si="7"/>
        <v>0</v>
      </c>
      <c r="V17" s="105">
        <f>U8+U16+U21+U27+U31</f>
        <v>0</v>
      </c>
      <c r="W17" s="108">
        <f>V17</f>
        <v>0</v>
      </c>
      <c r="Y17" s="25">
        <v>11</v>
      </c>
      <c r="Z17" s="32"/>
      <c r="AA17" s="32"/>
      <c r="AB17" s="32"/>
      <c r="AC17" s="24"/>
      <c r="AD17" s="25">
        <f t="shared" si="16"/>
        <v>0</v>
      </c>
      <c r="AE17" s="25">
        <f t="shared" si="9"/>
        <v>0</v>
      </c>
      <c r="AF17" s="25">
        <f t="shared" si="17"/>
        <v>0</v>
      </c>
      <c r="AG17" s="25">
        <f t="shared" si="11"/>
        <v>0</v>
      </c>
      <c r="AH17" s="105">
        <f>AG8+AG16+AG21+AG27+AG31</f>
        <v>0</v>
      </c>
      <c r="AI17" s="108">
        <f>AH17</f>
        <v>0</v>
      </c>
    </row>
    <row r="18" spans="1:35" ht="21" customHeight="1">
      <c r="A18" s="25">
        <v>12</v>
      </c>
      <c r="B18" s="32"/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/>
      <c r="O18" s="32"/>
      <c r="P18" s="32"/>
      <c r="Q18" s="24"/>
      <c r="R18" s="25">
        <f t="shared" si="14"/>
        <v>0</v>
      </c>
      <c r="S18" s="25">
        <f t="shared" si="5"/>
        <v>0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/>
      <c r="AA18" s="32"/>
      <c r="AB18" s="32"/>
      <c r="AC18" s="24"/>
      <c r="AD18" s="25">
        <f t="shared" si="16"/>
        <v>0</v>
      </c>
      <c r="AE18" s="25">
        <f t="shared" si="9"/>
        <v>0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/>
      <c r="C19" s="32"/>
      <c r="D19" s="32"/>
      <c r="E19" s="24"/>
      <c r="F19" s="25">
        <f t="shared" si="12"/>
        <v>0</v>
      </c>
      <c r="G19" s="25">
        <f t="shared" si="1"/>
        <v>0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/>
      <c r="O19" s="32"/>
      <c r="P19" s="32"/>
      <c r="Q19" s="24"/>
      <c r="R19" s="25">
        <f t="shared" si="14"/>
        <v>0</v>
      </c>
      <c r="S19" s="25">
        <f t="shared" si="5"/>
        <v>0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/>
      <c r="AA19" s="32"/>
      <c r="AB19" s="32"/>
      <c r="AC19" s="24"/>
      <c r="AD19" s="25">
        <f t="shared" si="16"/>
        <v>0</v>
      </c>
      <c r="AE19" s="25">
        <f t="shared" si="9"/>
        <v>0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/>
      <c r="C20" s="32"/>
      <c r="D20" s="32"/>
      <c r="E20" s="24"/>
      <c r="F20" s="25">
        <f>B20*2</f>
        <v>0</v>
      </c>
      <c r="G20" s="25">
        <f t="shared" si="1"/>
        <v>0</v>
      </c>
      <c r="H20" s="25">
        <f>D20*0</f>
        <v>0</v>
      </c>
      <c r="I20" s="25">
        <f t="shared" si="3"/>
        <v>0</v>
      </c>
      <c r="J20" s="24"/>
      <c r="K20" s="107" t="s">
        <v>100</v>
      </c>
      <c r="M20" s="25">
        <v>14</v>
      </c>
      <c r="N20" s="32"/>
      <c r="O20" s="32"/>
      <c r="P20" s="32"/>
      <c r="Q20" s="24"/>
      <c r="R20" s="25">
        <f>N20*2</f>
        <v>0</v>
      </c>
      <c r="S20" s="25">
        <f t="shared" si="5"/>
        <v>0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/>
      <c r="AA20" s="32"/>
      <c r="AB20" s="32"/>
      <c r="AC20" s="24"/>
      <c r="AD20" s="25">
        <f>Z20*2</f>
        <v>0</v>
      </c>
      <c r="AE20" s="25">
        <f t="shared" si="9"/>
        <v>0</v>
      </c>
      <c r="AF20" s="25">
        <f>AB20*0</f>
        <v>0</v>
      </c>
      <c r="AG20" s="25">
        <f t="shared" si="11"/>
        <v>0</v>
      </c>
      <c r="AH20" s="24"/>
      <c r="AI20" s="107" t="s">
        <v>100</v>
      </c>
    </row>
    <row r="21" spans="1:35" ht="21" customHeight="1">
      <c r="A21" s="25">
        <v>15</v>
      </c>
      <c r="B21" s="32"/>
      <c r="C21" s="32"/>
      <c r="D21" s="32"/>
      <c r="E21" s="24"/>
      <c r="F21" s="25">
        <f>B21*2</f>
        <v>0</v>
      </c>
      <c r="G21" s="25">
        <f t="shared" si="1"/>
        <v>0</v>
      </c>
      <c r="H21" s="25">
        <f>D21*0</f>
        <v>0</v>
      </c>
      <c r="I21" s="25">
        <f t="shared" si="3"/>
        <v>0</v>
      </c>
      <c r="J21" s="24"/>
      <c r="K21" s="107" t="s">
        <v>101</v>
      </c>
      <c r="M21" s="25">
        <v>15</v>
      </c>
      <c r="N21" s="32"/>
      <c r="O21" s="32"/>
      <c r="P21" s="32"/>
      <c r="Q21" s="24"/>
      <c r="R21" s="25">
        <f>N21*2</f>
        <v>0</v>
      </c>
      <c r="S21" s="25">
        <f t="shared" si="5"/>
        <v>0</v>
      </c>
      <c r="T21" s="25">
        <f>P21*0</f>
        <v>0</v>
      </c>
      <c r="U21" s="25">
        <f t="shared" si="7"/>
        <v>0</v>
      </c>
      <c r="V21" s="24"/>
      <c r="W21" s="107" t="s">
        <v>101</v>
      </c>
      <c r="Y21" s="25">
        <v>15</v>
      </c>
      <c r="Z21" s="32"/>
      <c r="AA21" s="32"/>
      <c r="AB21" s="32"/>
      <c r="AC21" s="24"/>
      <c r="AD21" s="25">
        <f>Z21*2</f>
        <v>0</v>
      </c>
      <c r="AE21" s="25">
        <f t="shared" si="9"/>
        <v>0</v>
      </c>
      <c r="AF21" s="25">
        <f>AB21*0</f>
        <v>0</v>
      </c>
      <c r="AG21" s="25">
        <f t="shared" si="11"/>
        <v>0</v>
      </c>
      <c r="AH21" s="24"/>
      <c r="AI21" s="107" t="s">
        <v>101</v>
      </c>
    </row>
    <row r="22" spans="1:35" ht="21" customHeight="1">
      <c r="A22" s="25">
        <v>16</v>
      </c>
      <c r="B22" s="32"/>
      <c r="C22" s="32"/>
      <c r="D22" s="32"/>
      <c r="E22" s="24"/>
      <c r="F22" s="25">
        <f>B22*0</f>
        <v>0</v>
      </c>
      <c r="G22" s="25">
        <f t="shared" si="1"/>
        <v>0</v>
      </c>
      <c r="H22" s="25">
        <f>D22*2</f>
        <v>0</v>
      </c>
      <c r="I22" s="25">
        <f t="shared" si="3"/>
        <v>0</v>
      </c>
      <c r="J22" s="105">
        <f>I12+I17+I20+I25+I29</f>
        <v>0</v>
      </c>
      <c r="K22" s="108">
        <f>J22</f>
        <v>0</v>
      </c>
      <c r="M22" s="25">
        <v>16</v>
      </c>
      <c r="N22" s="32"/>
      <c r="O22" s="32"/>
      <c r="P22" s="32"/>
      <c r="Q22" s="24"/>
      <c r="R22" s="25">
        <f>N22*0</f>
        <v>0</v>
      </c>
      <c r="S22" s="25">
        <f t="shared" si="5"/>
        <v>0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/>
      <c r="AA22" s="32"/>
      <c r="AB22" s="32"/>
      <c r="AC22" s="24"/>
      <c r="AD22" s="25">
        <f>Z22*0</f>
        <v>0</v>
      </c>
      <c r="AE22" s="25">
        <f t="shared" si="9"/>
        <v>0</v>
      </c>
      <c r="AF22" s="25">
        <f>AB22*2</f>
        <v>0</v>
      </c>
      <c r="AG22" s="25">
        <f t="shared" si="11"/>
        <v>0</v>
      </c>
      <c r="AH22" s="105">
        <f>AG12+AG17+AG20+AG25+AG29</f>
        <v>0</v>
      </c>
      <c r="AI22" s="108">
        <f>AH22</f>
        <v>0</v>
      </c>
    </row>
    <row r="23" spans="1:35" ht="21" customHeight="1">
      <c r="A23" s="25">
        <v>17</v>
      </c>
      <c r="B23" s="32"/>
      <c r="C23" s="32"/>
      <c r="D23" s="32"/>
      <c r="E23" s="24"/>
      <c r="F23" s="25">
        <f>B23*2</f>
        <v>0</v>
      </c>
      <c r="G23" s="25">
        <f t="shared" si="1"/>
        <v>0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/>
      <c r="O23" s="32"/>
      <c r="P23" s="32"/>
      <c r="Q23" s="24"/>
      <c r="R23" s="25">
        <f>N23*2</f>
        <v>0</v>
      </c>
      <c r="S23" s="25">
        <f t="shared" si="5"/>
        <v>0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/>
      <c r="AA23" s="32"/>
      <c r="AB23" s="32"/>
      <c r="AC23" s="24"/>
      <c r="AD23" s="25">
        <f>Z23*2</f>
        <v>0</v>
      </c>
      <c r="AE23" s="25">
        <f t="shared" si="9"/>
        <v>0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/>
      <c r="C24" s="32"/>
      <c r="D24" s="32"/>
      <c r="E24" s="24"/>
      <c r="F24" s="25">
        <f>B24*2</f>
        <v>0</v>
      </c>
      <c r="G24" s="25">
        <f t="shared" si="1"/>
        <v>0</v>
      </c>
      <c r="H24" s="25">
        <f>D24*0</f>
        <v>0</v>
      </c>
      <c r="I24" s="25">
        <f t="shared" si="3"/>
        <v>0</v>
      </c>
      <c r="J24" s="24"/>
      <c r="K24" s="25"/>
      <c r="M24" s="25">
        <v>18</v>
      </c>
      <c r="N24" s="32"/>
      <c r="O24" s="32"/>
      <c r="P24" s="32"/>
      <c r="Q24" s="24"/>
      <c r="R24" s="25">
        <f>N24*2</f>
        <v>0</v>
      </c>
      <c r="S24" s="25">
        <f t="shared" si="5"/>
        <v>0</v>
      </c>
      <c r="T24" s="25">
        <f>P24*0</f>
        <v>0</v>
      </c>
      <c r="U24" s="25">
        <f t="shared" si="7"/>
        <v>0</v>
      </c>
      <c r="V24" s="24"/>
      <c r="W24" s="25"/>
      <c r="Y24" s="25">
        <v>18</v>
      </c>
      <c r="Z24" s="32"/>
      <c r="AA24" s="32"/>
      <c r="AB24" s="32"/>
      <c r="AC24" s="24"/>
      <c r="AD24" s="25">
        <f>Z24*2</f>
        <v>0</v>
      </c>
      <c r="AE24" s="25">
        <f t="shared" si="9"/>
        <v>0</v>
      </c>
      <c r="AF24" s="25">
        <f>AB24*0</f>
        <v>0</v>
      </c>
      <c r="AG24" s="25">
        <f t="shared" si="11"/>
        <v>0</v>
      </c>
      <c r="AH24" s="24"/>
      <c r="AI24" s="25"/>
    </row>
    <row r="25" spans="1:35" ht="21" customHeight="1">
      <c r="A25" s="25">
        <v>19</v>
      </c>
      <c r="B25" s="32"/>
      <c r="C25" s="32"/>
      <c r="D25" s="32"/>
      <c r="E25" s="24"/>
      <c r="F25" s="25">
        <f t="shared" ref="F25:F31" si="18">B25*0</f>
        <v>0</v>
      </c>
      <c r="G25" s="25">
        <f t="shared" si="1"/>
        <v>0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/>
      <c r="O25" s="32"/>
      <c r="P25" s="32"/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/>
      <c r="AA25" s="32"/>
      <c r="AB25" s="32"/>
      <c r="AC25" s="24"/>
      <c r="AD25" s="25">
        <f t="shared" ref="AD25:AD31" si="22">Z25*0</f>
        <v>0</v>
      </c>
      <c r="AE25" s="25">
        <f t="shared" si="9"/>
        <v>0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/>
      <c r="D26" s="32"/>
      <c r="E26" s="24"/>
      <c r="F26" s="25">
        <f t="shared" si="18"/>
        <v>0</v>
      </c>
      <c r="G26" s="25">
        <f t="shared" si="1"/>
        <v>0</v>
      </c>
      <c r="H26" s="25">
        <f t="shared" si="19"/>
        <v>0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/>
      <c r="P26" s="32"/>
      <c r="Q26" s="24"/>
      <c r="R26" s="25">
        <f t="shared" si="20"/>
        <v>0</v>
      </c>
      <c r="S26" s="25">
        <f t="shared" si="5"/>
        <v>0</v>
      </c>
      <c r="T26" s="25">
        <f t="shared" si="21"/>
        <v>0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/>
      <c r="AB26" s="32"/>
      <c r="AC26" s="24"/>
      <c r="AD26" s="25">
        <f t="shared" si="22"/>
        <v>0</v>
      </c>
      <c r="AE26" s="25">
        <f t="shared" si="9"/>
        <v>0</v>
      </c>
      <c r="AF26" s="25">
        <f t="shared" si="23"/>
        <v>0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/>
      <c r="D27" s="32"/>
      <c r="E27" s="24"/>
      <c r="F27" s="25">
        <f t="shared" si="18"/>
        <v>0</v>
      </c>
      <c r="G27" s="25">
        <f t="shared" si="1"/>
        <v>0</v>
      </c>
      <c r="H27" s="25">
        <f t="shared" si="19"/>
        <v>0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/>
      <c r="O27" s="32"/>
      <c r="P27" s="32"/>
      <c r="Q27" s="24"/>
      <c r="R27" s="25">
        <f t="shared" si="20"/>
        <v>0</v>
      </c>
      <c r="S27" s="25">
        <f t="shared" si="5"/>
        <v>0</v>
      </c>
      <c r="T27" s="25">
        <f t="shared" si="21"/>
        <v>0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/>
      <c r="AA27" s="32"/>
      <c r="AB27" s="32"/>
      <c r="AC27" s="24"/>
      <c r="AD27" s="25">
        <f t="shared" si="22"/>
        <v>0</v>
      </c>
      <c r="AE27" s="25">
        <f t="shared" si="9"/>
        <v>0</v>
      </c>
      <c r="AF27" s="25">
        <f t="shared" si="23"/>
        <v>0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/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/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/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/>
      <c r="C29" s="32"/>
      <c r="D29" s="32"/>
      <c r="E29" s="24"/>
      <c r="F29" s="25">
        <f t="shared" si="18"/>
        <v>0</v>
      </c>
      <c r="G29" s="25">
        <f t="shared" si="1"/>
        <v>0</v>
      </c>
      <c r="H29" s="25">
        <f t="shared" si="19"/>
        <v>0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/>
      <c r="P29" s="32"/>
      <c r="Q29" s="24"/>
      <c r="R29" s="25">
        <f t="shared" si="20"/>
        <v>0</v>
      </c>
      <c r="S29" s="25">
        <f t="shared" si="5"/>
        <v>0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/>
      <c r="AA29" s="32"/>
      <c r="AB29" s="32"/>
      <c r="AC29" s="24"/>
      <c r="AD29" s="25">
        <f t="shared" si="22"/>
        <v>0</v>
      </c>
      <c r="AE29" s="25">
        <f t="shared" si="9"/>
        <v>0</v>
      </c>
      <c r="AF29" s="25">
        <f t="shared" si="23"/>
        <v>0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/>
      <c r="C30" s="32"/>
      <c r="D30" s="32"/>
      <c r="E30" s="24"/>
      <c r="F30" s="25">
        <f t="shared" si="18"/>
        <v>0</v>
      </c>
      <c r="G30" s="25">
        <f t="shared" si="1"/>
        <v>0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/>
      <c r="O30" s="32"/>
      <c r="P30" s="32"/>
      <c r="Q30" s="24"/>
      <c r="R30" s="25">
        <f t="shared" si="20"/>
        <v>0</v>
      </c>
      <c r="S30" s="25">
        <f t="shared" si="5"/>
        <v>0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/>
      <c r="AA30" s="32"/>
      <c r="AB30" s="32"/>
      <c r="AC30" s="24"/>
      <c r="AD30" s="25">
        <f t="shared" si="22"/>
        <v>0</v>
      </c>
      <c r="AE30" s="25">
        <f t="shared" si="9"/>
        <v>0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/>
      <c r="D31" s="32"/>
      <c r="E31" s="24"/>
      <c r="F31" s="25">
        <f t="shared" si="18"/>
        <v>0</v>
      </c>
      <c r="G31" s="25">
        <f t="shared" si="1"/>
        <v>0</v>
      </c>
      <c r="H31" s="25">
        <f t="shared" si="19"/>
        <v>0</v>
      </c>
      <c r="I31" s="25">
        <f t="shared" si="3"/>
        <v>0</v>
      </c>
      <c r="J31" s="24"/>
      <c r="K31" s="108">
        <f>K7+K12+K17+K22</f>
        <v>0</v>
      </c>
      <c r="M31" s="25">
        <v>25</v>
      </c>
      <c r="N31" s="32"/>
      <c r="O31" s="32"/>
      <c r="P31" s="32"/>
      <c r="Q31" s="24"/>
      <c r="R31" s="25">
        <f t="shared" si="20"/>
        <v>0</v>
      </c>
      <c r="S31" s="25">
        <f t="shared" si="5"/>
        <v>0</v>
      </c>
      <c r="T31" s="25">
        <f t="shared" si="21"/>
        <v>0</v>
      </c>
      <c r="U31" s="25">
        <f t="shared" si="7"/>
        <v>0</v>
      </c>
      <c r="V31" s="24"/>
      <c r="W31" s="108">
        <f>W7+W12+W17+W22</f>
        <v>0</v>
      </c>
      <c r="Y31" s="25">
        <v>25</v>
      </c>
      <c r="Z31" s="32"/>
      <c r="AA31" s="32"/>
      <c r="AB31" s="32"/>
      <c r="AC31" s="24"/>
      <c r="AD31" s="25">
        <f t="shared" si="22"/>
        <v>0</v>
      </c>
      <c r="AE31" s="25">
        <f t="shared" si="9"/>
        <v>0</v>
      </c>
      <c r="AF31" s="25">
        <f t="shared" si="23"/>
        <v>0</v>
      </c>
      <c r="AG31" s="25">
        <f t="shared" si="11"/>
        <v>0</v>
      </c>
      <c r="AH31" s="24"/>
      <c r="AI31" s="108">
        <f>AI7+AI12+AI17+AI22</f>
        <v>0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7"/>
  </sheetPr>
  <dimension ref="A1:AI41"/>
  <sheetViews>
    <sheetView zoomScale="150" workbookViewId="0">
      <selection activeCell="AI3" sqref="AI3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>
        <f>รายชื่อ!B29</f>
        <v>0</v>
      </c>
      <c r="C3" s="110">
        <f>รายชื่อ!C29</f>
        <v>0</v>
      </c>
      <c r="D3" s="110">
        <f>รายชื่อ!D29</f>
        <v>0</v>
      </c>
      <c r="E3" s="60"/>
      <c r="F3" s="103"/>
      <c r="G3" s="165"/>
      <c r="H3" s="165"/>
      <c r="I3" s="165"/>
      <c r="J3" s="25"/>
      <c r="K3" s="106" t="s">
        <v>55</v>
      </c>
      <c r="M3" s="25" t="s">
        <v>85</v>
      </c>
      <c r="N3" s="110">
        <f>รายชื่อ!B29</f>
        <v>0</v>
      </c>
      <c r="O3" s="110">
        <f>รายชื่อ!C29</f>
        <v>0</v>
      </c>
      <c r="P3" s="110">
        <f>รายชื่อ!D29</f>
        <v>0</v>
      </c>
      <c r="Q3" s="60"/>
      <c r="R3" s="103"/>
      <c r="S3" s="165"/>
      <c r="T3" s="165"/>
      <c r="U3" s="165"/>
      <c r="V3" s="25"/>
      <c r="W3" s="106" t="s">
        <v>55</v>
      </c>
      <c r="Y3" s="25" t="s">
        <v>85</v>
      </c>
      <c r="Z3" s="110">
        <f>รายชื่อ!B29</f>
        <v>0</v>
      </c>
      <c r="AA3" s="110">
        <f>รายชื่อ!C29</f>
        <v>0</v>
      </c>
      <c r="AB3" s="110">
        <f>รายชื่อ!D29</f>
        <v>0</v>
      </c>
      <c r="AC3" s="60"/>
      <c r="AD3" s="103"/>
      <c r="AE3" s="165"/>
      <c r="AF3" s="165"/>
      <c r="AG3" s="165"/>
      <c r="AH3" s="25"/>
      <c r="AI3" s="106" t="s">
        <v>55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/>
      <c r="C7" s="32"/>
      <c r="D7" s="32"/>
      <c r="E7" s="24"/>
      <c r="F7" s="25">
        <f t="shared" ref="F7:F12" si="0">B7*0</f>
        <v>0</v>
      </c>
      <c r="G7" s="25">
        <f t="shared" ref="G7:G31" si="1">C7*1</f>
        <v>0</v>
      </c>
      <c r="H7" s="25">
        <f t="shared" ref="H7:H12" si="2">D7*2</f>
        <v>0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/>
      <c r="O7" s="32"/>
      <c r="P7" s="32"/>
      <c r="Q7" s="24"/>
      <c r="R7" s="25">
        <f t="shared" ref="R7:R12" si="4">N7*0</f>
        <v>0</v>
      </c>
      <c r="S7" s="25">
        <f t="shared" ref="S7:S31" si="5">O7*1</f>
        <v>0</v>
      </c>
      <c r="T7" s="25">
        <f t="shared" ref="T7:T12" si="6">P7*2</f>
        <v>0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/>
      <c r="AB7" s="32"/>
      <c r="AC7" s="24"/>
      <c r="AD7" s="25">
        <f t="shared" ref="AD7:AD12" si="8">Z7*0</f>
        <v>0</v>
      </c>
      <c r="AE7" s="25">
        <f t="shared" ref="AE7:AE31" si="9">AA7*1</f>
        <v>0</v>
      </c>
      <c r="AF7" s="25">
        <f t="shared" ref="AF7:AF12" si="10">AB7*2</f>
        <v>0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/>
      <c r="C8" s="32"/>
      <c r="D8" s="32"/>
      <c r="E8" s="24"/>
      <c r="F8" s="25">
        <f t="shared" si="0"/>
        <v>0</v>
      </c>
      <c r="G8" s="25">
        <f t="shared" si="1"/>
        <v>0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/>
      <c r="O8" s="32"/>
      <c r="P8" s="32"/>
      <c r="Q8" s="24"/>
      <c r="R8" s="25">
        <f t="shared" si="4"/>
        <v>0</v>
      </c>
      <c r="S8" s="25">
        <f t="shared" si="5"/>
        <v>0</v>
      </c>
      <c r="T8" s="25">
        <f t="shared" si="6"/>
        <v>0</v>
      </c>
      <c r="U8" s="25">
        <f t="shared" si="7"/>
        <v>0</v>
      </c>
      <c r="V8" s="24"/>
      <c r="W8" s="25"/>
      <c r="Y8" s="25">
        <v>2</v>
      </c>
      <c r="Z8" s="32"/>
      <c r="AA8" s="32"/>
      <c r="AB8" s="32"/>
      <c r="AC8" s="24"/>
      <c r="AD8" s="25">
        <f t="shared" si="8"/>
        <v>0</v>
      </c>
      <c r="AE8" s="25">
        <f t="shared" si="9"/>
        <v>0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/>
      <c r="C9" s="32"/>
      <c r="D9" s="32"/>
      <c r="E9" s="24"/>
      <c r="F9" s="25">
        <f t="shared" si="0"/>
        <v>0</v>
      </c>
      <c r="G9" s="25">
        <f t="shared" si="1"/>
        <v>0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/>
      <c r="O9" s="32"/>
      <c r="P9" s="32"/>
      <c r="Q9" s="24"/>
      <c r="R9" s="25">
        <f t="shared" si="4"/>
        <v>0</v>
      </c>
      <c r="S9" s="25">
        <f t="shared" si="5"/>
        <v>0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/>
      <c r="AA9" s="32"/>
      <c r="AB9" s="32"/>
      <c r="AC9" s="24"/>
      <c r="AD9" s="25">
        <f t="shared" si="8"/>
        <v>0</v>
      </c>
      <c r="AE9" s="25">
        <f t="shared" si="9"/>
        <v>0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/>
      <c r="D10" s="32"/>
      <c r="E10" s="24"/>
      <c r="F10" s="25">
        <f t="shared" si="0"/>
        <v>0</v>
      </c>
      <c r="G10" s="25">
        <f t="shared" si="1"/>
        <v>0</v>
      </c>
      <c r="H10" s="25">
        <f t="shared" si="2"/>
        <v>0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/>
      <c r="P10" s="32"/>
      <c r="Q10" s="24"/>
      <c r="R10" s="25">
        <f t="shared" si="4"/>
        <v>0</v>
      </c>
      <c r="S10" s="25">
        <f t="shared" si="5"/>
        <v>0</v>
      </c>
      <c r="T10" s="25">
        <f t="shared" si="6"/>
        <v>0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/>
      <c r="AB10" s="32"/>
      <c r="AC10" s="24"/>
      <c r="AD10" s="25">
        <f t="shared" si="8"/>
        <v>0</v>
      </c>
      <c r="AE10" s="25">
        <f t="shared" si="9"/>
        <v>0</v>
      </c>
      <c r="AF10" s="25">
        <f t="shared" si="10"/>
        <v>0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/>
      <c r="C11" s="32"/>
      <c r="D11" s="32"/>
      <c r="E11" s="24"/>
      <c r="F11" s="25">
        <f t="shared" si="0"/>
        <v>0</v>
      </c>
      <c r="G11" s="25">
        <f t="shared" si="1"/>
        <v>0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/>
      <c r="O11" s="32"/>
      <c r="P11" s="32"/>
      <c r="Q11" s="24"/>
      <c r="R11" s="25">
        <f t="shared" si="4"/>
        <v>0</v>
      </c>
      <c r="S11" s="25">
        <f t="shared" si="5"/>
        <v>0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/>
      <c r="AA11" s="32"/>
      <c r="AB11" s="32"/>
      <c r="AC11" s="24"/>
      <c r="AD11" s="25">
        <f t="shared" si="8"/>
        <v>0</v>
      </c>
      <c r="AE11" s="25">
        <f t="shared" si="9"/>
        <v>0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/>
      <c r="C12" s="32"/>
      <c r="D12" s="32"/>
      <c r="E12" s="24"/>
      <c r="F12" s="25">
        <f t="shared" si="0"/>
        <v>0</v>
      </c>
      <c r="G12" s="25">
        <f t="shared" si="1"/>
        <v>0</v>
      </c>
      <c r="H12" s="25">
        <f t="shared" si="2"/>
        <v>0</v>
      </c>
      <c r="I12" s="25">
        <f t="shared" si="3"/>
        <v>0</v>
      </c>
      <c r="J12" s="105">
        <f>I11+I13+I18+I24+I28</f>
        <v>0</v>
      </c>
      <c r="K12" s="108">
        <f>J12</f>
        <v>0</v>
      </c>
      <c r="M12" s="25">
        <v>6</v>
      </c>
      <c r="N12" s="32"/>
      <c r="O12" s="32"/>
      <c r="P12" s="32"/>
      <c r="Q12" s="24"/>
      <c r="R12" s="25">
        <f t="shared" si="4"/>
        <v>0</v>
      </c>
      <c r="S12" s="25">
        <f t="shared" si="5"/>
        <v>0</v>
      </c>
      <c r="T12" s="25">
        <f t="shared" si="6"/>
        <v>0</v>
      </c>
      <c r="U12" s="25">
        <f t="shared" si="7"/>
        <v>0</v>
      </c>
      <c r="V12" s="105">
        <f>U11+U13+U18+U24+U28</f>
        <v>0</v>
      </c>
      <c r="W12" s="108">
        <f>V12</f>
        <v>0</v>
      </c>
      <c r="Y12" s="25">
        <v>6</v>
      </c>
      <c r="Z12" s="32"/>
      <c r="AA12" s="32"/>
      <c r="AB12" s="32"/>
      <c r="AC12" s="24"/>
      <c r="AD12" s="25">
        <f t="shared" si="8"/>
        <v>0</v>
      </c>
      <c r="AE12" s="25">
        <f t="shared" si="9"/>
        <v>0</v>
      </c>
      <c r="AF12" s="25">
        <f t="shared" si="10"/>
        <v>0</v>
      </c>
      <c r="AG12" s="25">
        <f t="shared" si="11"/>
        <v>0</v>
      </c>
      <c r="AH12" s="105">
        <f>AG11+AG13+AG18+AG24+AG28</f>
        <v>0</v>
      </c>
      <c r="AI12" s="108">
        <f>AH12</f>
        <v>0</v>
      </c>
    </row>
    <row r="13" spans="1:35" ht="21" customHeight="1">
      <c r="A13" s="25">
        <v>7</v>
      </c>
      <c r="B13" s="32"/>
      <c r="C13" s="32"/>
      <c r="D13" s="32"/>
      <c r="E13" s="24"/>
      <c r="F13" s="25">
        <f>B13*2</f>
        <v>0</v>
      </c>
      <c r="G13" s="25">
        <f t="shared" si="1"/>
        <v>0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/>
      <c r="P13" s="32"/>
      <c r="Q13" s="24"/>
      <c r="R13" s="25">
        <f>N13*2</f>
        <v>0</v>
      </c>
      <c r="S13" s="25">
        <f t="shared" si="5"/>
        <v>0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/>
      <c r="AA13" s="32"/>
      <c r="AB13" s="32"/>
      <c r="AC13" s="24"/>
      <c r="AD13" s="25">
        <f>Z13*2</f>
        <v>0</v>
      </c>
      <c r="AE13" s="25">
        <f t="shared" si="9"/>
        <v>0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/>
      <c r="C14" s="32"/>
      <c r="D14" s="32"/>
      <c r="E14" s="24"/>
      <c r="F14" s="25">
        <f t="shared" ref="F14:F19" si="12">B14*0</f>
        <v>0</v>
      </c>
      <c r="G14" s="25">
        <f t="shared" si="1"/>
        <v>0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/>
      <c r="O14" s="32"/>
      <c r="P14" s="32"/>
      <c r="Q14" s="24"/>
      <c r="R14" s="25">
        <f t="shared" ref="R14:R19" si="14">N14*0</f>
        <v>0</v>
      </c>
      <c r="S14" s="25">
        <f t="shared" si="5"/>
        <v>0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/>
      <c r="AA14" s="32"/>
      <c r="AB14" s="32"/>
      <c r="AC14" s="24"/>
      <c r="AD14" s="25">
        <f t="shared" ref="AD14:AD19" si="16">Z14*0</f>
        <v>0</v>
      </c>
      <c r="AE14" s="25">
        <f t="shared" si="9"/>
        <v>0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/>
      <c r="D15" s="32"/>
      <c r="E15" s="24"/>
      <c r="F15" s="25">
        <f t="shared" si="12"/>
        <v>0</v>
      </c>
      <c r="G15" s="25">
        <f t="shared" si="1"/>
        <v>0</v>
      </c>
      <c r="H15" s="25">
        <f t="shared" si="13"/>
        <v>0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/>
      <c r="P15" s="32"/>
      <c r="Q15" s="24"/>
      <c r="R15" s="25">
        <f t="shared" si="14"/>
        <v>0</v>
      </c>
      <c r="S15" s="25">
        <f t="shared" si="5"/>
        <v>0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/>
      <c r="AA15" s="32"/>
      <c r="AB15" s="32"/>
      <c r="AC15" s="24"/>
      <c r="AD15" s="25">
        <f t="shared" si="16"/>
        <v>0</v>
      </c>
      <c r="AE15" s="25">
        <f t="shared" si="9"/>
        <v>0</v>
      </c>
      <c r="AF15" s="25">
        <f t="shared" si="17"/>
        <v>0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/>
      <c r="C16" s="32"/>
      <c r="D16" s="32"/>
      <c r="E16" s="24"/>
      <c r="F16" s="25">
        <f t="shared" si="12"/>
        <v>0</v>
      </c>
      <c r="G16" s="25">
        <f t="shared" si="1"/>
        <v>0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/>
      <c r="O16" s="32"/>
      <c r="P16" s="32"/>
      <c r="Q16" s="24"/>
      <c r="R16" s="25">
        <f t="shared" si="14"/>
        <v>0</v>
      </c>
      <c r="S16" s="25">
        <f t="shared" si="5"/>
        <v>0</v>
      </c>
      <c r="T16" s="25">
        <f t="shared" si="15"/>
        <v>0</v>
      </c>
      <c r="U16" s="25">
        <f t="shared" si="7"/>
        <v>0</v>
      </c>
      <c r="V16" s="24"/>
      <c r="W16" s="107" t="s">
        <v>99</v>
      </c>
      <c r="Y16" s="25">
        <v>10</v>
      </c>
      <c r="Z16" s="32"/>
      <c r="AA16" s="32"/>
      <c r="AB16" s="32"/>
      <c r="AC16" s="24"/>
      <c r="AD16" s="25">
        <f t="shared" si="16"/>
        <v>0</v>
      </c>
      <c r="AE16" s="25">
        <f t="shared" si="9"/>
        <v>0</v>
      </c>
      <c r="AF16" s="25">
        <f t="shared" si="17"/>
        <v>0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/>
      <c r="D17" s="32"/>
      <c r="E17" s="24"/>
      <c r="F17" s="25">
        <f t="shared" si="12"/>
        <v>0</v>
      </c>
      <c r="G17" s="25">
        <f t="shared" si="1"/>
        <v>0</v>
      </c>
      <c r="H17" s="25">
        <f t="shared" si="13"/>
        <v>0</v>
      </c>
      <c r="I17" s="25">
        <f t="shared" si="3"/>
        <v>0</v>
      </c>
      <c r="J17" s="105">
        <f>I8+I16+I21+I27+I31</f>
        <v>0</v>
      </c>
      <c r="K17" s="108">
        <f>J17</f>
        <v>0</v>
      </c>
      <c r="M17" s="25">
        <v>11</v>
      </c>
      <c r="N17" s="32"/>
      <c r="O17" s="32"/>
      <c r="P17" s="32"/>
      <c r="Q17" s="24"/>
      <c r="R17" s="25">
        <f t="shared" si="14"/>
        <v>0</v>
      </c>
      <c r="S17" s="25">
        <f t="shared" si="5"/>
        <v>0</v>
      </c>
      <c r="T17" s="25">
        <f t="shared" si="15"/>
        <v>0</v>
      </c>
      <c r="U17" s="25">
        <f t="shared" si="7"/>
        <v>0</v>
      </c>
      <c r="V17" s="105">
        <f>U8+U16+U21+U27+U31</f>
        <v>0</v>
      </c>
      <c r="W17" s="108">
        <f>V17</f>
        <v>0</v>
      </c>
      <c r="Y17" s="25">
        <v>11</v>
      </c>
      <c r="Z17" s="32"/>
      <c r="AA17" s="32"/>
      <c r="AB17" s="32"/>
      <c r="AC17" s="24"/>
      <c r="AD17" s="25">
        <f t="shared" si="16"/>
        <v>0</v>
      </c>
      <c r="AE17" s="25">
        <f t="shared" si="9"/>
        <v>0</v>
      </c>
      <c r="AF17" s="25">
        <f t="shared" si="17"/>
        <v>0</v>
      </c>
      <c r="AG17" s="25">
        <f t="shared" si="11"/>
        <v>0</v>
      </c>
      <c r="AH17" s="105">
        <f>AG8+AG16+AG21+AG27+AG31</f>
        <v>0</v>
      </c>
      <c r="AI17" s="108">
        <f>AH17</f>
        <v>0</v>
      </c>
    </row>
    <row r="18" spans="1:35" ht="21" customHeight="1">
      <c r="A18" s="25">
        <v>12</v>
      </c>
      <c r="B18" s="32"/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/>
      <c r="O18" s="32"/>
      <c r="P18" s="32"/>
      <c r="Q18" s="24"/>
      <c r="R18" s="25">
        <f t="shared" si="14"/>
        <v>0</v>
      </c>
      <c r="S18" s="25">
        <f t="shared" si="5"/>
        <v>0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/>
      <c r="AA18" s="32"/>
      <c r="AB18" s="32"/>
      <c r="AC18" s="24"/>
      <c r="AD18" s="25">
        <f t="shared" si="16"/>
        <v>0</v>
      </c>
      <c r="AE18" s="25">
        <f t="shared" si="9"/>
        <v>0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/>
      <c r="C19" s="32"/>
      <c r="D19" s="32"/>
      <c r="E19" s="24"/>
      <c r="F19" s="25">
        <f t="shared" si="12"/>
        <v>0</v>
      </c>
      <c r="G19" s="25">
        <f t="shared" si="1"/>
        <v>0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/>
      <c r="O19" s="32"/>
      <c r="P19" s="32"/>
      <c r="Q19" s="24"/>
      <c r="R19" s="25">
        <f t="shared" si="14"/>
        <v>0</v>
      </c>
      <c r="S19" s="25">
        <f t="shared" si="5"/>
        <v>0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/>
      <c r="AA19" s="32"/>
      <c r="AB19" s="32"/>
      <c r="AC19" s="24"/>
      <c r="AD19" s="25">
        <f t="shared" si="16"/>
        <v>0</v>
      </c>
      <c r="AE19" s="25">
        <f t="shared" si="9"/>
        <v>0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/>
      <c r="C20" s="32"/>
      <c r="D20" s="32"/>
      <c r="E20" s="24"/>
      <c r="F20" s="25">
        <f>B20*2</f>
        <v>0</v>
      </c>
      <c r="G20" s="25">
        <f t="shared" si="1"/>
        <v>0</v>
      </c>
      <c r="H20" s="25">
        <f>D20*0</f>
        <v>0</v>
      </c>
      <c r="I20" s="25">
        <f t="shared" si="3"/>
        <v>0</v>
      </c>
      <c r="J20" s="24"/>
      <c r="K20" s="107" t="s">
        <v>100</v>
      </c>
      <c r="M20" s="25">
        <v>14</v>
      </c>
      <c r="N20" s="32"/>
      <c r="O20" s="32"/>
      <c r="P20" s="32"/>
      <c r="Q20" s="24"/>
      <c r="R20" s="25">
        <f>N20*2</f>
        <v>0</v>
      </c>
      <c r="S20" s="25">
        <f t="shared" si="5"/>
        <v>0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/>
      <c r="AA20" s="32"/>
      <c r="AB20" s="32"/>
      <c r="AC20" s="24"/>
      <c r="AD20" s="25">
        <f>Z20*2</f>
        <v>0</v>
      </c>
      <c r="AE20" s="25">
        <f t="shared" si="9"/>
        <v>0</v>
      </c>
      <c r="AF20" s="25">
        <f>AB20*0</f>
        <v>0</v>
      </c>
      <c r="AG20" s="25">
        <f t="shared" si="11"/>
        <v>0</v>
      </c>
      <c r="AH20" s="24"/>
      <c r="AI20" s="107" t="s">
        <v>100</v>
      </c>
    </row>
    <row r="21" spans="1:35" ht="21" customHeight="1">
      <c r="A21" s="25">
        <v>15</v>
      </c>
      <c r="B21" s="32"/>
      <c r="C21" s="32"/>
      <c r="D21" s="32"/>
      <c r="E21" s="24"/>
      <c r="F21" s="25">
        <f>B21*2</f>
        <v>0</v>
      </c>
      <c r="G21" s="25">
        <f t="shared" si="1"/>
        <v>0</v>
      </c>
      <c r="H21" s="25">
        <f>D21*0</f>
        <v>0</v>
      </c>
      <c r="I21" s="25">
        <f t="shared" si="3"/>
        <v>0</v>
      </c>
      <c r="J21" s="24"/>
      <c r="K21" s="107" t="s">
        <v>101</v>
      </c>
      <c r="M21" s="25">
        <v>15</v>
      </c>
      <c r="N21" s="32"/>
      <c r="O21" s="32"/>
      <c r="P21" s="32"/>
      <c r="Q21" s="24"/>
      <c r="R21" s="25">
        <f>N21*2</f>
        <v>0</v>
      </c>
      <c r="S21" s="25">
        <f t="shared" si="5"/>
        <v>0</v>
      </c>
      <c r="T21" s="25">
        <f>P21*0</f>
        <v>0</v>
      </c>
      <c r="U21" s="25">
        <f t="shared" si="7"/>
        <v>0</v>
      </c>
      <c r="V21" s="24"/>
      <c r="W21" s="107" t="s">
        <v>101</v>
      </c>
      <c r="Y21" s="25">
        <v>15</v>
      </c>
      <c r="Z21" s="32"/>
      <c r="AA21" s="32"/>
      <c r="AB21" s="32"/>
      <c r="AC21" s="24"/>
      <c r="AD21" s="25">
        <f>Z21*2</f>
        <v>0</v>
      </c>
      <c r="AE21" s="25">
        <f t="shared" si="9"/>
        <v>0</v>
      </c>
      <c r="AF21" s="25">
        <f>AB21*0</f>
        <v>0</v>
      </c>
      <c r="AG21" s="25">
        <f t="shared" si="11"/>
        <v>0</v>
      </c>
      <c r="AH21" s="24"/>
      <c r="AI21" s="107" t="s">
        <v>101</v>
      </c>
    </row>
    <row r="22" spans="1:35" ht="21" customHeight="1">
      <c r="A22" s="25">
        <v>16</v>
      </c>
      <c r="B22" s="32"/>
      <c r="C22" s="32"/>
      <c r="D22" s="32"/>
      <c r="E22" s="24"/>
      <c r="F22" s="25">
        <f>B22*0</f>
        <v>0</v>
      </c>
      <c r="G22" s="25">
        <f t="shared" si="1"/>
        <v>0</v>
      </c>
      <c r="H22" s="25">
        <f>D22*2</f>
        <v>0</v>
      </c>
      <c r="I22" s="25">
        <f t="shared" si="3"/>
        <v>0</v>
      </c>
      <c r="J22" s="105">
        <f>I12+I17+I20+I25+I29</f>
        <v>0</v>
      </c>
      <c r="K22" s="108">
        <f>J22</f>
        <v>0</v>
      </c>
      <c r="M22" s="25">
        <v>16</v>
      </c>
      <c r="N22" s="32"/>
      <c r="O22" s="32"/>
      <c r="P22" s="32"/>
      <c r="Q22" s="24"/>
      <c r="R22" s="25">
        <f>N22*0</f>
        <v>0</v>
      </c>
      <c r="S22" s="25">
        <f t="shared" si="5"/>
        <v>0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/>
      <c r="AA22" s="32"/>
      <c r="AB22" s="32"/>
      <c r="AC22" s="24"/>
      <c r="AD22" s="25">
        <f>Z22*0</f>
        <v>0</v>
      </c>
      <c r="AE22" s="25">
        <f t="shared" si="9"/>
        <v>0</v>
      </c>
      <c r="AF22" s="25">
        <f>AB22*2</f>
        <v>0</v>
      </c>
      <c r="AG22" s="25">
        <f t="shared" si="11"/>
        <v>0</v>
      </c>
      <c r="AH22" s="105">
        <f>AG12+AG17+AG20+AG25+AG29</f>
        <v>0</v>
      </c>
      <c r="AI22" s="108">
        <f>AH22</f>
        <v>0</v>
      </c>
    </row>
    <row r="23" spans="1:35" ht="21" customHeight="1">
      <c r="A23" s="25">
        <v>17</v>
      </c>
      <c r="B23" s="32"/>
      <c r="C23" s="32"/>
      <c r="D23" s="32"/>
      <c r="E23" s="24"/>
      <c r="F23" s="25">
        <f>B23*2</f>
        <v>0</v>
      </c>
      <c r="G23" s="25">
        <f t="shared" si="1"/>
        <v>0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/>
      <c r="O23" s="32"/>
      <c r="P23" s="32"/>
      <c r="Q23" s="24"/>
      <c r="R23" s="25">
        <f>N23*2</f>
        <v>0</v>
      </c>
      <c r="S23" s="25">
        <f t="shared" si="5"/>
        <v>0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/>
      <c r="AA23" s="32"/>
      <c r="AB23" s="32"/>
      <c r="AC23" s="24"/>
      <c r="AD23" s="25">
        <f>Z23*2</f>
        <v>0</v>
      </c>
      <c r="AE23" s="25">
        <f t="shared" si="9"/>
        <v>0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/>
      <c r="C24" s="32"/>
      <c r="D24" s="32"/>
      <c r="E24" s="24"/>
      <c r="F24" s="25">
        <f>B24*2</f>
        <v>0</v>
      </c>
      <c r="G24" s="25">
        <f t="shared" si="1"/>
        <v>0</v>
      </c>
      <c r="H24" s="25">
        <f>D24*0</f>
        <v>0</v>
      </c>
      <c r="I24" s="25">
        <f t="shared" si="3"/>
        <v>0</v>
      </c>
      <c r="J24" s="24"/>
      <c r="K24" s="25"/>
      <c r="M24" s="25">
        <v>18</v>
      </c>
      <c r="N24" s="32"/>
      <c r="O24" s="32"/>
      <c r="P24" s="32"/>
      <c r="Q24" s="24"/>
      <c r="R24" s="25">
        <f>N24*2</f>
        <v>0</v>
      </c>
      <c r="S24" s="25">
        <f t="shared" si="5"/>
        <v>0</v>
      </c>
      <c r="T24" s="25">
        <f>P24*0</f>
        <v>0</v>
      </c>
      <c r="U24" s="25">
        <f t="shared" si="7"/>
        <v>0</v>
      </c>
      <c r="V24" s="24"/>
      <c r="W24" s="25"/>
      <c r="Y24" s="25">
        <v>18</v>
      </c>
      <c r="Z24" s="32"/>
      <c r="AA24" s="32"/>
      <c r="AB24" s="32"/>
      <c r="AC24" s="24"/>
      <c r="AD24" s="25">
        <f>Z24*2</f>
        <v>0</v>
      </c>
      <c r="AE24" s="25">
        <f t="shared" si="9"/>
        <v>0</v>
      </c>
      <c r="AF24" s="25">
        <f>AB24*0</f>
        <v>0</v>
      </c>
      <c r="AG24" s="25">
        <f t="shared" si="11"/>
        <v>0</v>
      </c>
      <c r="AH24" s="24"/>
      <c r="AI24" s="25"/>
    </row>
    <row r="25" spans="1:35" ht="21" customHeight="1">
      <c r="A25" s="25">
        <v>19</v>
      </c>
      <c r="B25" s="32"/>
      <c r="C25" s="32"/>
      <c r="D25" s="32"/>
      <c r="E25" s="24"/>
      <c r="F25" s="25">
        <f t="shared" ref="F25:F31" si="18">B25*0</f>
        <v>0</v>
      </c>
      <c r="G25" s="25">
        <f t="shared" si="1"/>
        <v>0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/>
      <c r="O25" s="32"/>
      <c r="P25" s="32"/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/>
      <c r="AA25" s="32"/>
      <c r="AB25" s="32"/>
      <c r="AC25" s="24"/>
      <c r="AD25" s="25">
        <f t="shared" ref="AD25:AD31" si="22">Z25*0</f>
        <v>0</v>
      </c>
      <c r="AE25" s="25">
        <f t="shared" si="9"/>
        <v>0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/>
      <c r="D26" s="32"/>
      <c r="E26" s="24"/>
      <c r="F26" s="25">
        <f t="shared" si="18"/>
        <v>0</v>
      </c>
      <c r="G26" s="25">
        <f t="shared" si="1"/>
        <v>0</v>
      </c>
      <c r="H26" s="25">
        <f t="shared" si="19"/>
        <v>0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/>
      <c r="P26" s="32"/>
      <c r="Q26" s="24"/>
      <c r="R26" s="25">
        <f t="shared" si="20"/>
        <v>0</v>
      </c>
      <c r="S26" s="25">
        <f t="shared" si="5"/>
        <v>0</v>
      </c>
      <c r="T26" s="25">
        <f t="shared" si="21"/>
        <v>0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/>
      <c r="AB26" s="32"/>
      <c r="AC26" s="24"/>
      <c r="AD26" s="25">
        <f t="shared" si="22"/>
        <v>0</v>
      </c>
      <c r="AE26" s="25">
        <f t="shared" si="9"/>
        <v>0</v>
      </c>
      <c r="AF26" s="25">
        <f t="shared" si="23"/>
        <v>0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/>
      <c r="D27" s="32"/>
      <c r="E27" s="24"/>
      <c r="F27" s="25">
        <f t="shared" si="18"/>
        <v>0</v>
      </c>
      <c r="G27" s="25">
        <f t="shared" si="1"/>
        <v>0</v>
      </c>
      <c r="H27" s="25">
        <f t="shared" si="19"/>
        <v>0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/>
      <c r="O27" s="32"/>
      <c r="P27" s="32"/>
      <c r="Q27" s="24"/>
      <c r="R27" s="25">
        <f t="shared" si="20"/>
        <v>0</v>
      </c>
      <c r="S27" s="25">
        <f t="shared" si="5"/>
        <v>0</v>
      </c>
      <c r="T27" s="25">
        <f t="shared" si="21"/>
        <v>0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/>
      <c r="AA27" s="32"/>
      <c r="AB27" s="32"/>
      <c r="AC27" s="24"/>
      <c r="AD27" s="25">
        <f t="shared" si="22"/>
        <v>0</v>
      </c>
      <c r="AE27" s="25">
        <f t="shared" si="9"/>
        <v>0</v>
      </c>
      <c r="AF27" s="25">
        <f t="shared" si="23"/>
        <v>0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/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/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/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/>
      <c r="C29" s="32"/>
      <c r="D29" s="32"/>
      <c r="E29" s="24"/>
      <c r="F29" s="25">
        <f t="shared" si="18"/>
        <v>0</v>
      </c>
      <c r="G29" s="25">
        <f t="shared" si="1"/>
        <v>0</v>
      </c>
      <c r="H29" s="25">
        <f t="shared" si="19"/>
        <v>0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/>
      <c r="P29" s="32"/>
      <c r="Q29" s="24"/>
      <c r="R29" s="25">
        <f t="shared" si="20"/>
        <v>0</v>
      </c>
      <c r="S29" s="25">
        <f t="shared" si="5"/>
        <v>0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/>
      <c r="AA29" s="32"/>
      <c r="AB29" s="32"/>
      <c r="AC29" s="24"/>
      <c r="AD29" s="25">
        <f t="shared" si="22"/>
        <v>0</v>
      </c>
      <c r="AE29" s="25">
        <f t="shared" si="9"/>
        <v>0</v>
      </c>
      <c r="AF29" s="25">
        <f t="shared" si="23"/>
        <v>0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/>
      <c r="C30" s="32"/>
      <c r="D30" s="32"/>
      <c r="E30" s="24"/>
      <c r="F30" s="25">
        <f t="shared" si="18"/>
        <v>0</v>
      </c>
      <c r="G30" s="25">
        <f t="shared" si="1"/>
        <v>0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/>
      <c r="O30" s="32"/>
      <c r="P30" s="32"/>
      <c r="Q30" s="24"/>
      <c r="R30" s="25">
        <f t="shared" si="20"/>
        <v>0</v>
      </c>
      <c r="S30" s="25">
        <f t="shared" si="5"/>
        <v>0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/>
      <c r="AA30" s="32"/>
      <c r="AB30" s="32"/>
      <c r="AC30" s="24"/>
      <c r="AD30" s="25">
        <f t="shared" si="22"/>
        <v>0</v>
      </c>
      <c r="AE30" s="25">
        <f t="shared" si="9"/>
        <v>0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/>
      <c r="D31" s="32"/>
      <c r="E31" s="24"/>
      <c r="F31" s="25">
        <f t="shared" si="18"/>
        <v>0</v>
      </c>
      <c r="G31" s="25">
        <f t="shared" si="1"/>
        <v>0</v>
      </c>
      <c r="H31" s="25">
        <f t="shared" si="19"/>
        <v>0</v>
      </c>
      <c r="I31" s="25">
        <f t="shared" si="3"/>
        <v>0</v>
      </c>
      <c r="J31" s="24"/>
      <c r="K31" s="108">
        <f>K7+K12+K17+K22</f>
        <v>0</v>
      </c>
      <c r="M31" s="25">
        <v>25</v>
      </c>
      <c r="N31" s="32"/>
      <c r="O31" s="32"/>
      <c r="P31" s="32"/>
      <c r="Q31" s="24"/>
      <c r="R31" s="25">
        <f t="shared" si="20"/>
        <v>0</v>
      </c>
      <c r="S31" s="25">
        <f t="shared" si="5"/>
        <v>0</v>
      </c>
      <c r="T31" s="25">
        <f t="shared" si="21"/>
        <v>0</v>
      </c>
      <c r="U31" s="25">
        <f t="shared" si="7"/>
        <v>0</v>
      </c>
      <c r="V31" s="24"/>
      <c r="W31" s="108">
        <f>W7+W12+W17+W22</f>
        <v>0</v>
      </c>
      <c r="Y31" s="25">
        <v>25</v>
      </c>
      <c r="Z31" s="32"/>
      <c r="AA31" s="32"/>
      <c r="AB31" s="32"/>
      <c r="AC31" s="24"/>
      <c r="AD31" s="25">
        <f t="shared" si="22"/>
        <v>0</v>
      </c>
      <c r="AE31" s="25">
        <f t="shared" si="9"/>
        <v>0</v>
      </c>
      <c r="AF31" s="25">
        <f t="shared" si="23"/>
        <v>0</v>
      </c>
      <c r="AG31" s="25">
        <f t="shared" si="11"/>
        <v>0</v>
      </c>
      <c r="AH31" s="24"/>
      <c r="AI31" s="108">
        <f>AI7+AI12+AI17+AI22</f>
        <v>0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7"/>
  </sheetPr>
  <dimension ref="A1:AI41"/>
  <sheetViews>
    <sheetView zoomScale="150" workbookViewId="0">
      <selection activeCell="AI3" sqref="AI3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>
        <f>รายชื่อ!B30</f>
        <v>0</v>
      </c>
      <c r="C3" s="110">
        <f>รายชื่อ!C30</f>
        <v>0</v>
      </c>
      <c r="D3" s="110">
        <f>รายชื่อ!D30</f>
        <v>0</v>
      </c>
      <c r="E3" s="60"/>
      <c r="F3" s="103"/>
      <c r="G3" s="165"/>
      <c r="H3" s="165"/>
      <c r="I3" s="165"/>
      <c r="J3" s="25"/>
      <c r="K3" s="106" t="s">
        <v>56</v>
      </c>
      <c r="M3" s="25" t="s">
        <v>85</v>
      </c>
      <c r="N3" s="110">
        <f>รายชื่อ!B30</f>
        <v>0</v>
      </c>
      <c r="O3" s="110">
        <f>รายชื่อ!C30</f>
        <v>0</v>
      </c>
      <c r="P3" s="110">
        <f>รายชื่อ!D30</f>
        <v>0</v>
      </c>
      <c r="Q3" s="60"/>
      <c r="R3" s="103"/>
      <c r="S3" s="165"/>
      <c r="T3" s="165"/>
      <c r="U3" s="165"/>
      <c r="V3" s="25"/>
      <c r="W3" s="106" t="s">
        <v>56</v>
      </c>
      <c r="Y3" s="25" t="s">
        <v>85</v>
      </c>
      <c r="Z3" s="110">
        <f>รายชื่อ!B30</f>
        <v>0</v>
      </c>
      <c r="AA3" s="110">
        <f>รายชื่อ!C30</f>
        <v>0</v>
      </c>
      <c r="AB3" s="110">
        <f>รายชื่อ!D30</f>
        <v>0</v>
      </c>
      <c r="AC3" s="60"/>
      <c r="AD3" s="103"/>
      <c r="AE3" s="165"/>
      <c r="AF3" s="165"/>
      <c r="AG3" s="165"/>
      <c r="AH3" s="25"/>
      <c r="AI3" s="106" t="s">
        <v>56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/>
      <c r="C7" s="32"/>
      <c r="D7" s="32"/>
      <c r="E7" s="24"/>
      <c r="F7" s="25">
        <f t="shared" ref="F7:F12" si="0">B7*0</f>
        <v>0</v>
      </c>
      <c r="G7" s="25">
        <f t="shared" ref="G7:G31" si="1">C7*1</f>
        <v>0</v>
      </c>
      <c r="H7" s="25">
        <f t="shared" ref="H7:H12" si="2">D7*2</f>
        <v>0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/>
      <c r="O7" s="32"/>
      <c r="P7" s="32"/>
      <c r="Q7" s="24"/>
      <c r="R7" s="25">
        <f t="shared" ref="R7:R12" si="4">N7*0</f>
        <v>0</v>
      </c>
      <c r="S7" s="25">
        <f t="shared" ref="S7:S31" si="5">O7*1</f>
        <v>0</v>
      </c>
      <c r="T7" s="25">
        <f t="shared" ref="T7:T12" si="6">P7*2</f>
        <v>0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/>
      <c r="AB7" s="32"/>
      <c r="AC7" s="24"/>
      <c r="AD7" s="25">
        <f t="shared" ref="AD7:AD12" si="8">Z7*0</f>
        <v>0</v>
      </c>
      <c r="AE7" s="25">
        <f t="shared" ref="AE7:AE31" si="9">AA7*1</f>
        <v>0</v>
      </c>
      <c r="AF7" s="25">
        <f t="shared" ref="AF7:AF12" si="10">AB7*2</f>
        <v>0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/>
      <c r="C8" s="32"/>
      <c r="D8" s="32"/>
      <c r="E8" s="24"/>
      <c r="F8" s="25">
        <f t="shared" si="0"/>
        <v>0</v>
      </c>
      <c r="G8" s="25">
        <f t="shared" si="1"/>
        <v>0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/>
      <c r="O8" s="32"/>
      <c r="P8" s="32"/>
      <c r="Q8" s="24"/>
      <c r="R8" s="25">
        <f t="shared" si="4"/>
        <v>0</v>
      </c>
      <c r="S8" s="25">
        <f t="shared" si="5"/>
        <v>0</v>
      </c>
      <c r="T8" s="25">
        <f t="shared" si="6"/>
        <v>0</v>
      </c>
      <c r="U8" s="25">
        <f t="shared" si="7"/>
        <v>0</v>
      </c>
      <c r="V8" s="24"/>
      <c r="W8" s="25"/>
      <c r="Y8" s="25">
        <v>2</v>
      </c>
      <c r="Z8" s="32"/>
      <c r="AA8" s="32"/>
      <c r="AB8" s="32"/>
      <c r="AC8" s="24"/>
      <c r="AD8" s="25">
        <f t="shared" si="8"/>
        <v>0</v>
      </c>
      <c r="AE8" s="25">
        <f t="shared" si="9"/>
        <v>0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/>
      <c r="C9" s="32"/>
      <c r="D9" s="32"/>
      <c r="E9" s="24"/>
      <c r="F9" s="25">
        <f t="shared" si="0"/>
        <v>0</v>
      </c>
      <c r="G9" s="25">
        <f t="shared" si="1"/>
        <v>0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/>
      <c r="O9" s="32"/>
      <c r="P9" s="32"/>
      <c r="Q9" s="24"/>
      <c r="R9" s="25">
        <f t="shared" si="4"/>
        <v>0</v>
      </c>
      <c r="S9" s="25">
        <f t="shared" si="5"/>
        <v>0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/>
      <c r="AA9" s="32"/>
      <c r="AB9" s="32"/>
      <c r="AC9" s="24"/>
      <c r="AD9" s="25">
        <f t="shared" si="8"/>
        <v>0</v>
      </c>
      <c r="AE9" s="25">
        <f t="shared" si="9"/>
        <v>0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/>
      <c r="D10" s="32"/>
      <c r="E10" s="24"/>
      <c r="F10" s="25">
        <f t="shared" si="0"/>
        <v>0</v>
      </c>
      <c r="G10" s="25">
        <f t="shared" si="1"/>
        <v>0</v>
      </c>
      <c r="H10" s="25">
        <f t="shared" si="2"/>
        <v>0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/>
      <c r="P10" s="32"/>
      <c r="Q10" s="24"/>
      <c r="R10" s="25">
        <f t="shared" si="4"/>
        <v>0</v>
      </c>
      <c r="S10" s="25">
        <f t="shared" si="5"/>
        <v>0</v>
      </c>
      <c r="T10" s="25">
        <f t="shared" si="6"/>
        <v>0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/>
      <c r="AB10" s="32"/>
      <c r="AC10" s="24"/>
      <c r="AD10" s="25">
        <f t="shared" si="8"/>
        <v>0</v>
      </c>
      <c r="AE10" s="25">
        <f t="shared" si="9"/>
        <v>0</v>
      </c>
      <c r="AF10" s="25">
        <f t="shared" si="10"/>
        <v>0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/>
      <c r="C11" s="32"/>
      <c r="D11" s="32"/>
      <c r="E11" s="24"/>
      <c r="F11" s="25">
        <f t="shared" si="0"/>
        <v>0</v>
      </c>
      <c r="G11" s="25">
        <f t="shared" si="1"/>
        <v>0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/>
      <c r="O11" s="32"/>
      <c r="P11" s="32"/>
      <c r="Q11" s="24"/>
      <c r="R11" s="25">
        <f t="shared" si="4"/>
        <v>0</v>
      </c>
      <c r="S11" s="25">
        <f t="shared" si="5"/>
        <v>0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/>
      <c r="AA11" s="32"/>
      <c r="AB11" s="32"/>
      <c r="AC11" s="24"/>
      <c r="AD11" s="25">
        <f t="shared" si="8"/>
        <v>0</v>
      </c>
      <c r="AE11" s="25">
        <f t="shared" si="9"/>
        <v>0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/>
      <c r="C12" s="32"/>
      <c r="D12" s="32"/>
      <c r="E12" s="24"/>
      <c r="F12" s="25">
        <f t="shared" si="0"/>
        <v>0</v>
      </c>
      <c r="G12" s="25">
        <f t="shared" si="1"/>
        <v>0</v>
      </c>
      <c r="H12" s="25">
        <f t="shared" si="2"/>
        <v>0</v>
      </c>
      <c r="I12" s="25">
        <f t="shared" si="3"/>
        <v>0</v>
      </c>
      <c r="J12" s="105">
        <f>I11+I13+I18+I24+I28</f>
        <v>0</v>
      </c>
      <c r="K12" s="108">
        <f>J12</f>
        <v>0</v>
      </c>
      <c r="M12" s="25">
        <v>6</v>
      </c>
      <c r="N12" s="32"/>
      <c r="O12" s="32"/>
      <c r="P12" s="32"/>
      <c r="Q12" s="24"/>
      <c r="R12" s="25">
        <f t="shared" si="4"/>
        <v>0</v>
      </c>
      <c r="S12" s="25">
        <f t="shared" si="5"/>
        <v>0</v>
      </c>
      <c r="T12" s="25">
        <f t="shared" si="6"/>
        <v>0</v>
      </c>
      <c r="U12" s="25">
        <f t="shared" si="7"/>
        <v>0</v>
      </c>
      <c r="V12" s="105">
        <f>U11+U13+U18+U24+U28</f>
        <v>0</v>
      </c>
      <c r="W12" s="108">
        <f>V12</f>
        <v>0</v>
      </c>
      <c r="Y12" s="25">
        <v>6</v>
      </c>
      <c r="Z12" s="32"/>
      <c r="AA12" s="32"/>
      <c r="AB12" s="32"/>
      <c r="AC12" s="24"/>
      <c r="AD12" s="25">
        <f t="shared" si="8"/>
        <v>0</v>
      </c>
      <c r="AE12" s="25">
        <f t="shared" si="9"/>
        <v>0</v>
      </c>
      <c r="AF12" s="25">
        <f t="shared" si="10"/>
        <v>0</v>
      </c>
      <c r="AG12" s="25">
        <f t="shared" si="11"/>
        <v>0</v>
      </c>
      <c r="AH12" s="105">
        <f>AG11+AG13+AG18+AG24+AG28</f>
        <v>0</v>
      </c>
      <c r="AI12" s="108">
        <f>AH12</f>
        <v>0</v>
      </c>
    </row>
    <row r="13" spans="1:35" ht="21" customHeight="1">
      <c r="A13" s="25">
        <v>7</v>
      </c>
      <c r="B13" s="32"/>
      <c r="C13" s="32"/>
      <c r="D13" s="32"/>
      <c r="E13" s="24"/>
      <c r="F13" s="25">
        <f>B13*2</f>
        <v>0</v>
      </c>
      <c r="G13" s="25">
        <f t="shared" si="1"/>
        <v>0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/>
      <c r="P13" s="32"/>
      <c r="Q13" s="24"/>
      <c r="R13" s="25">
        <f>N13*2</f>
        <v>0</v>
      </c>
      <c r="S13" s="25">
        <f t="shared" si="5"/>
        <v>0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/>
      <c r="AA13" s="32"/>
      <c r="AB13" s="32"/>
      <c r="AC13" s="24"/>
      <c r="AD13" s="25">
        <f>Z13*2</f>
        <v>0</v>
      </c>
      <c r="AE13" s="25">
        <f t="shared" si="9"/>
        <v>0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/>
      <c r="C14" s="32"/>
      <c r="D14" s="32"/>
      <c r="E14" s="24"/>
      <c r="F14" s="25">
        <f t="shared" ref="F14:F19" si="12">B14*0</f>
        <v>0</v>
      </c>
      <c r="G14" s="25">
        <f t="shared" si="1"/>
        <v>0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/>
      <c r="O14" s="32"/>
      <c r="P14" s="32"/>
      <c r="Q14" s="24"/>
      <c r="R14" s="25">
        <f t="shared" ref="R14:R19" si="14">N14*0</f>
        <v>0</v>
      </c>
      <c r="S14" s="25">
        <f t="shared" si="5"/>
        <v>0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/>
      <c r="AA14" s="32"/>
      <c r="AB14" s="32"/>
      <c r="AC14" s="24"/>
      <c r="AD14" s="25">
        <f t="shared" ref="AD14:AD19" si="16">Z14*0</f>
        <v>0</v>
      </c>
      <c r="AE14" s="25">
        <f t="shared" si="9"/>
        <v>0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/>
      <c r="D15" s="32"/>
      <c r="E15" s="24"/>
      <c r="F15" s="25">
        <f t="shared" si="12"/>
        <v>0</v>
      </c>
      <c r="G15" s="25">
        <f t="shared" si="1"/>
        <v>0</v>
      </c>
      <c r="H15" s="25">
        <f t="shared" si="13"/>
        <v>0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/>
      <c r="P15" s="32"/>
      <c r="Q15" s="24"/>
      <c r="R15" s="25">
        <f t="shared" si="14"/>
        <v>0</v>
      </c>
      <c r="S15" s="25">
        <f t="shared" si="5"/>
        <v>0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/>
      <c r="AA15" s="32"/>
      <c r="AB15" s="32"/>
      <c r="AC15" s="24"/>
      <c r="AD15" s="25">
        <f t="shared" si="16"/>
        <v>0</v>
      </c>
      <c r="AE15" s="25">
        <f t="shared" si="9"/>
        <v>0</v>
      </c>
      <c r="AF15" s="25">
        <f t="shared" si="17"/>
        <v>0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/>
      <c r="C16" s="32"/>
      <c r="D16" s="32"/>
      <c r="E16" s="24"/>
      <c r="F16" s="25">
        <f t="shared" si="12"/>
        <v>0</v>
      </c>
      <c r="G16" s="25">
        <f t="shared" si="1"/>
        <v>0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/>
      <c r="O16" s="32"/>
      <c r="P16" s="32"/>
      <c r="Q16" s="24"/>
      <c r="R16" s="25">
        <f t="shared" si="14"/>
        <v>0</v>
      </c>
      <c r="S16" s="25">
        <f t="shared" si="5"/>
        <v>0</v>
      </c>
      <c r="T16" s="25">
        <f t="shared" si="15"/>
        <v>0</v>
      </c>
      <c r="U16" s="25">
        <f t="shared" si="7"/>
        <v>0</v>
      </c>
      <c r="V16" s="24"/>
      <c r="W16" s="107" t="s">
        <v>99</v>
      </c>
      <c r="Y16" s="25">
        <v>10</v>
      </c>
      <c r="Z16" s="32"/>
      <c r="AA16" s="32"/>
      <c r="AB16" s="32"/>
      <c r="AC16" s="24"/>
      <c r="AD16" s="25">
        <f t="shared" si="16"/>
        <v>0</v>
      </c>
      <c r="AE16" s="25">
        <f t="shared" si="9"/>
        <v>0</v>
      </c>
      <c r="AF16" s="25">
        <f t="shared" si="17"/>
        <v>0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/>
      <c r="D17" s="32"/>
      <c r="E17" s="24"/>
      <c r="F17" s="25">
        <f t="shared" si="12"/>
        <v>0</v>
      </c>
      <c r="G17" s="25">
        <f t="shared" si="1"/>
        <v>0</v>
      </c>
      <c r="H17" s="25">
        <f t="shared" si="13"/>
        <v>0</v>
      </c>
      <c r="I17" s="25">
        <f t="shared" si="3"/>
        <v>0</v>
      </c>
      <c r="J17" s="105">
        <f>I8+I16+I21+I27+I31</f>
        <v>0</v>
      </c>
      <c r="K17" s="108">
        <f>J17</f>
        <v>0</v>
      </c>
      <c r="M17" s="25">
        <v>11</v>
      </c>
      <c r="N17" s="32"/>
      <c r="O17" s="32"/>
      <c r="P17" s="32"/>
      <c r="Q17" s="24"/>
      <c r="R17" s="25">
        <f t="shared" si="14"/>
        <v>0</v>
      </c>
      <c r="S17" s="25">
        <f t="shared" si="5"/>
        <v>0</v>
      </c>
      <c r="T17" s="25">
        <f t="shared" si="15"/>
        <v>0</v>
      </c>
      <c r="U17" s="25">
        <f t="shared" si="7"/>
        <v>0</v>
      </c>
      <c r="V17" s="105">
        <f>U8+U16+U21+U27+U31</f>
        <v>0</v>
      </c>
      <c r="W17" s="108">
        <f>V17</f>
        <v>0</v>
      </c>
      <c r="Y17" s="25">
        <v>11</v>
      </c>
      <c r="Z17" s="32"/>
      <c r="AA17" s="32"/>
      <c r="AB17" s="32"/>
      <c r="AC17" s="24"/>
      <c r="AD17" s="25">
        <f t="shared" si="16"/>
        <v>0</v>
      </c>
      <c r="AE17" s="25">
        <f t="shared" si="9"/>
        <v>0</v>
      </c>
      <c r="AF17" s="25">
        <f t="shared" si="17"/>
        <v>0</v>
      </c>
      <c r="AG17" s="25">
        <f t="shared" si="11"/>
        <v>0</v>
      </c>
      <c r="AH17" s="105">
        <f>AG8+AG16+AG21+AG27+AG31</f>
        <v>0</v>
      </c>
      <c r="AI17" s="108">
        <f>AH17</f>
        <v>0</v>
      </c>
    </row>
    <row r="18" spans="1:35" ht="21" customHeight="1">
      <c r="A18" s="25">
        <v>12</v>
      </c>
      <c r="B18" s="32"/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/>
      <c r="O18" s="32"/>
      <c r="P18" s="32"/>
      <c r="Q18" s="24"/>
      <c r="R18" s="25">
        <f t="shared" si="14"/>
        <v>0</v>
      </c>
      <c r="S18" s="25">
        <f t="shared" si="5"/>
        <v>0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/>
      <c r="AA18" s="32"/>
      <c r="AB18" s="32"/>
      <c r="AC18" s="24"/>
      <c r="AD18" s="25">
        <f t="shared" si="16"/>
        <v>0</v>
      </c>
      <c r="AE18" s="25">
        <f t="shared" si="9"/>
        <v>0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/>
      <c r="C19" s="32"/>
      <c r="D19" s="32"/>
      <c r="E19" s="24"/>
      <c r="F19" s="25">
        <f t="shared" si="12"/>
        <v>0</v>
      </c>
      <c r="G19" s="25">
        <f t="shared" si="1"/>
        <v>0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/>
      <c r="O19" s="32"/>
      <c r="P19" s="32"/>
      <c r="Q19" s="24"/>
      <c r="R19" s="25">
        <f t="shared" si="14"/>
        <v>0</v>
      </c>
      <c r="S19" s="25">
        <f t="shared" si="5"/>
        <v>0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/>
      <c r="AA19" s="32"/>
      <c r="AB19" s="32"/>
      <c r="AC19" s="24"/>
      <c r="AD19" s="25">
        <f t="shared" si="16"/>
        <v>0</v>
      </c>
      <c r="AE19" s="25">
        <f t="shared" si="9"/>
        <v>0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/>
      <c r="C20" s="32"/>
      <c r="D20" s="32"/>
      <c r="E20" s="24"/>
      <c r="F20" s="25">
        <f>B20*2</f>
        <v>0</v>
      </c>
      <c r="G20" s="25">
        <f t="shared" si="1"/>
        <v>0</v>
      </c>
      <c r="H20" s="25">
        <f>D20*0</f>
        <v>0</v>
      </c>
      <c r="I20" s="25">
        <f t="shared" si="3"/>
        <v>0</v>
      </c>
      <c r="J20" s="24"/>
      <c r="K20" s="107" t="s">
        <v>100</v>
      </c>
      <c r="M20" s="25">
        <v>14</v>
      </c>
      <c r="N20" s="32"/>
      <c r="O20" s="32"/>
      <c r="P20" s="32"/>
      <c r="Q20" s="24"/>
      <c r="R20" s="25">
        <f>N20*2</f>
        <v>0</v>
      </c>
      <c r="S20" s="25">
        <f t="shared" si="5"/>
        <v>0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/>
      <c r="AA20" s="32"/>
      <c r="AB20" s="32"/>
      <c r="AC20" s="24"/>
      <c r="AD20" s="25">
        <f>Z20*2</f>
        <v>0</v>
      </c>
      <c r="AE20" s="25">
        <f t="shared" si="9"/>
        <v>0</v>
      </c>
      <c r="AF20" s="25">
        <f>AB20*0</f>
        <v>0</v>
      </c>
      <c r="AG20" s="25">
        <f t="shared" si="11"/>
        <v>0</v>
      </c>
      <c r="AH20" s="24"/>
      <c r="AI20" s="107" t="s">
        <v>100</v>
      </c>
    </row>
    <row r="21" spans="1:35" ht="21" customHeight="1">
      <c r="A21" s="25">
        <v>15</v>
      </c>
      <c r="B21" s="32"/>
      <c r="C21" s="32"/>
      <c r="D21" s="32"/>
      <c r="E21" s="24"/>
      <c r="F21" s="25">
        <f>B21*2</f>
        <v>0</v>
      </c>
      <c r="G21" s="25">
        <f t="shared" si="1"/>
        <v>0</v>
      </c>
      <c r="H21" s="25">
        <f>D21*0</f>
        <v>0</v>
      </c>
      <c r="I21" s="25">
        <f t="shared" si="3"/>
        <v>0</v>
      </c>
      <c r="J21" s="24"/>
      <c r="K21" s="107" t="s">
        <v>101</v>
      </c>
      <c r="M21" s="25">
        <v>15</v>
      </c>
      <c r="N21" s="32"/>
      <c r="O21" s="32"/>
      <c r="P21" s="32"/>
      <c r="Q21" s="24"/>
      <c r="R21" s="25">
        <f>N21*2</f>
        <v>0</v>
      </c>
      <c r="S21" s="25">
        <f t="shared" si="5"/>
        <v>0</v>
      </c>
      <c r="T21" s="25">
        <f>P21*0</f>
        <v>0</v>
      </c>
      <c r="U21" s="25">
        <f t="shared" si="7"/>
        <v>0</v>
      </c>
      <c r="V21" s="24"/>
      <c r="W21" s="107" t="s">
        <v>101</v>
      </c>
      <c r="Y21" s="25">
        <v>15</v>
      </c>
      <c r="Z21" s="32"/>
      <c r="AA21" s="32"/>
      <c r="AB21" s="32"/>
      <c r="AC21" s="24"/>
      <c r="AD21" s="25">
        <f>Z21*2</f>
        <v>0</v>
      </c>
      <c r="AE21" s="25">
        <f t="shared" si="9"/>
        <v>0</v>
      </c>
      <c r="AF21" s="25">
        <f>AB21*0</f>
        <v>0</v>
      </c>
      <c r="AG21" s="25">
        <f t="shared" si="11"/>
        <v>0</v>
      </c>
      <c r="AH21" s="24"/>
      <c r="AI21" s="107" t="s">
        <v>101</v>
      </c>
    </row>
    <row r="22" spans="1:35" ht="21" customHeight="1">
      <c r="A22" s="25">
        <v>16</v>
      </c>
      <c r="B22" s="32"/>
      <c r="C22" s="32"/>
      <c r="D22" s="32"/>
      <c r="E22" s="24"/>
      <c r="F22" s="25">
        <f>B22*0</f>
        <v>0</v>
      </c>
      <c r="G22" s="25">
        <f t="shared" si="1"/>
        <v>0</v>
      </c>
      <c r="H22" s="25">
        <f>D22*2</f>
        <v>0</v>
      </c>
      <c r="I22" s="25">
        <f t="shared" si="3"/>
        <v>0</v>
      </c>
      <c r="J22" s="105">
        <f>I12+I17+I20+I25+I29</f>
        <v>0</v>
      </c>
      <c r="K22" s="108">
        <f>J22</f>
        <v>0</v>
      </c>
      <c r="M22" s="25">
        <v>16</v>
      </c>
      <c r="N22" s="32"/>
      <c r="O22" s="32"/>
      <c r="P22" s="32"/>
      <c r="Q22" s="24"/>
      <c r="R22" s="25">
        <f>N22*0</f>
        <v>0</v>
      </c>
      <c r="S22" s="25">
        <f t="shared" si="5"/>
        <v>0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/>
      <c r="AA22" s="32"/>
      <c r="AB22" s="32"/>
      <c r="AC22" s="24"/>
      <c r="AD22" s="25">
        <f>Z22*0</f>
        <v>0</v>
      </c>
      <c r="AE22" s="25">
        <f t="shared" si="9"/>
        <v>0</v>
      </c>
      <c r="AF22" s="25">
        <f>AB22*2</f>
        <v>0</v>
      </c>
      <c r="AG22" s="25">
        <f t="shared" si="11"/>
        <v>0</v>
      </c>
      <c r="AH22" s="105">
        <f>AG12+AG17+AG20+AG25+AG29</f>
        <v>0</v>
      </c>
      <c r="AI22" s="108">
        <f>AH22</f>
        <v>0</v>
      </c>
    </row>
    <row r="23" spans="1:35" ht="21" customHeight="1">
      <c r="A23" s="25">
        <v>17</v>
      </c>
      <c r="B23" s="32"/>
      <c r="C23" s="32"/>
      <c r="D23" s="32"/>
      <c r="E23" s="24"/>
      <c r="F23" s="25">
        <f>B23*2</f>
        <v>0</v>
      </c>
      <c r="G23" s="25">
        <f t="shared" si="1"/>
        <v>0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/>
      <c r="O23" s="32"/>
      <c r="P23" s="32"/>
      <c r="Q23" s="24"/>
      <c r="R23" s="25">
        <f>N23*2</f>
        <v>0</v>
      </c>
      <c r="S23" s="25">
        <f t="shared" si="5"/>
        <v>0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/>
      <c r="AA23" s="32"/>
      <c r="AB23" s="32"/>
      <c r="AC23" s="24"/>
      <c r="AD23" s="25">
        <f>Z23*2</f>
        <v>0</v>
      </c>
      <c r="AE23" s="25">
        <f t="shared" si="9"/>
        <v>0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/>
      <c r="C24" s="32"/>
      <c r="D24" s="32"/>
      <c r="E24" s="24"/>
      <c r="F24" s="25">
        <f>B24*2</f>
        <v>0</v>
      </c>
      <c r="G24" s="25">
        <f t="shared" si="1"/>
        <v>0</v>
      </c>
      <c r="H24" s="25">
        <f>D24*0</f>
        <v>0</v>
      </c>
      <c r="I24" s="25">
        <f t="shared" si="3"/>
        <v>0</v>
      </c>
      <c r="J24" s="24"/>
      <c r="K24" s="25"/>
      <c r="M24" s="25">
        <v>18</v>
      </c>
      <c r="N24" s="32"/>
      <c r="O24" s="32"/>
      <c r="P24" s="32"/>
      <c r="Q24" s="24"/>
      <c r="R24" s="25">
        <f>N24*2</f>
        <v>0</v>
      </c>
      <c r="S24" s="25">
        <f t="shared" si="5"/>
        <v>0</v>
      </c>
      <c r="T24" s="25">
        <f>P24*0</f>
        <v>0</v>
      </c>
      <c r="U24" s="25">
        <f t="shared" si="7"/>
        <v>0</v>
      </c>
      <c r="V24" s="24"/>
      <c r="W24" s="25"/>
      <c r="Y24" s="25">
        <v>18</v>
      </c>
      <c r="Z24" s="32"/>
      <c r="AA24" s="32"/>
      <c r="AB24" s="32"/>
      <c r="AC24" s="24"/>
      <c r="AD24" s="25">
        <f>Z24*2</f>
        <v>0</v>
      </c>
      <c r="AE24" s="25">
        <f t="shared" si="9"/>
        <v>0</v>
      </c>
      <c r="AF24" s="25">
        <f>AB24*0</f>
        <v>0</v>
      </c>
      <c r="AG24" s="25">
        <f t="shared" si="11"/>
        <v>0</v>
      </c>
      <c r="AH24" s="24"/>
      <c r="AI24" s="25"/>
    </row>
    <row r="25" spans="1:35" ht="21" customHeight="1">
      <c r="A25" s="25">
        <v>19</v>
      </c>
      <c r="B25" s="32"/>
      <c r="C25" s="32"/>
      <c r="D25" s="32"/>
      <c r="E25" s="24"/>
      <c r="F25" s="25">
        <f t="shared" ref="F25:F31" si="18">B25*0</f>
        <v>0</v>
      </c>
      <c r="G25" s="25">
        <f t="shared" si="1"/>
        <v>0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/>
      <c r="O25" s="32"/>
      <c r="P25" s="32"/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/>
      <c r="AA25" s="32"/>
      <c r="AB25" s="32"/>
      <c r="AC25" s="24"/>
      <c r="AD25" s="25">
        <f t="shared" ref="AD25:AD31" si="22">Z25*0</f>
        <v>0</v>
      </c>
      <c r="AE25" s="25">
        <f t="shared" si="9"/>
        <v>0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/>
      <c r="D26" s="32"/>
      <c r="E26" s="24"/>
      <c r="F26" s="25">
        <f t="shared" si="18"/>
        <v>0</v>
      </c>
      <c r="G26" s="25">
        <f t="shared" si="1"/>
        <v>0</v>
      </c>
      <c r="H26" s="25">
        <f t="shared" si="19"/>
        <v>0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/>
      <c r="P26" s="32"/>
      <c r="Q26" s="24"/>
      <c r="R26" s="25">
        <f t="shared" si="20"/>
        <v>0</v>
      </c>
      <c r="S26" s="25">
        <f t="shared" si="5"/>
        <v>0</v>
      </c>
      <c r="T26" s="25">
        <f t="shared" si="21"/>
        <v>0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/>
      <c r="AB26" s="32"/>
      <c r="AC26" s="24"/>
      <c r="AD26" s="25">
        <f t="shared" si="22"/>
        <v>0</v>
      </c>
      <c r="AE26" s="25">
        <f t="shared" si="9"/>
        <v>0</v>
      </c>
      <c r="AF26" s="25">
        <f t="shared" si="23"/>
        <v>0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/>
      <c r="D27" s="32"/>
      <c r="E27" s="24"/>
      <c r="F27" s="25">
        <f t="shared" si="18"/>
        <v>0</v>
      </c>
      <c r="G27" s="25">
        <f t="shared" si="1"/>
        <v>0</v>
      </c>
      <c r="H27" s="25">
        <f t="shared" si="19"/>
        <v>0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/>
      <c r="O27" s="32"/>
      <c r="P27" s="32"/>
      <c r="Q27" s="24"/>
      <c r="R27" s="25">
        <f t="shared" si="20"/>
        <v>0</v>
      </c>
      <c r="S27" s="25">
        <f t="shared" si="5"/>
        <v>0</v>
      </c>
      <c r="T27" s="25">
        <f t="shared" si="21"/>
        <v>0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/>
      <c r="AA27" s="32"/>
      <c r="AB27" s="32"/>
      <c r="AC27" s="24"/>
      <c r="AD27" s="25">
        <f t="shared" si="22"/>
        <v>0</v>
      </c>
      <c r="AE27" s="25">
        <f t="shared" si="9"/>
        <v>0</v>
      </c>
      <c r="AF27" s="25">
        <f t="shared" si="23"/>
        <v>0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/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/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/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/>
      <c r="C29" s="32"/>
      <c r="D29" s="32"/>
      <c r="E29" s="24"/>
      <c r="F29" s="25">
        <f t="shared" si="18"/>
        <v>0</v>
      </c>
      <c r="G29" s="25">
        <f t="shared" si="1"/>
        <v>0</v>
      </c>
      <c r="H29" s="25">
        <f t="shared" si="19"/>
        <v>0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/>
      <c r="P29" s="32"/>
      <c r="Q29" s="24"/>
      <c r="R29" s="25">
        <f t="shared" si="20"/>
        <v>0</v>
      </c>
      <c r="S29" s="25">
        <f t="shared" si="5"/>
        <v>0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/>
      <c r="AA29" s="32"/>
      <c r="AB29" s="32"/>
      <c r="AC29" s="24"/>
      <c r="AD29" s="25">
        <f t="shared" si="22"/>
        <v>0</v>
      </c>
      <c r="AE29" s="25">
        <f t="shared" si="9"/>
        <v>0</v>
      </c>
      <c r="AF29" s="25">
        <f t="shared" si="23"/>
        <v>0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/>
      <c r="C30" s="32"/>
      <c r="D30" s="32"/>
      <c r="E30" s="24"/>
      <c r="F30" s="25">
        <f t="shared" si="18"/>
        <v>0</v>
      </c>
      <c r="G30" s="25">
        <f t="shared" si="1"/>
        <v>0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/>
      <c r="O30" s="32"/>
      <c r="P30" s="32"/>
      <c r="Q30" s="24"/>
      <c r="R30" s="25">
        <f t="shared" si="20"/>
        <v>0</v>
      </c>
      <c r="S30" s="25">
        <f t="shared" si="5"/>
        <v>0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/>
      <c r="AA30" s="32"/>
      <c r="AB30" s="32"/>
      <c r="AC30" s="24"/>
      <c r="AD30" s="25">
        <f t="shared" si="22"/>
        <v>0</v>
      </c>
      <c r="AE30" s="25">
        <f t="shared" si="9"/>
        <v>0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/>
      <c r="D31" s="32"/>
      <c r="E31" s="24"/>
      <c r="F31" s="25">
        <f t="shared" si="18"/>
        <v>0</v>
      </c>
      <c r="G31" s="25">
        <f t="shared" si="1"/>
        <v>0</v>
      </c>
      <c r="H31" s="25">
        <f t="shared" si="19"/>
        <v>0</v>
      </c>
      <c r="I31" s="25">
        <f t="shared" si="3"/>
        <v>0</v>
      </c>
      <c r="J31" s="24"/>
      <c r="K31" s="108">
        <f>K7+K12+K17+K22</f>
        <v>0</v>
      </c>
      <c r="M31" s="25">
        <v>25</v>
      </c>
      <c r="N31" s="32"/>
      <c r="O31" s="32"/>
      <c r="P31" s="32"/>
      <c r="Q31" s="24"/>
      <c r="R31" s="25">
        <f t="shared" si="20"/>
        <v>0</v>
      </c>
      <c r="S31" s="25">
        <f t="shared" si="5"/>
        <v>0</v>
      </c>
      <c r="T31" s="25">
        <f t="shared" si="21"/>
        <v>0</v>
      </c>
      <c r="U31" s="25">
        <f t="shared" si="7"/>
        <v>0</v>
      </c>
      <c r="V31" s="24"/>
      <c r="W31" s="108">
        <f>W7+W12+W17+W22</f>
        <v>0</v>
      </c>
      <c r="Y31" s="25">
        <v>25</v>
      </c>
      <c r="Z31" s="32"/>
      <c r="AA31" s="32"/>
      <c r="AB31" s="32"/>
      <c r="AC31" s="24"/>
      <c r="AD31" s="25">
        <f t="shared" si="22"/>
        <v>0</v>
      </c>
      <c r="AE31" s="25">
        <f t="shared" si="9"/>
        <v>0</v>
      </c>
      <c r="AF31" s="25">
        <f t="shared" si="23"/>
        <v>0</v>
      </c>
      <c r="AG31" s="25">
        <f t="shared" si="11"/>
        <v>0</v>
      </c>
      <c r="AH31" s="24"/>
      <c r="AI31" s="108">
        <f>AI7+AI12+AI17+AI22</f>
        <v>0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7"/>
  </sheetPr>
  <dimension ref="A1:AI41"/>
  <sheetViews>
    <sheetView zoomScale="150" workbookViewId="0">
      <selection activeCell="AI3" sqref="AI3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>
        <f>รายชื่อ!B31</f>
        <v>0</v>
      </c>
      <c r="C3" s="110">
        <f>รายชื่อ!C31</f>
        <v>0</v>
      </c>
      <c r="D3" s="110">
        <f>รายชื่อ!D31</f>
        <v>0</v>
      </c>
      <c r="E3" s="60"/>
      <c r="F3" s="103"/>
      <c r="G3" s="165"/>
      <c r="H3" s="165"/>
      <c r="I3" s="165"/>
      <c r="J3" s="25"/>
      <c r="K3" s="106" t="s">
        <v>57</v>
      </c>
      <c r="M3" s="25" t="s">
        <v>85</v>
      </c>
      <c r="N3" s="110">
        <f>รายชื่อ!B31</f>
        <v>0</v>
      </c>
      <c r="O3" s="110">
        <f>รายชื่อ!C31</f>
        <v>0</v>
      </c>
      <c r="P3" s="110">
        <f>รายชื่อ!D31</f>
        <v>0</v>
      </c>
      <c r="Q3" s="60"/>
      <c r="R3" s="103"/>
      <c r="S3" s="165"/>
      <c r="T3" s="165"/>
      <c r="U3" s="165"/>
      <c r="V3" s="25"/>
      <c r="W3" s="106" t="s">
        <v>57</v>
      </c>
      <c r="Y3" s="25" t="s">
        <v>85</v>
      </c>
      <c r="Z3" s="110">
        <f>รายชื่อ!B31</f>
        <v>0</v>
      </c>
      <c r="AA3" s="110">
        <f>รายชื่อ!C31</f>
        <v>0</v>
      </c>
      <c r="AB3" s="110">
        <f>รายชื่อ!D31</f>
        <v>0</v>
      </c>
      <c r="AC3" s="60"/>
      <c r="AD3" s="103"/>
      <c r="AE3" s="165"/>
      <c r="AF3" s="165"/>
      <c r="AG3" s="165"/>
      <c r="AH3" s="25"/>
      <c r="AI3" s="106" t="s">
        <v>57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/>
      <c r="C7" s="32"/>
      <c r="D7" s="32"/>
      <c r="E7" s="24"/>
      <c r="F7" s="25">
        <f t="shared" ref="F7:F12" si="0">B7*0</f>
        <v>0</v>
      </c>
      <c r="G7" s="25">
        <f t="shared" ref="G7:G31" si="1">C7*1</f>
        <v>0</v>
      </c>
      <c r="H7" s="25">
        <f t="shared" ref="H7:H12" si="2">D7*2</f>
        <v>0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/>
      <c r="O7" s="32"/>
      <c r="P7" s="32"/>
      <c r="Q7" s="24"/>
      <c r="R7" s="25">
        <f t="shared" ref="R7:R12" si="4">N7*0</f>
        <v>0</v>
      </c>
      <c r="S7" s="25">
        <f t="shared" ref="S7:S31" si="5">O7*1</f>
        <v>0</v>
      </c>
      <c r="T7" s="25">
        <f t="shared" ref="T7:T12" si="6">P7*2</f>
        <v>0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/>
      <c r="AB7" s="32"/>
      <c r="AC7" s="24"/>
      <c r="AD7" s="25">
        <f t="shared" ref="AD7:AD12" si="8">Z7*0</f>
        <v>0</v>
      </c>
      <c r="AE7" s="25">
        <f t="shared" ref="AE7:AE31" si="9">AA7*1</f>
        <v>0</v>
      </c>
      <c r="AF7" s="25">
        <f t="shared" ref="AF7:AF12" si="10">AB7*2</f>
        <v>0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/>
      <c r="C8" s="32"/>
      <c r="D8" s="32"/>
      <c r="E8" s="24"/>
      <c r="F8" s="25">
        <f t="shared" si="0"/>
        <v>0</v>
      </c>
      <c r="G8" s="25">
        <f t="shared" si="1"/>
        <v>0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/>
      <c r="O8" s="32"/>
      <c r="P8" s="32"/>
      <c r="Q8" s="24"/>
      <c r="R8" s="25">
        <f t="shared" si="4"/>
        <v>0</v>
      </c>
      <c r="S8" s="25">
        <f t="shared" si="5"/>
        <v>0</v>
      </c>
      <c r="T8" s="25">
        <f t="shared" si="6"/>
        <v>0</v>
      </c>
      <c r="U8" s="25">
        <f t="shared" si="7"/>
        <v>0</v>
      </c>
      <c r="V8" s="24"/>
      <c r="W8" s="25"/>
      <c r="Y8" s="25">
        <v>2</v>
      </c>
      <c r="Z8" s="32"/>
      <c r="AA8" s="32"/>
      <c r="AB8" s="32"/>
      <c r="AC8" s="24"/>
      <c r="AD8" s="25">
        <f t="shared" si="8"/>
        <v>0</v>
      </c>
      <c r="AE8" s="25">
        <f t="shared" si="9"/>
        <v>0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/>
      <c r="C9" s="32"/>
      <c r="D9" s="32"/>
      <c r="E9" s="24"/>
      <c r="F9" s="25">
        <f t="shared" si="0"/>
        <v>0</v>
      </c>
      <c r="G9" s="25">
        <f t="shared" si="1"/>
        <v>0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/>
      <c r="O9" s="32"/>
      <c r="P9" s="32"/>
      <c r="Q9" s="24"/>
      <c r="R9" s="25">
        <f t="shared" si="4"/>
        <v>0</v>
      </c>
      <c r="S9" s="25">
        <f t="shared" si="5"/>
        <v>0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/>
      <c r="AA9" s="32"/>
      <c r="AB9" s="32"/>
      <c r="AC9" s="24"/>
      <c r="AD9" s="25">
        <f t="shared" si="8"/>
        <v>0</v>
      </c>
      <c r="AE9" s="25">
        <f t="shared" si="9"/>
        <v>0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/>
      <c r="D10" s="32"/>
      <c r="E10" s="24"/>
      <c r="F10" s="25">
        <f t="shared" si="0"/>
        <v>0</v>
      </c>
      <c r="G10" s="25">
        <f t="shared" si="1"/>
        <v>0</v>
      </c>
      <c r="H10" s="25">
        <f t="shared" si="2"/>
        <v>0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/>
      <c r="P10" s="32"/>
      <c r="Q10" s="24"/>
      <c r="R10" s="25">
        <f t="shared" si="4"/>
        <v>0</v>
      </c>
      <c r="S10" s="25">
        <f t="shared" si="5"/>
        <v>0</v>
      </c>
      <c r="T10" s="25">
        <f t="shared" si="6"/>
        <v>0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/>
      <c r="AB10" s="32"/>
      <c r="AC10" s="24"/>
      <c r="AD10" s="25">
        <f t="shared" si="8"/>
        <v>0</v>
      </c>
      <c r="AE10" s="25">
        <f t="shared" si="9"/>
        <v>0</v>
      </c>
      <c r="AF10" s="25">
        <f t="shared" si="10"/>
        <v>0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/>
      <c r="C11" s="32"/>
      <c r="D11" s="32"/>
      <c r="E11" s="24"/>
      <c r="F11" s="25">
        <f t="shared" si="0"/>
        <v>0</v>
      </c>
      <c r="G11" s="25">
        <f t="shared" si="1"/>
        <v>0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/>
      <c r="O11" s="32"/>
      <c r="P11" s="32"/>
      <c r="Q11" s="24"/>
      <c r="R11" s="25">
        <f t="shared" si="4"/>
        <v>0</v>
      </c>
      <c r="S11" s="25">
        <f t="shared" si="5"/>
        <v>0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/>
      <c r="AA11" s="32"/>
      <c r="AB11" s="32"/>
      <c r="AC11" s="24"/>
      <c r="AD11" s="25">
        <f t="shared" si="8"/>
        <v>0</v>
      </c>
      <c r="AE11" s="25">
        <f t="shared" si="9"/>
        <v>0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/>
      <c r="C12" s="32"/>
      <c r="D12" s="32"/>
      <c r="E12" s="24"/>
      <c r="F12" s="25">
        <f t="shared" si="0"/>
        <v>0</v>
      </c>
      <c r="G12" s="25">
        <f t="shared" si="1"/>
        <v>0</v>
      </c>
      <c r="H12" s="25">
        <f t="shared" si="2"/>
        <v>0</v>
      </c>
      <c r="I12" s="25">
        <f t="shared" si="3"/>
        <v>0</v>
      </c>
      <c r="J12" s="105">
        <f>I11+I13+I18+I24+I28</f>
        <v>0</v>
      </c>
      <c r="K12" s="108">
        <f>J12</f>
        <v>0</v>
      </c>
      <c r="M12" s="25">
        <v>6</v>
      </c>
      <c r="N12" s="32"/>
      <c r="O12" s="32"/>
      <c r="P12" s="32"/>
      <c r="Q12" s="24"/>
      <c r="R12" s="25">
        <f t="shared" si="4"/>
        <v>0</v>
      </c>
      <c r="S12" s="25">
        <f t="shared" si="5"/>
        <v>0</v>
      </c>
      <c r="T12" s="25">
        <f t="shared" si="6"/>
        <v>0</v>
      </c>
      <c r="U12" s="25">
        <f t="shared" si="7"/>
        <v>0</v>
      </c>
      <c r="V12" s="105">
        <f>U11+U13+U18+U24+U28</f>
        <v>0</v>
      </c>
      <c r="W12" s="108">
        <f>V12</f>
        <v>0</v>
      </c>
      <c r="Y12" s="25">
        <v>6</v>
      </c>
      <c r="Z12" s="32"/>
      <c r="AA12" s="32"/>
      <c r="AB12" s="32"/>
      <c r="AC12" s="24"/>
      <c r="AD12" s="25">
        <f t="shared" si="8"/>
        <v>0</v>
      </c>
      <c r="AE12" s="25">
        <f t="shared" si="9"/>
        <v>0</v>
      </c>
      <c r="AF12" s="25">
        <f t="shared" si="10"/>
        <v>0</v>
      </c>
      <c r="AG12" s="25">
        <f t="shared" si="11"/>
        <v>0</v>
      </c>
      <c r="AH12" s="105">
        <f>AG11+AG13+AG18+AG24+AG28</f>
        <v>0</v>
      </c>
      <c r="AI12" s="108">
        <f>AH12</f>
        <v>0</v>
      </c>
    </row>
    <row r="13" spans="1:35" ht="21" customHeight="1">
      <c r="A13" s="25">
        <v>7</v>
      </c>
      <c r="B13" s="32"/>
      <c r="C13" s="32"/>
      <c r="D13" s="32"/>
      <c r="E13" s="24"/>
      <c r="F13" s="25">
        <f>B13*2</f>
        <v>0</v>
      </c>
      <c r="G13" s="25">
        <f t="shared" si="1"/>
        <v>0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/>
      <c r="P13" s="32"/>
      <c r="Q13" s="24"/>
      <c r="R13" s="25">
        <f>N13*2</f>
        <v>0</v>
      </c>
      <c r="S13" s="25">
        <f t="shared" si="5"/>
        <v>0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/>
      <c r="AA13" s="32"/>
      <c r="AB13" s="32"/>
      <c r="AC13" s="24"/>
      <c r="AD13" s="25">
        <f>Z13*2</f>
        <v>0</v>
      </c>
      <c r="AE13" s="25">
        <f t="shared" si="9"/>
        <v>0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/>
      <c r="C14" s="32"/>
      <c r="D14" s="32"/>
      <c r="E14" s="24"/>
      <c r="F14" s="25">
        <f t="shared" ref="F14:F19" si="12">B14*0</f>
        <v>0</v>
      </c>
      <c r="G14" s="25">
        <f t="shared" si="1"/>
        <v>0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/>
      <c r="O14" s="32"/>
      <c r="P14" s="32"/>
      <c r="Q14" s="24"/>
      <c r="R14" s="25">
        <f t="shared" ref="R14:R19" si="14">N14*0</f>
        <v>0</v>
      </c>
      <c r="S14" s="25">
        <f t="shared" si="5"/>
        <v>0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/>
      <c r="AA14" s="32"/>
      <c r="AB14" s="32"/>
      <c r="AC14" s="24"/>
      <c r="AD14" s="25">
        <f t="shared" ref="AD14:AD19" si="16">Z14*0</f>
        <v>0</v>
      </c>
      <c r="AE14" s="25">
        <f t="shared" si="9"/>
        <v>0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/>
      <c r="D15" s="32"/>
      <c r="E15" s="24"/>
      <c r="F15" s="25">
        <f t="shared" si="12"/>
        <v>0</v>
      </c>
      <c r="G15" s="25">
        <f t="shared" si="1"/>
        <v>0</v>
      </c>
      <c r="H15" s="25">
        <f t="shared" si="13"/>
        <v>0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/>
      <c r="P15" s="32"/>
      <c r="Q15" s="24"/>
      <c r="R15" s="25">
        <f t="shared" si="14"/>
        <v>0</v>
      </c>
      <c r="S15" s="25">
        <f t="shared" si="5"/>
        <v>0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/>
      <c r="AA15" s="32"/>
      <c r="AB15" s="32"/>
      <c r="AC15" s="24"/>
      <c r="AD15" s="25">
        <f t="shared" si="16"/>
        <v>0</v>
      </c>
      <c r="AE15" s="25">
        <f t="shared" si="9"/>
        <v>0</v>
      </c>
      <c r="AF15" s="25">
        <f t="shared" si="17"/>
        <v>0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/>
      <c r="C16" s="32"/>
      <c r="D16" s="32"/>
      <c r="E16" s="24"/>
      <c r="F16" s="25">
        <f t="shared" si="12"/>
        <v>0</v>
      </c>
      <c r="G16" s="25">
        <f t="shared" si="1"/>
        <v>0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/>
      <c r="O16" s="32"/>
      <c r="P16" s="32"/>
      <c r="Q16" s="24"/>
      <c r="R16" s="25">
        <f t="shared" si="14"/>
        <v>0</v>
      </c>
      <c r="S16" s="25">
        <f t="shared" si="5"/>
        <v>0</v>
      </c>
      <c r="T16" s="25">
        <f t="shared" si="15"/>
        <v>0</v>
      </c>
      <c r="U16" s="25">
        <f t="shared" si="7"/>
        <v>0</v>
      </c>
      <c r="V16" s="24"/>
      <c r="W16" s="107" t="s">
        <v>99</v>
      </c>
      <c r="Y16" s="25">
        <v>10</v>
      </c>
      <c r="Z16" s="32"/>
      <c r="AA16" s="32"/>
      <c r="AB16" s="32"/>
      <c r="AC16" s="24"/>
      <c r="AD16" s="25">
        <f t="shared" si="16"/>
        <v>0</v>
      </c>
      <c r="AE16" s="25">
        <f t="shared" si="9"/>
        <v>0</v>
      </c>
      <c r="AF16" s="25">
        <f t="shared" si="17"/>
        <v>0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/>
      <c r="D17" s="32"/>
      <c r="E17" s="24"/>
      <c r="F17" s="25">
        <f t="shared" si="12"/>
        <v>0</v>
      </c>
      <c r="G17" s="25">
        <f t="shared" si="1"/>
        <v>0</v>
      </c>
      <c r="H17" s="25">
        <f t="shared" si="13"/>
        <v>0</v>
      </c>
      <c r="I17" s="25">
        <f t="shared" si="3"/>
        <v>0</v>
      </c>
      <c r="J17" s="105">
        <f>I8+I16+I21+I27+I31</f>
        <v>0</v>
      </c>
      <c r="K17" s="108">
        <f>J17</f>
        <v>0</v>
      </c>
      <c r="M17" s="25">
        <v>11</v>
      </c>
      <c r="N17" s="32"/>
      <c r="O17" s="32"/>
      <c r="P17" s="32"/>
      <c r="Q17" s="24"/>
      <c r="R17" s="25">
        <f t="shared" si="14"/>
        <v>0</v>
      </c>
      <c r="S17" s="25">
        <f t="shared" si="5"/>
        <v>0</v>
      </c>
      <c r="T17" s="25">
        <f t="shared" si="15"/>
        <v>0</v>
      </c>
      <c r="U17" s="25">
        <f t="shared" si="7"/>
        <v>0</v>
      </c>
      <c r="V17" s="105">
        <f>U8+U16+U21+U27+U31</f>
        <v>0</v>
      </c>
      <c r="W17" s="108">
        <f>V17</f>
        <v>0</v>
      </c>
      <c r="Y17" s="25">
        <v>11</v>
      </c>
      <c r="Z17" s="32"/>
      <c r="AA17" s="32"/>
      <c r="AB17" s="32"/>
      <c r="AC17" s="24"/>
      <c r="AD17" s="25">
        <f t="shared" si="16"/>
        <v>0</v>
      </c>
      <c r="AE17" s="25">
        <f t="shared" si="9"/>
        <v>0</v>
      </c>
      <c r="AF17" s="25">
        <f t="shared" si="17"/>
        <v>0</v>
      </c>
      <c r="AG17" s="25">
        <f t="shared" si="11"/>
        <v>0</v>
      </c>
      <c r="AH17" s="105">
        <f>AG8+AG16+AG21+AG27+AG31</f>
        <v>0</v>
      </c>
      <c r="AI17" s="108">
        <f>AH17</f>
        <v>0</v>
      </c>
    </row>
    <row r="18" spans="1:35" ht="21" customHeight="1">
      <c r="A18" s="25">
        <v>12</v>
      </c>
      <c r="B18" s="32"/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/>
      <c r="O18" s="32"/>
      <c r="P18" s="32"/>
      <c r="Q18" s="24"/>
      <c r="R18" s="25">
        <f t="shared" si="14"/>
        <v>0</v>
      </c>
      <c r="S18" s="25">
        <f t="shared" si="5"/>
        <v>0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/>
      <c r="AA18" s="32"/>
      <c r="AB18" s="32"/>
      <c r="AC18" s="24"/>
      <c r="AD18" s="25">
        <f t="shared" si="16"/>
        <v>0</v>
      </c>
      <c r="AE18" s="25">
        <f t="shared" si="9"/>
        <v>0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/>
      <c r="C19" s="32"/>
      <c r="D19" s="32"/>
      <c r="E19" s="24"/>
      <c r="F19" s="25">
        <f t="shared" si="12"/>
        <v>0</v>
      </c>
      <c r="G19" s="25">
        <f t="shared" si="1"/>
        <v>0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/>
      <c r="O19" s="32"/>
      <c r="P19" s="32"/>
      <c r="Q19" s="24"/>
      <c r="R19" s="25">
        <f t="shared" si="14"/>
        <v>0</v>
      </c>
      <c r="S19" s="25">
        <f t="shared" si="5"/>
        <v>0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/>
      <c r="AA19" s="32"/>
      <c r="AB19" s="32"/>
      <c r="AC19" s="24"/>
      <c r="AD19" s="25">
        <f t="shared" si="16"/>
        <v>0</v>
      </c>
      <c r="AE19" s="25">
        <f t="shared" si="9"/>
        <v>0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/>
      <c r="C20" s="32"/>
      <c r="D20" s="32"/>
      <c r="E20" s="24"/>
      <c r="F20" s="25">
        <f>B20*2</f>
        <v>0</v>
      </c>
      <c r="G20" s="25">
        <f t="shared" si="1"/>
        <v>0</v>
      </c>
      <c r="H20" s="25">
        <f>D20*0</f>
        <v>0</v>
      </c>
      <c r="I20" s="25">
        <f t="shared" si="3"/>
        <v>0</v>
      </c>
      <c r="J20" s="24"/>
      <c r="K20" s="107" t="s">
        <v>100</v>
      </c>
      <c r="M20" s="25">
        <v>14</v>
      </c>
      <c r="N20" s="32"/>
      <c r="O20" s="32"/>
      <c r="P20" s="32"/>
      <c r="Q20" s="24"/>
      <c r="R20" s="25">
        <f>N20*2</f>
        <v>0</v>
      </c>
      <c r="S20" s="25">
        <f t="shared" si="5"/>
        <v>0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/>
      <c r="AA20" s="32"/>
      <c r="AB20" s="32"/>
      <c r="AC20" s="24"/>
      <c r="AD20" s="25">
        <f>Z20*2</f>
        <v>0</v>
      </c>
      <c r="AE20" s="25">
        <f t="shared" si="9"/>
        <v>0</v>
      </c>
      <c r="AF20" s="25">
        <f>AB20*0</f>
        <v>0</v>
      </c>
      <c r="AG20" s="25">
        <f t="shared" si="11"/>
        <v>0</v>
      </c>
      <c r="AH20" s="24"/>
      <c r="AI20" s="107" t="s">
        <v>100</v>
      </c>
    </row>
    <row r="21" spans="1:35" ht="21" customHeight="1">
      <c r="A21" s="25">
        <v>15</v>
      </c>
      <c r="B21" s="32"/>
      <c r="C21" s="32"/>
      <c r="D21" s="32"/>
      <c r="E21" s="24"/>
      <c r="F21" s="25">
        <f>B21*2</f>
        <v>0</v>
      </c>
      <c r="G21" s="25">
        <f t="shared" si="1"/>
        <v>0</v>
      </c>
      <c r="H21" s="25">
        <f>D21*0</f>
        <v>0</v>
      </c>
      <c r="I21" s="25">
        <f t="shared" si="3"/>
        <v>0</v>
      </c>
      <c r="J21" s="24"/>
      <c r="K21" s="107" t="s">
        <v>101</v>
      </c>
      <c r="M21" s="25">
        <v>15</v>
      </c>
      <c r="N21" s="32"/>
      <c r="O21" s="32"/>
      <c r="P21" s="32"/>
      <c r="Q21" s="24"/>
      <c r="R21" s="25">
        <f>N21*2</f>
        <v>0</v>
      </c>
      <c r="S21" s="25">
        <f t="shared" si="5"/>
        <v>0</v>
      </c>
      <c r="T21" s="25">
        <f>P21*0</f>
        <v>0</v>
      </c>
      <c r="U21" s="25">
        <f t="shared" si="7"/>
        <v>0</v>
      </c>
      <c r="V21" s="24"/>
      <c r="W21" s="107" t="s">
        <v>101</v>
      </c>
      <c r="Y21" s="25">
        <v>15</v>
      </c>
      <c r="Z21" s="32"/>
      <c r="AA21" s="32"/>
      <c r="AB21" s="32"/>
      <c r="AC21" s="24"/>
      <c r="AD21" s="25">
        <f>Z21*2</f>
        <v>0</v>
      </c>
      <c r="AE21" s="25">
        <f t="shared" si="9"/>
        <v>0</v>
      </c>
      <c r="AF21" s="25">
        <f>AB21*0</f>
        <v>0</v>
      </c>
      <c r="AG21" s="25">
        <f t="shared" si="11"/>
        <v>0</v>
      </c>
      <c r="AH21" s="24"/>
      <c r="AI21" s="107" t="s">
        <v>101</v>
      </c>
    </row>
    <row r="22" spans="1:35" ht="21" customHeight="1">
      <c r="A22" s="25">
        <v>16</v>
      </c>
      <c r="B22" s="32"/>
      <c r="C22" s="32"/>
      <c r="D22" s="32"/>
      <c r="E22" s="24"/>
      <c r="F22" s="25">
        <f>B22*0</f>
        <v>0</v>
      </c>
      <c r="G22" s="25">
        <f t="shared" si="1"/>
        <v>0</v>
      </c>
      <c r="H22" s="25">
        <f>D22*2</f>
        <v>0</v>
      </c>
      <c r="I22" s="25">
        <f t="shared" si="3"/>
        <v>0</v>
      </c>
      <c r="J22" s="105">
        <f>I12+I17+I20+I25+I29</f>
        <v>0</v>
      </c>
      <c r="K22" s="108">
        <f>J22</f>
        <v>0</v>
      </c>
      <c r="M22" s="25">
        <v>16</v>
      </c>
      <c r="N22" s="32"/>
      <c r="O22" s="32"/>
      <c r="P22" s="32"/>
      <c r="Q22" s="24"/>
      <c r="R22" s="25">
        <f>N22*0</f>
        <v>0</v>
      </c>
      <c r="S22" s="25">
        <f t="shared" si="5"/>
        <v>0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/>
      <c r="AA22" s="32"/>
      <c r="AB22" s="32"/>
      <c r="AC22" s="24"/>
      <c r="AD22" s="25">
        <f>Z22*0</f>
        <v>0</v>
      </c>
      <c r="AE22" s="25">
        <f t="shared" si="9"/>
        <v>0</v>
      </c>
      <c r="AF22" s="25">
        <f>AB22*2</f>
        <v>0</v>
      </c>
      <c r="AG22" s="25">
        <f t="shared" si="11"/>
        <v>0</v>
      </c>
      <c r="AH22" s="105">
        <f>AG12+AG17+AG20+AG25+AG29</f>
        <v>0</v>
      </c>
      <c r="AI22" s="108">
        <f>AH22</f>
        <v>0</v>
      </c>
    </row>
    <row r="23" spans="1:35" ht="21" customHeight="1">
      <c r="A23" s="25">
        <v>17</v>
      </c>
      <c r="B23" s="32"/>
      <c r="C23" s="32"/>
      <c r="D23" s="32"/>
      <c r="E23" s="24"/>
      <c r="F23" s="25">
        <f>B23*2</f>
        <v>0</v>
      </c>
      <c r="G23" s="25">
        <f t="shared" si="1"/>
        <v>0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/>
      <c r="O23" s="32"/>
      <c r="P23" s="32"/>
      <c r="Q23" s="24"/>
      <c r="R23" s="25">
        <f>N23*2</f>
        <v>0</v>
      </c>
      <c r="S23" s="25">
        <f t="shared" si="5"/>
        <v>0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/>
      <c r="AA23" s="32"/>
      <c r="AB23" s="32"/>
      <c r="AC23" s="24"/>
      <c r="AD23" s="25">
        <f>Z23*2</f>
        <v>0</v>
      </c>
      <c r="AE23" s="25">
        <f t="shared" si="9"/>
        <v>0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/>
      <c r="C24" s="32"/>
      <c r="D24" s="32"/>
      <c r="E24" s="24"/>
      <c r="F24" s="25">
        <f>B24*2</f>
        <v>0</v>
      </c>
      <c r="G24" s="25">
        <f t="shared" si="1"/>
        <v>0</v>
      </c>
      <c r="H24" s="25">
        <f>D24*0</f>
        <v>0</v>
      </c>
      <c r="I24" s="25">
        <f t="shared" si="3"/>
        <v>0</v>
      </c>
      <c r="J24" s="24"/>
      <c r="K24" s="25"/>
      <c r="M24" s="25">
        <v>18</v>
      </c>
      <c r="N24" s="32"/>
      <c r="O24" s="32"/>
      <c r="P24" s="32"/>
      <c r="Q24" s="24"/>
      <c r="R24" s="25">
        <f>N24*2</f>
        <v>0</v>
      </c>
      <c r="S24" s="25">
        <f t="shared" si="5"/>
        <v>0</v>
      </c>
      <c r="T24" s="25">
        <f>P24*0</f>
        <v>0</v>
      </c>
      <c r="U24" s="25">
        <f t="shared" si="7"/>
        <v>0</v>
      </c>
      <c r="V24" s="24"/>
      <c r="W24" s="25"/>
      <c r="Y24" s="25">
        <v>18</v>
      </c>
      <c r="Z24" s="32"/>
      <c r="AA24" s="32"/>
      <c r="AB24" s="32"/>
      <c r="AC24" s="24"/>
      <c r="AD24" s="25">
        <f>Z24*2</f>
        <v>0</v>
      </c>
      <c r="AE24" s="25">
        <f t="shared" si="9"/>
        <v>0</v>
      </c>
      <c r="AF24" s="25">
        <f>AB24*0</f>
        <v>0</v>
      </c>
      <c r="AG24" s="25">
        <f t="shared" si="11"/>
        <v>0</v>
      </c>
      <c r="AH24" s="24"/>
      <c r="AI24" s="25"/>
    </row>
    <row r="25" spans="1:35" ht="21" customHeight="1">
      <c r="A25" s="25">
        <v>19</v>
      </c>
      <c r="B25" s="32"/>
      <c r="C25" s="32"/>
      <c r="D25" s="32"/>
      <c r="E25" s="24"/>
      <c r="F25" s="25">
        <f t="shared" ref="F25:F31" si="18">B25*0</f>
        <v>0</v>
      </c>
      <c r="G25" s="25">
        <f t="shared" si="1"/>
        <v>0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/>
      <c r="O25" s="32"/>
      <c r="P25" s="32"/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/>
      <c r="AA25" s="32"/>
      <c r="AB25" s="32"/>
      <c r="AC25" s="24"/>
      <c r="AD25" s="25">
        <f t="shared" ref="AD25:AD31" si="22">Z25*0</f>
        <v>0</v>
      </c>
      <c r="AE25" s="25">
        <f t="shared" si="9"/>
        <v>0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/>
      <c r="D26" s="32"/>
      <c r="E26" s="24"/>
      <c r="F26" s="25">
        <f t="shared" si="18"/>
        <v>0</v>
      </c>
      <c r="G26" s="25">
        <f t="shared" si="1"/>
        <v>0</v>
      </c>
      <c r="H26" s="25">
        <f t="shared" si="19"/>
        <v>0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/>
      <c r="P26" s="32"/>
      <c r="Q26" s="24"/>
      <c r="R26" s="25">
        <f t="shared" si="20"/>
        <v>0</v>
      </c>
      <c r="S26" s="25">
        <f t="shared" si="5"/>
        <v>0</v>
      </c>
      <c r="T26" s="25">
        <f t="shared" si="21"/>
        <v>0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/>
      <c r="AB26" s="32"/>
      <c r="AC26" s="24"/>
      <c r="AD26" s="25">
        <f t="shared" si="22"/>
        <v>0</v>
      </c>
      <c r="AE26" s="25">
        <f t="shared" si="9"/>
        <v>0</v>
      </c>
      <c r="AF26" s="25">
        <f t="shared" si="23"/>
        <v>0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/>
      <c r="D27" s="32"/>
      <c r="E27" s="24"/>
      <c r="F27" s="25">
        <f t="shared" si="18"/>
        <v>0</v>
      </c>
      <c r="G27" s="25">
        <f t="shared" si="1"/>
        <v>0</v>
      </c>
      <c r="H27" s="25">
        <f t="shared" si="19"/>
        <v>0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/>
      <c r="O27" s="32"/>
      <c r="P27" s="32"/>
      <c r="Q27" s="24"/>
      <c r="R27" s="25">
        <f t="shared" si="20"/>
        <v>0</v>
      </c>
      <c r="S27" s="25">
        <f t="shared" si="5"/>
        <v>0</v>
      </c>
      <c r="T27" s="25">
        <f t="shared" si="21"/>
        <v>0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/>
      <c r="AA27" s="32"/>
      <c r="AB27" s="32"/>
      <c r="AC27" s="24"/>
      <c r="AD27" s="25">
        <f t="shared" si="22"/>
        <v>0</v>
      </c>
      <c r="AE27" s="25">
        <f t="shared" si="9"/>
        <v>0</v>
      </c>
      <c r="AF27" s="25">
        <f t="shared" si="23"/>
        <v>0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/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/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/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/>
      <c r="C29" s="32"/>
      <c r="D29" s="32"/>
      <c r="E29" s="24"/>
      <c r="F29" s="25">
        <f t="shared" si="18"/>
        <v>0</v>
      </c>
      <c r="G29" s="25">
        <f t="shared" si="1"/>
        <v>0</v>
      </c>
      <c r="H29" s="25">
        <f t="shared" si="19"/>
        <v>0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/>
      <c r="P29" s="32"/>
      <c r="Q29" s="24"/>
      <c r="R29" s="25">
        <f t="shared" si="20"/>
        <v>0</v>
      </c>
      <c r="S29" s="25">
        <f t="shared" si="5"/>
        <v>0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/>
      <c r="AA29" s="32"/>
      <c r="AB29" s="32"/>
      <c r="AC29" s="24"/>
      <c r="AD29" s="25">
        <f t="shared" si="22"/>
        <v>0</v>
      </c>
      <c r="AE29" s="25">
        <f t="shared" si="9"/>
        <v>0</v>
      </c>
      <c r="AF29" s="25">
        <f t="shared" si="23"/>
        <v>0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/>
      <c r="C30" s="32"/>
      <c r="D30" s="32"/>
      <c r="E30" s="24"/>
      <c r="F30" s="25">
        <f t="shared" si="18"/>
        <v>0</v>
      </c>
      <c r="G30" s="25">
        <f t="shared" si="1"/>
        <v>0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/>
      <c r="O30" s="32"/>
      <c r="P30" s="32"/>
      <c r="Q30" s="24"/>
      <c r="R30" s="25">
        <f t="shared" si="20"/>
        <v>0</v>
      </c>
      <c r="S30" s="25">
        <f t="shared" si="5"/>
        <v>0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/>
      <c r="AA30" s="32"/>
      <c r="AB30" s="32"/>
      <c r="AC30" s="24"/>
      <c r="AD30" s="25">
        <f t="shared" si="22"/>
        <v>0</v>
      </c>
      <c r="AE30" s="25">
        <f t="shared" si="9"/>
        <v>0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/>
      <c r="D31" s="32"/>
      <c r="E31" s="24"/>
      <c r="F31" s="25">
        <f t="shared" si="18"/>
        <v>0</v>
      </c>
      <c r="G31" s="25">
        <f t="shared" si="1"/>
        <v>0</v>
      </c>
      <c r="H31" s="25">
        <f t="shared" si="19"/>
        <v>0</v>
      </c>
      <c r="I31" s="25">
        <f t="shared" si="3"/>
        <v>0</v>
      </c>
      <c r="J31" s="24"/>
      <c r="K31" s="108">
        <f>K7+K12+K17+K22</f>
        <v>0</v>
      </c>
      <c r="M31" s="25">
        <v>25</v>
      </c>
      <c r="N31" s="32"/>
      <c r="O31" s="32"/>
      <c r="P31" s="32"/>
      <c r="Q31" s="24"/>
      <c r="R31" s="25">
        <f t="shared" si="20"/>
        <v>0</v>
      </c>
      <c r="S31" s="25">
        <f t="shared" si="5"/>
        <v>0</v>
      </c>
      <c r="T31" s="25">
        <f t="shared" si="21"/>
        <v>0</v>
      </c>
      <c r="U31" s="25">
        <f t="shared" si="7"/>
        <v>0</v>
      </c>
      <c r="V31" s="24"/>
      <c r="W31" s="108">
        <f>W7+W12+W17+W22</f>
        <v>0</v>
      </c>
      <c r="Y31" s="25">
        <v>25</v>
      </c>
      <c r="Z31" s="32"/>
      <c r="AA31" s="32"/>
      <c r="AB31" s="32"/>
      <c r="AC31" s="24"/>
      <c r="AD31" s="25">
        <f t="shared" si="22"/>
        <v>0</v>
      </c>
      <c r="AE31" s="25">
        <f t="shared" si="9"/>
        <v>0</v>
      </c>
      <c r="AF31" s="25">
        <f t="shared" si="23"/>
        <v>0</v>
      </c>
      <c r="AG31" s="25">
        <f t="shared" si="11"/>
        <v>0</v>
      </c>
      <c r="AH31" s="24"/>
      <c r="AI31" s="108">
        <f>AI7+AI12+AI17+AI22</f>
        <v>0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7"/>
  </sheetPr>
  <dimension ref="A1:AI41"/>
  <sheetViews>
    <sheetView zoomScale="150" workbookViewId="0">
      <selection activeCell="AI3" sqref="AI3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>
        <f>รายชื่อ!B32</f>
        <v>0</v>
      </c>
      <c r="C3" s="110">
        <f>รายชื่อ!C32</f>
        <v>0</v>
      </c>
      <c r="D3" s="110">
        <f>รายชื่อ!D32</f>
        <v>0</v>
      </c>
      <c r="E3" s="60"/>
      <c r="F3" s="103"/>
      <c r="G3" s="165"/>
      <c r="H3" s="165"/>
      <c r="I3" s="165"/>
      <c r="J3" s="25"/>
      <c r="K3" s="106" t="s">
        <v>58</v>
      </c>
      <c r="M3" s="25" t="s">
        <v>85</v>
      </c>
      <c r="N3" s="110">
        <f>รายชื่อ!B32</f>
        <v>0</v>
      </c>
      <c r="O3" s="110">
        <f>รายชื่อ!C32</f>
        <v>0</v>
      </c>
      <c r="P3" s="110">
        <f>รายชื่อ!D32</f>
        <v>0</v>
      </c>
      <c r="Q3" s="60"/>
      <c r="R3" s="103"/>
      <c r="S3" s="165"/>
      <c r="T3" s="165"/>
      <c r="U3" s="165"/>
      <c r="V3" s="25"/>
      <c r="W3" s="106" t="s">
        <v>58</v>
      </c>
      <c r="Y3" s="25" t="s">
        <v>85</v>
      </c>
      <c r="Z3" s="110">
        <f>รายชื่อ!B32</f>
        <v>0</v>
      </c>
      <c r="AA3" s="110">
        <f>รายชื่อ!C32</f>
        <v>0</v>
      </c>
      <c r="AB3" s="110">
        <f>รายชื่อ!D32</f>
        <v>0</v>
      </c>
      <c r="AC3" s="60"/>
      <c r="AD3" s="103"/>
      <c r="AE3" s="165"/>
      <c r="AF3" s="165"/>
      <c r="AG3" s="165"/>
      <c r="AH3" s="25"/>
      <c r="AI3" s="106" t="s">
        <v>58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/>
      <c r="C7" s="32"/>
      <c r="D7" s="32"/>
      <c r="E7" s="24"/>
      <c r="F7" s="25">
        <f t="shared" ref="F7:F12" si="0">B7*0</f>
        <v>0</v>
      </c>
      <c r="G7" s="25">
        <f t="shared" ref="G7:G31" si="1">C7*1</f>
        <v>0</v>
      </c>
      <c r="H7" s="25">
        <f t="shared" ref="H7:H12" si="2">D7*2</f>
        <v>0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/>
      <c r="O7" s="32"/>
      <c r="P7" s="32"/>
      <c r="Q7" s="24"/>
      <c r="R7" s="25">
        <f t="shared" ref="R7:R12" si="4">N7*0</f>
        <v>0</v>
      </c>
      <c r="S7" s="25">
        <f t="shared" ref="S7:S31" si="5">O7*1</f>
        <v>0</v>
      </c>
      <c r="T7" s="25">
        <f t="shared" ref="T7:T12" si="6">P7*2</f>
        <v>0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/>
      <c r="AB7" s="32"/>
      <c r="AC7" s="24"/>
      <c r="AD7" s="25">
        <f t="shared" ref="AD7:AD12" si="8">Z7*0</f>
        <v>0</v>
      </c>
      <c r="AE7" s="25">
        <f t="shared" ref="AE7:AE31" si="9">AA7*1</f>
        <v>0</v>
      </c>
      <c r="AF7" s="25">
        <f t="shared" ref="AF7:AF12" si="10">AB7*2</f>
        <v>0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/>
      <c r="C8" s="32"/>
      <c r="D8" s="32"/>
      <c r="E8" s="24"/>
      <c r="F8" s="25">
        <f t="shared" si="0"/>
        <v>0</v>
      </c>
      <c r="G8" s="25">
        <f t="shared" si="1"/>
        <v>0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/>
      <c r="O8" s="32"/>
      <c r="P8" s="32"/>
      <c r="Q8" s="24"/>
      <c r="R8" s="25">
        <f t="shared" si="4"/>
        <v>0</v>
      </c>
      <c r="S8" s="25">
        <f t="shared" si="5"/>
        <v>0</v>
      </c>
      <c r="T8" s="25">
        <f t="shared" si="6"/>
        <v>0</v>
      </c>
      <c r="U8" s="25">
        <f t="shared" si="7"/>
        <v>0</v>
      </c>
      <c r="V8" s="24"/>
      <c r="W8" s="25"/>
      <c r="Y8" s="25">
        <v>2</v>
      </c>
      <c r="Z8" s="32"/>
      <c r="AA8" s="32"/>
      <c r="AB8" s="32"/>
      <c r="AC8" s="24"/>
      <c r="AD8" s="25">
        <f t="shared" si="8"/>
        <v>0</v>
      </c>
      <c r="AE8" s="25">
        <f t="shared" si="9"/>
        <v>0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/>
      <c r="C9" s="32"/>
      <c r="D9" s="32"/>
      <c r="E9" s="24"/>
      <c r="F9" s="25">
        <f t="shared" si="0"/>
        <v>0</v>
      </c>
      <c r="G9" s="25">
        <f t="shared" si="1"/>
        <v>0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/>
      <c r="O9" s="32"/>
      <c r="P9" s="32"/>
      <c r="Q9" s="24"/>
      <c r="R9" s="25">
        <f t="shared" si="4"/>
        <v>0</v>
      </c>
      <c r="S9" s="25">
        <f t="shared" si="5"/>
        <v>0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/>
      <c r="AA9" s="32"/>
      <c r="AB9" s="32"/>
      <c r="AC9" s="24"/>
      <c r="AD9" s="25">
        <f t="shared" si="8"/>
        <v>0</v>
      </c>
      <c r="AE9" s="25">
        <f t="shared" si="9"/>
        <v>0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/>
      <c r="D10" s="32"/>
      <c r="E10" s="24"/>
      <c r="F10" s="25">
        <f t="shared" si="0"/>
        <v>0</v>
      </c>
      <c r="G10" s="25">
        <f t="shared" si="1"/>
        <v>0</v>
      </c>
      <c r="H10" s="25">
        <f t="shared" si="2"/>
        <v>0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/>
      <c r="P10" s="32"/>
      <c r="Q10" s="24"/>
      <c r="R10" s="25">
        <f t="shared" si="4"/>
        <v>0</v>
      </c>
      <c r="S10" s="25">
        <f t="shared" si="5"/>
        <v>0</v>
      </c>
      <c r="T10" s="25">
        <f t="shared" si="6"/>
        <v>0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/>
      <c r="AB10" s="32"/>
      <c r="AC10" s="24"/>
      <c r="AD10" s="25">
        <f t="shared" si="8"/>
        <v>0</v>
      </c>
      <c r="AE10" s="25">
        <f t="shared" si="9"/>
        <v>0</v>
      </c>
      <c r="AF10" s="25">
        <f t="shared" si="10"/>
        <v>0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/>
      <c r="C11" s="32"/>
      <c r="D11" s="32"/>
      <c r="E11" s="24"/>
      <c r="F11" s="25">
        <f t="shared" si="0"/>
        <v>0</v>
      </c>
      <c r="G11" s="25">
        <f t="shared" si="1"/>
        <v>0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/>
      <c r="O11" s="32"/>
      <c r="P11" s="32"/>
      <c r="Q11" s="24"/>
      <c r="R11" s="25">
        <f t="shared" si="4"/>
        <v>0</v>
      </c>
      <c r="S11" s="25">
        <f t="shared" si="5"/>
        <v>0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/>
      <c r="AA11" s="32"/>
      <c r="AB11" s="32"/>
      <c r="AC11" s="24"/>
      <c r="AD11" s="25">
        <f t="shared" si="8"/>
        <v>0</v>
      </c>
      <c r="AE11" s="25">
        <f t="shared" si="9"/>
        <v>0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/>
      <c r="C12" s="32"/>
      <c r="D12" s="32"/>
      <c r="E12" s="24"/>
      <c r="F12" s="25">
        <f t="shared" si="0"/>
        <v>0</v>
      </c>
      <c r="G12" s="25">
        <f t="shared" si="1"/>
        <v>0</v>
      </c>
      <c r="H12" s="25">
        <f t="shared" si="2"/>
        <v>0</v>
      </c>
      <c r="I12" s="25">
        <f t="shared" si="3"/>
        <v>0</v>
      </c>
      <c r="J12" s="105">
        <f>I11+I13+I18+I24+I28</f>
        <v>0</v>
      </c>
      <c r="K12" s="108">
        <f>J12</f>
        <v>0</v>
      </c>
      <c r="M12" s="25">
        <v>6</v>
      </c>
      <c r="N12" s="32"/>
      <c r="O12" s="32"/>
      <c r="P12" s="32"/>
      <c r="Q12" s="24"/>
      <c r="R12" s="25">
        <f t="shared" si="4"/>
        <v>0</v>
      </c>
      <c r="S12" s="25">
        <f t="shared" si="5"/>
        <v>0</v>
      </c>
      <c r="T12" s="25">
        <f t="shared" si="6"/>
        <v>0</v>
      </c>
      <c r="U12" s="25">
        <f t="shared" si="7"/>
        <v>0</v>
      </c>
      <c r="V12" s="105">
        <f>U11+U13+U18+U24+U28</f>
        <v>0</v>
      </c>
      <c r="W12" s="108">
        <f>V12</f>
        <v>0</v>
      </c>
      <c r="Y12" s="25">
        <v>6</v>
      </c>
      <c r="Z12" s="32"/>
      <c r="AA12" s="32"/>
      <c r="AB12" s="32"/>
      <c r="AC12" s="24"/>
      <c r="AD12" s="25">
        <f t="shared" si="8"/>
        <v>0</v>
      </c>
      <c r="AE12" s="25">
        <f t="shared" si="9"/>
        <v>0</v>
      </c>
      <c r="AF12" s="25">
        <f t="shared" si="10"/>
        <v>0</v>
      </c>
      <c r="AG12" s="25">
        <f t="shared" si="11"/>
        <v>0</v>
      </c>
      <c r="AH12" s="105">
        <f>AG11+AG13+AG18+AG24+AG28</f>
        <v>0</v>
      </c>
      <c r="AI12" s="108">
        <f>AH12</f>
        <v>0</v>
      </c>
    </row>
    <row r="13" spans="1:35" ht="21" customHeight="1">
      <c r="A13" s="25">
        <v>7</v>
      </c>
      <c r="B13" s="32"/>
      <c r="C13" s="32"/>
      <c r="D13" s="32"/>
      <c r="E13" s="24"/>
      <c r="F13" s="25">
        <f>B13*2</f>
        <v>0</v>
      </c>
      <c r="G13" s="25">
        <f t="shared" si="1"/>
        <v>0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/>
      <c r="P13" s="32"/>
      <c r="Q13" s="24"/>
      <c r="R13" s="25">
        <f>N13*2</f>
        <v>0</v>
      </c>
      <c r="S13" s="25">
        <f t="shared" si="5"/>
        <v>0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/>
      <c r="AA13" s="32"/>
      <c r="AB13" s="32"/>
      <c r="AC13" s="24"/>
      <c r="AD13" s="25">
        <f>Z13*2</f>
        <v>0</v>
      </c>
      <c r="AE13" s="25">
        <f t="shared" si="9"/>
        <v>0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/>
      <c r="C14" s="32"/>
      <c r="D14" s="32"/>
      <c r="E14" s="24"/>
      <c r="F14" s="25">
        <f t="shared" ref="F14:F19" si="12">B14*0</f>
        <v>0</v>
      </c>
      <c r="G14" s="25">
        <f t="shared" si="1"/>
        <v>0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/>
      <c r="O14" s="32"/>
      <c r="P14" s="32"/>
      <c r="Q14" s="24"/>
      <c r="R14" s="25">
        <f t="shared" ref="R14:R19" si="14">N14*0</f>
        <v>0</v>
      </c>
      <c r="S14" s="25">
        <f t="shared" si="5"/>
        <v>0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/>
      <c r="AA14" s="32"/>
      <c r="AB14" s="32"/>
      <c r="AC14" s="24"/>
      <c r="AD14" s="25">
        <f t="shared" ref="AD14:AD19" si="16">Z14*0</f>
        <v>0</v>
      </c>
      <c r="AE14" s="25">
        <f t="shared" si="9"/>
        <v>0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/>
      <c r="D15" s="32"/>
      <c r="E15" s="24"/>
      <c r="F15" s="25">
        <f t="shared" si="12"/>
        <v>0</v>
      </c>
      <c r="G15" s="25">
        <f t="shared" si="1"/>
        <v>0</v>
      </c>
      <c r="H15" s="25">
        <f t="shared" si="13"/>
        <v>0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/>
      <c r="P15" s="32"/>
      <c r="Q15" s="24"/>
      <c r="R15" s="25">
        <f t="shared" si="14"/>
        <v>0</v>
      </c>
      <c r="S15" s="25">
        <f t="shared" si="5"/>
        <v>0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/>
      <c r="AA15" s="32"/>
      <c r="AB15" s="32"/>
      <c r="AC15" s="24"/>
      <c r="AD15" s="25">
        <f t="shared" si="16"/>
        <v>0</v>
      </c>
      <c r="AE15" s="25">
        <f t="shared" si="9"/>
        <v>0</v>
      </c>
      <c r="AF15" s="25">
        <f t="shared" si="17"/>
        <v>0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/>
      <c r="C16" s="32"/>
      <c r="D16" s="32"/>
      <c r="E16" s="24"/>
      <c r="F16" s="25">
        <f t="shared" si="12"/>
        <v>0</v>
      </c>
      <c r="G16" s="25">
        <f t="shared" si="1"/>
        <v>0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/>
      <c r="O16" s="32"/>
      <c r="P16" s="32"/>
      <c r="Q16" s="24"/>
      <c r="R16" s="25">
        <f t="shared" si="14"/>
        <v>0</v>
      </c>
      <c r="S16" s="25">
        <f t="shared" si="5"/>
        <v>0</v>
      </c>
      <c r="T16" s="25">
        <f t="shared" si="15"/>
        <v>0</v>
      </c>
      <c r="U16" s="25">
        <f t="shared" si="7"/>
        <v>0</v>
      </c>
      <c r="V16" s="24"/>
      <c r="W16" s="107" t="s">
        <v>99</v>
      </c>
      <c r="Y16" s="25">
        <v>10</v>
      </c>
      <c r="Z16" s="32"/>
      <c r="AA16" s="32"/>
      <c r="AB16" s="32"/>
      <c r="AC16" s="24"/>
      <c r="AD16" s="25">
        <f t="shared" si="16"/>
        <v>0</v>
      </c>
      <c r="AE16" s="25">
        <f t="shared" si="9"/>
        <v>0</v>
      </c>
      <c r="AF16" s="25">
        <f t="shared" si="17"/>
        <v>0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/>
      <c r="D17" s="32"/>
      <c r="E17" s="24"/>
      <c r="F17" s="25">
        <f t="shared" si="12"/>
        <v>0</v>
      </c>
      <c r="G17" s="25">
        <f t="shared" si="1"/>
        <v>0</v>
      </c>
      <c r="H17" s="25">
        <f t="shared" si="13"/>
        <v>0</v>
      </c>
      <c r="I17" s="25">
        <f t="shared" si="3"/>
        <v>0</v>
      </c>
      <c r="J17" s="105">
        <f>I8+I16+I21+I27+I31</f>
        <v>0</v>
      </c>
      <c r="K17" s="108">
        <f>J17</f>
        <v>0</v>
      </c>
      <c r="M17" s="25">
        <v>11</v>
      </c>
      <c r="N17" s="32"/>
      <c r="O17" s="32"/>
      <c r="P17" s="32"/>
      <c r="Q17" s="24"/>
      <c r="R17" s="25">
        <f t="shared" si="14"/>
        <v>0</v>
      </c>
      <c r="S17" s="25">
        <f t="shared" si="5"/>
        <v>0</v>
      </c>
      <c r="T17" s="25">
        <f t="shared" si="15"/>
        <v>0</v>
      </c>
      <c r="U17" s="25">
        <f t="shared" si="7"/>
        <v>0</v>
      </c>
      <c r="V17" s="105">
        <f>U8+U16+U21+U27+U31</f>
        <v>0</v>
      </c>
      <c r="W17" s="108">
        <f>V17</f>
        <v>0</v>
      </c>
      <c r="Y17" s="25">
        <v>11</v>
      </c>
      <c r="Z17" s="32"/>
      <c r="AA17" s="32"/>
      <c r="AB17" s="32"/>
      <c r="AC17" s="24"/>
      <c r="AD17" s="25">
        <f t="shared" si="16"/>
        <v>0</v>
      </c>
      <c r="AE17" s="25">
        <f t="shared" si="9"/>
        <v>0</v>
      </c>
      <c r="AF17" s="25">
        <f t="shared" si="17"/>
        <v>0</v>
      </c>
      <c r="AG17" s="25">
        <f t="shared" si="11"/>
        <v>0</v>
      </c>
      <c r="AH17" s="105">
        <f>AG8+AG16+AG21+AG27+AG31</f>
        <v>0</v>
      </c>
      <c r="AI17" s="108">
        <f>AH17</f>
        <v>0</v>
      </c>
    </row>
    <row r="18" spans="1:35" ht="21" customHeight="1">
      <c r="A18" s="25">
        <v>12</v>
      </c>
      <c r="B18" s="32"/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/>
      <c r="O18" s="32"/>
      <c r="P18" s="32"/>
      <c r="Q18" s="24"/>
      <c r="R18" s="25">
        <f t="shared" si="14"/>
        <v>0</v>
      </c>
      <c r="S18" s="25">
        <f t="shared" si="5"/>
        <v>0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/>
      <c r="AA18" s="32"/>
      <c r="AB18" s="32"/>
      <c r="AC18" s="24"/>
      <c r="AD18" s="25">
        <f t="shared" si="16"/>
        <v>0</v>
      </c>
      <c r="AE18" s="25">
        <f t="shared" si="9"/>
        <v>0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/>
      <c r="C19" s="32"/>
      <c r="D19" s="32"/>
      <c r="E19" s="24"/>
      <c r="F19" s="25">
        <f t="shared" si="12"/>
        <v>0</v>
      </c>
      <c r="G19" s="25">
        <f t="shared" si="1"/>
        <v>0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/>
      <c r="O19" s="32"/>
      <c r="P19" s="32"/>
      <c r="Q19" s="24"/>
      <c r="R19" s="25">
        <f t="shared" si="14"/>
        <v>0</v>
      </c>
      <c r="S19" s="25">
        <f t="shared" si="5"/>
        <v>0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/>
      <c r="AA19" s="32"/>
      <c r="AB19" s="32"/>
      <c r="AC19" s="24"/>
      <c r="AD19" s="25">
        <f t="shared" si="16"/>
        <v>0</v>
      </c>
      <c r="AE19" s="25">
        <f t="shared" si="9"/>
        <v>0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/>
      <c r="C20" s="32"/>
      <c r="D20" s="32"/>
      <c r="E20" s="24"/>
      <c r="F20" s="25">
        <f>B20*2</f>
        <v>0</v>
      </c>
      <c r="G20" s="25">
        <f t="shared" si="1"/>
        <v>0</v>
      </c>
      <c r="H20" s="25">
        <f>D20*0</f>
        <v>0</v>
      </c>
      <c r="I20" s="25">
        <f t="shared" si="3"/>
        <v>0</v>
      </c>
      <c r="J20" s="24"/>
      <c r="K20" s="107" t="s">
        <v>100</v>
      </c>
      <c r="M20" s="25">
        <v>14</v>
      </c>
      <c r="N20" s="32"/>
      <c r="O20" s="32"/>
      <c r="P20" s="32"/>
      <c r="Q20" s="24"/>
      <c r="R20" s="25">
        <f>N20*2</f>
        <v>0</v>
      </c>
      <c r="S20" s="25">
        <f t="shared" si="5"/>
        <v>0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/>
      <c r="AA20" s="32"/>
      <c r="AB20" s="32"/>
      <c r="AC20" s="24"/>
      <c r="AD20" s="25">
        <f>Z20*2</f>
        <v>0</v>
      </c>
      <c r="AE20" s="25">
        <f t="shared" si="9"/>
        <v>0</v>
      </c>
      <c r="AF20" s="25">
        <f>AB20*0</f>
        <v>0</v>
      </c>
      <c r="AG20" s="25">
        <f t="shared" si="11"/>
        <v>0</v>
      </c>
      <c r="AH20" s="24"/>
      <c r="AI20" s="107" t="s">
        <v>100</v>
      </c>
    </row>
    <row r="21" spans="1:35" ht="21" customHeight="1">
      <c r="A21" s="25">
        <v>15</v>
      </c>
      <c r="B21" s="32"/>
      <c r="C21" s="32"/>
      <c r="D21" s="32"/>
      <c r="E21" s="24"/>
      <c r="F21" s="25">
        <f>B21*2</f>
        <v>0</v>
      </c>
      <c r="G21" s="25">
        <f t="shared" si="1"/>
        <v>0</v>
      </c>
      <c r="H21" s="25">
        <f>D21*0</f>
        <v>0</v>
      </c>
      <c r="I21" s="25">
        <f t="shared" si="3"/>
        <v>0</v>
      </c>
      <c r="J21" s="24"/>
      <c r="K21" s="107" t="s">
        <v>101</v>
      </c>
      <c r="M21" s="25">
        <v>15</v>
      </c>
      <c r="N21" s="32"/>
      <c r="O21" s="32"/>
      <c r="P21" s="32"/>
      <c r="Q21" s="24"/>
      <c r="R21" s="25">
        <f>N21*2</f>
        <v>0</v>
      </c>
      <c r="S21" s="25">
        <f t="shared" si="5"/>
        <v>0</v>
      </c>
      <c r="T21" s="25">
        <f>P21*0</f>
        <v>0</v>
      </c>
      <c r="U21" s="25">
        <f t="shared" si="7"/>
        <v>0</v>
      </c>
      <c r="V21" s="24"/>
      <c r="W21" s="107" t="s">
        <v>101</v>
      </c>
      <c r="Y21" s="25">
        <v>15</v>
      </c>
      <c r="Z21" s="32"/>
      <c r="AA21" s="32"/>
      <c r="AB21" s="32"/>
      <c r="AC21" s="24"/>
      <c r="AD21" s="25">
        <f>Z21*2</f>
        <v>0</v>
      </c>
      <c r="AE21" s="25">
        <f t="shared" si="9"/>
        <v>0</v>
      </c>
      <c r="AF21" s="25">
        <f>AB21*0</f>
        <v>0</v>
      </c>
      <c r="AG21" s="25">
        <f t="shared" si="11"/>
        <v>0</v>
      </c>
      <c r="AH21" s="24"/>
      <c r="AI21" s="107" t="s">
        <v>101</v>
      </c>
    </row>
    <row r="22" spans="1:35" ht="21" customHeight="1">
      <c r="A22" s="25">
        <v>16</v>
      </c>
      <c r="B22" s="32"/>
      <c r="C22" s="32"/>
      <c r="D22" s="32"/>
      <c r="E22" s="24"/>
      <c r="F22" s="25">
        <f>B22*0</f>
        <v>0</v>
      </c>
      <c r="G22" s="25">
        <f t="shared" si="1"/>
        <v>0</v>
      </c>
      <c r="H22" s="25">
        <f>D22*2</f>
        <v>0</v>
      </c>
      <c r="I22" s="25">
        <f t="shared" si="3"/>
        <v>0</v>
      </c>
      <c r="J22" s="105">
        <f>I12+I17+I20+I25+I29</f>
        <v>0</v>
      </c>
      <c r="K22" s="108">
        <f>J22</f>
        <v>0</v>
      </c>
      <c r="M22" s="25">
        <v>16</v>
      </c>
      <c r="N22" s="32"/>
      <c r="O22" s="32"/>
      <c r="P22" s="32"/>
      <c r="Q22" s="24"/>
      <c r="R22" s="25">
        <f>N22*0</f>
        <v>0</v>
      </c>
      <c r="S22" s="25">
        <f t="shared" si="5"/>
        <v>0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/>
      <c r="AA22" s="32"/>
      <c r="AB22" s="32"/>
      <c r="AC22" s="24"/>
      <c r="AD22" s="25">
        <f>Z22*0</f>
        <v>0</v>
      </c>
      <c r="AE22" s="25">
        <f t="shared" si="9"/>
        <v>0</v>
      </c>
      <c r="AF22" s="25">
        <f>AB22*2</f>
        <v>0</v>
      </c>
      <c r="AG22" s="25">
        <f t="shared" si="11"/>
        <v>0</v>
      </c>
      <c r="AH22" s="105">
        <f>AG12+AG17+AG20+AG25+AG29</f>
        <v>0</v>
      </c>
      <c r="AI22" s="108">
        <f>AH22</f>
        <v>0</v>
      </c>
    </row>
    <row r="23" spans="1:35" ht="21" customHeight="1">
      <c r="A23" s="25">
        <v>17</v>
      </c>
      <c r="B23" s="32"/>
      <c r="C23" s="32"/>
      <c r="D23" s="32"/>
      <c r="E23" s="24"/>
      <c r="F23" s="25">
        <f>B23*2</f>
        <v>0</v>
      </c>
      <c r="G23" s="25">
        <f t="shared" si="1"/>
        <v>0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/>
      <c r="O23" s="32"/>
      <c r="P23" s="32"/>
      <c r="Q23" s="24"/>
      <c r="R23" s="25">
        <f>N23*2</f>
        <v>0</v>
      </c>
      <c r="S23" s="25">
        <f t="shared" si="5"/>
        <v>0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/>
      <c r="AA23" s="32"/>
      <c r="AB23" s="32"/>
      <c r="AC23" s="24"/>
      <c r="AD23" s="25">
        <f>Z23*2</f>
        <v>0</v>
      </c>
      <c r="AE23" s="25">
        <f t="shared" si="9"/>
        <v>0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/>
      <c r="C24" s="32"/>
      <c r="D24" s="32"/>
      <c r="E24" s="24"/>
      <c r="F24" s="25">
        <f>B24*2</f>
        <v>0</v>
      </c>
      <c r="G24" s="25">
        <f t="shared" si="1"/>
        <v>0</v>
      </c>
      <c r="H24" s="25">
        <f>D24*0</f>
        <v>0</v>
      </c>
      <c r="I24" s="25">
        <f t="shared" si="3"/>
        <v>0</v>
      </c>
      <c r="J24" s="24"/>
      <c r="K24" s="25"/>
      <c r="M24" s="25">
        <v>18</v>
      </c>
      <c r="N24" s="32"/>
      <c r="O24" s="32"/>
      <c r="P24" s="32"/>
      <c r="Q24" s="24"/>
      <c r="R24" s="25">
        <f>N24*2</f>
        <v>0</v>
      </c>
      <c r="S24" s="25">
        <f t="shared" si="5"/>
        <v>0</v>
      </c>
      <c r="T24" s="25">
        <f>P24*0</f>
        <v>0</v>
      </c>
      <c r="U24" s="25">
        <f t="shared" si="7"/>
        <v>0</v>
      </c>
      <c r="V24" s="24"/>
      <c r="W24" s="25"/>
      <c r="Y24" s="25">
        <v>18</v>
      </c>
      <c r="Z24" s="32"/>
      <c r="AA24" s="32"/>
      <c r="AB24" s="32"/>
      <c r="AC24" s="24"/>
      <c r="AD24" s="25">
        <f>Z24*2</f>
        <v>0</v>
      </c>
      <c r="AE24" s="25">
        <f t="shared" si="9"/>
        <v>0</v>
      </c>
      <c r="AF24" s="25">
        <f>AB24*0</f>
        <v>0</v>
      </c>
      <c r="AG24" s="25">
        <f t="shared" si="11"/>
        <v>0</v>
      </c>
      <c r="AH24" s="24"/>
      <c r="AI24" s="25"/>
    </row>
    <row r="25" spans="1:35" ht="21" customHeight="1">
      <c r="A25" s="25">
        <v>19</v>
      </c>
      <c r="B25" s="32"/>
      <c r="C25" s="32"/>
      <c r="D25" s="32"/>
      <c r="E25" s="24"/>
      <c r="F25" s="25">
        <f t="shared" ref="F25:F31" si="18">B25*0</f>
        <v>0</v>
      </c>
      <c r="G25" s="25">
        <f t="shared" si="1"/>
        <v>0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/>
      <c r="O25" s="32"/>
      <c r="P25" s="32"/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/>
      <c r="AA25" s="32"/>
      <c r="AB25" s="32"/>
      <c r="AC25" s="24"/>
      <c r="AD25" s="25">
        <f t="shared" ref="AD25:AD31" si="22">Z25*0</f>
        <v>0</v>
      </c>
      <c r="AE25" s="25">
        <f t="shared" si="9"/>
        <v>0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/>
      <c r="D26" s="32"/>
      <c r="E26" s="24"/>
      <c r="F26" s="25">
        <f t="shared" si="18"/>
        <v>0</v>
      </c>
      <c r="G26" s="25">
        <f t="shared" si="1"/>
        <v>0</v>
      </c>
      <c r="H26" s="25">
        <f t="shared" si="19"/>
        <v>0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/>
      <c r="P26" s="32"/>
      <c r="Q26" s="24"/>
      <c r="R26" s="25">
        <f t="shared" si="20"/>
        <v>0</v>
      </c>
      <c r="S26" s="25">
        <f t="shared" si="5"/>
        <v>0</v>
      </c>
      <c r="T26" s="25">
        <f t="shared" si="21"/>
        <v>0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/>
      <c r="AB26" s="32"/>
      <c r="AC26" s="24"/>
      <c r="AD26" s="25">
        <f t="shared" si="22"/>
        <v>0</v>
      </c>
      <c r="AE26" s="25">
        <f t="shared" si="9"/>
        <v>0</v>
      </c>
      <c r="AF26" s="25">
        <f t="shared" si="23"/>
        <v>0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/>
      <c r="D27" s="32"/>
      <c r="E27" s="24"/>
      <c r="F27" s="25">
        <f t="shared" si="18"/>
        <v>0</v>
      </c>
      <c r="G27" s="25">
        <f t="shared" si="1"/>
        <v>0</v>
      </c>
      <c r="H27" s="25">
        <f t="shared" si="19"/>
        <v>0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/>
      <c r="O27" s="32"/>
      <c r="P27" s="32"/>
      <c r="Q27" s="24"/>
      <c r="R27" s="25">
        <f t="shared" si="20"/>
        <v>0</v>
      </c>
      <c r="S27" s="25">
        <f t="shared" si="5"/>
        <v>0</v>
      </c>
      <c r="T27" s="25">
        <f t="shared" si="21"/>
        <v>0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/>
      <c r="AA27" s="32"/>
      <c r="AB27" s="32"/>
      <c r="AC27" s="24"/>
      <c r="AD27" s="25">
        <f t="shared" si="22"/>
        <v>0</v>
      </c>
      <c r="AE27" s="25">
        <f t="shared" si="9"/>
        <v>0</v>
      </c>
      <c r="AF27" s="25">
        <f t="shared" si="23"/>
        <v>0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/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/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/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/>
      <c r="C29" s="32"/>
      <c r="D29" s="32"/>
      <c r="E29" s="24"/>
      <c r="F29" s="25">
        <f t="shared" si="18"/>
        <v>0</v>
      </c>
      <c r="G29" s="25">
        <f t="shared" si="1"/>
        <v>0</v>
      </c>
      <c r="H29" s="25">
        <f t="shared" si="19"/>
        <v>0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/>
      <c r="P29" s="32"/>
      <c r="Q29" s="24"/>
      <c r="R29" s="25">
        <f t="shared" si="20"/>
        <v>0</v>
      </c>
      <c r="S29" s="25">
        <f t="shared" si="5"/>
        <v>0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/>
      <c r="AA29" s="32"/>
      <c r="AB29" s="32"/>
      <c r="AC29" s="24"/>
      <c r="AD29" s="25">
        <f t="shared" si="22"/>
        <v>0</v>
      </c>
      <c r="AE29" s="25">
        <f t="shared" si="9"/>
        <v>0</v>
      </c>
      <c r="AF29" s="25">
        <f t="shared" si="23"/>
        <v>0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/>
      <c r="C30" s="32"/>
      <c r="D30" s="32"/>
      <c r="E30" s="24"/>
      <c r="F30" s="25">
        <f t="shared" si="18"/>
        <v>0</v>
      </c>
      <c r="G30" s="25">
        <f t="shared" si="1"/>
        <v>0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/>
      <c r="O30" s="32"/>
      <c r="P30" s="32"/>
      <c r="Q30" s="24"/>
      <c r="R30" s="25">
        <f t="shared" si="20"/>
        <v>0</v>
      </c>
      <c r="S30" s="25">
        <f t="shared" si="5"/>
        <v>0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/>
      <c r="AA30" s="32"/>
      <c r="AB30" s="32"/>
      <c r="AC30" s="24"/>
      <c r="AD30" s="25">
        <f t="shared" si="22"/>
        <v>0</v>
      </c>
      <c r="AE30" s="25">
        <f t="shared" si="9"/>
        <v>0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/>
      <c r="D31" s="32"/>
      <c r="E31" s="24"/>
      <c r="F31" s="25">
        <f t="shared" si="18"/>
        <v>0</v>
      </c>
      <c r="G31" s="25">
        <f t="shared" si="1"/>
        <v>0</v>
      </c>
      <c r="H31" s="25">
        <f t="shared" si="19"/>
        <v>0</v>
      </c>
      <c r="I31" s="25">
        <f t="shared" si="3"/>
        <v>0</v>
      </c>
      <c r="J31" s="24"/>
      <c r="K31" s="108">
        <f>K7+K12+K17+K22</f>
        <v>0</v>
      </c>
      <c r="M31" s="25">
        <v>25</v>
      </c>
      <c r="N31" s="32"/>
      <c r="O31" s="32"/>
      <c r="P31" s="32"/>
      <c r="Q31" s="24"/>
      <c r="R31" s="25">
        <f t="shared" si="20"/>
        <v>0</v>
      </c>
      <c r="S31" s="25">
        <f t="shared" si="5"/>
        <v>0</v>
      </c>
      <c r="T31" s="25">
        <f t="shared" si="21"/>
        <v>0</v>
      </c>
      <c r="U31" s="25">
        <f t="shared" si="7"/>
        <v>0</v>
      </c>
      <c r="V31" s="24"/>
      <c r="W31" s="108">
        <f>W7+W12+W17+W22</f>
        <v>0</v>
      </c>
      <c r="Y31" s="25">
        <v>25</v>
      </c>
      <c r="Z31" s="32"/>
      <c r="AA31" s="32"/>
      <c r="AB31" s="32"/>
      <c r="AC31" s="24"/>
      <c r="AD31" s="25">
        <f t="shared" si="22"/>
        <v>0</v>
      </c>
      <c r="AE31" s="25">
        <f t="shared" si="9"/>
        <v>0</v>
      </c>
      <c r="AF31" s="25">
        <f t="shared" si="23"/>
        <v>0</v>
      </c>
      <c r="AG31" s="25">
        <f t="shared" si="11"/>
        <v>0</v>
      </c>
      <c r="AH31" s="24"/>
      <c r="AI31" s="108">
        <f>AI7+AI12+AI17+AI22</f>
        <v>0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7"/>
  </sheetPr>
  <dimension ref="A1:AI41"/>
  <sheetViews>
    <sheetView zoomScale="150" workbookViewId="0">
      <selection activeCell="AI3" sqref="AI3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>
        <f>รายชื่อ!B33</f>
        <v>0</v>
      </c>
      <c r="C3" s="110">
        <f>รายชื่อ!C33</f>
        <v>0</v>
      </c>
      <c r="D3" s="110">
        <f>รายชื่อ!D33</f>
        <v>0</v>
      </c>
      <c r="E3" s="60"/>
      <c r="F3" s="103"/>
      <c r="G3" s="165"/>
      <c r="H3" s="165"/>
      <c r="I3" s="165"/>
      <c r="J3" s="25"/>
      <c r="K3" s="106" t="s">
        <v>59</v>
      </c>
      <c r="M3" s="25" t="s">
        <v>85</v>
      </c>
      <c r="N3" s="110">
        <f>รายชื่อ!B33</f>
        <v>0</v>
      </c>
      <c r="O3" s="110">
        <f>รายชื่อ!C33</f>
        <v>0</v>
      </c>
      <c r="P3" s="110">
        <f>รายชื่อ!D33</f>
        <v>0</v>
      </c>
      <c r="Q3" s="60"/>
      <c r="R3" s="103"/>
      <c r="S3" s="165"/>
      <c r="T3" s="165"/>
      <c r="U3" s="165"/>
      <c r="V3" s="25"/>
      <c r="W3" s="106" t="s">
        <v>59</v>
      </c>
      <c r="Y3" s="25" t="s">
        <v>85</v>
      </c>
      <c r="Z3" s="110">
        <f>รายชื่อ!B33</f>
        <v>0</v>
      </c>
      <c r="AA3" s="110">
        <f>รายชื่อ!C33</f>
        <v>0</v>
      </c>
      <c r="AB3" s="110">
        <f>รายชื่อ!D33</f>
        <v>0</v>
      </c>
      <c r="AC3" s="60"/>
      <c r="AD3" s="103"/>
      <c r="AE3" s="165"/>
      <c r="AF3" s="165"/>
      <c r="AG3" s="165"/>
      <c r="AH3" s="25"/>
      <c r="AI3" s="106" t="s">
        <v>59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/>
      <c r="C7" s="32"/>
      <c r="D7" s="32"/>
      <c r="E7" s="24"/>
      <c r="F7" s="25">
        <f t="shared" ref="F7:F12" si="0">B7*0</f>
        <v>0</v>
      </c>
      <c r="G7" s="25">
        <f t="shared" ref="G7:G31" si="1">C7*1</f>
        <v>0</v>
      </c>
      <c r="H7" s="25">
        <f t="shared" ref="H7:H12" si="2">D7*2</f>
        <v>0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/>
      <c r="O7" s="32"/>
      <c r="P7" s="32"/>
      <c r="Q7" s="24"/>
      <c r="R7" s="25">
        <f t="shared" ref="R7:R12" si="4">N7*0</f>
        <v>0</v>
      </c>
      <c r="S7" s="25">
        <f t="shared" ref="S7:S31" si="5">O7*1</f>
        <v>0</v>
      </c>
      <c r="T7" s="25">
        <f t="shared" ref="T7:T12" si="6">P7*2</f>
        <v>0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/>
      <c r="AB7" s="32"/>
      <c r="AC7" s="24"/>
      <c r="AD7" s="25">
        <f t="shared" ref="AD7:AD12" si="8">Z7*0</f>
        <v>0</v>
      </c>
      <c r="AE7" s="25">
        <f t="shared" ref="AE7:AE31" si="9">AA7*1</f>
        <v>0</v>
      </c>
      <c r="AF7" s="25">
        <f t="shared" ref="AF7:AF12" si="10">AB7*2</f>
        <v>0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/>
      <c r="C8" s="32"/>
      <c r="D8" s="32"/>
      <c r="E8" s="24"/>
      <c r="F8" s="25">
        <f t="shared" si="0"/>
        <v>0</v>
      </c>
      <c r="G8" s="25">
        <f t="shared" si="1"/>
        <v>0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/>
      <c r="O8" s="32"/>
      <c r="P8" s="32"/>
      <c r="Q8" s="24"/>
      <c r="R8" s="25">
        <f t="shared" si="4"/>
        <v>0</v>
      </c>
      <c r="S8" s="25">
        <f t="shared" si="5"/>
        <v>0</v>
      </c>
      <c r="T8" s="25">
        <f t="shared" si="6"/>
        <v>0</v>
      </c>
      <c r="U8" s="25">
        <f t="shared" si="7"/>
        <v>0</v>
      </c>
      <c r="V8" s="24"/>
      <c r="W8" s="25"/>
      <c r="Y8" s="25">
        <v>2</v>
      </c>
      <c r="Z8" s="32"/>
      <c r="AA8" s="32"/>
      <c r="AB8" s="32"/>
      <c r="AC8" s="24"/>
      <c r="AD8" s="25">
        <f t="shared" si="8"/>
        <v>0</v>
      </c>
      <c r="AE8" s="25">
        <f t="shared" si="9"/>
        <v>0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/>
      <c r="C9" s="32"/>
      <c r="D9" s="32"/>
      <c r="E9" s="24"/>
      <c r="F9" s="25">
        <f t="shared" si="0"/>
        <v>0</v>
      </c>
      <c r="G9" s="25">
        <f t="shared" si="1"/>
        <v>0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/>
      <c r="O9" s="32"/>
      <c r="P9" s="32"/>
      <c r="Q9" s="24"/>
      <c r="R9" s="25">
        <f t="shared" si="4"/>
        <v>0</v>
      </c>
      <c r="S9" s="25">
        <f t="shared" si="5"/>
        <v>0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/>
      <c r="AA9" s="32"/>
      <c r="AB9" s="32"/>
      <c r="AC9" s="24"/>
      <c r="AD9" s="25">
        <f t="shared" si="8"/>
        <v>0</v>
      </c>
      <c r="AE9" s="25">
        <f t="shared" si="9"/>
        <v>0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/>
      <c r="D10" s="32"/>
      <c r="E10" s="24"/>
      <c r="F10" s="25">
        <f t="shared" si="0"/>
        <v>0</v>
      </c>
      <c r="G10" s="25">
        <f t="shared" si="1"/>
        <v>0</v>
      </c>
      <c r="H10" s="25">
        <f t="shared" si="2"/>
        <v>0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/>
      <c r="P10" s="32"/>
      <c r="Q10" s="24"/>
      <c r="R10" s="25">
        <f t="shared" si="4"/>
        <v>0</v>
      </c>
      <c r="S10" s="25">
        <f t="shared" si="5"/>
        <v>0</v>
      </c>
      <c r="T10" s="25">
        <f t="shared" si="6"/>
        <v>0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/>
      <c r="AB10" s="32"/>
      <c r="AC10" s="24"/>
      <c r="AD10" s="25">
        <f t="shared" si="8"/>
        <v>0</v>
      </c>
      <c r="AE10" s="25">
        <f t="shared" si="9"/>
        <v>0</v>
      </c>
      <c r="AF10" s="25">
        <f t="shared" si="10"/>
        <v>0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/>
      <c r="C11" s="32"/>
      <c r="D11" s="32"/>
      <c r="E11" s="24"/>
      <c r="F11" s="25">
        <f t="shared" si="0"/>
        <v>0</v>
      </c>
      <c r="G11" s="25">
        <f t="shared" si="1"/>
        <v>0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/>
      <c r="O11" s="32"/>
      <c r="P11" s="32"/>
      <c r="Q11" s="24"/>
      <c r="R11" s="25">
        <f t="shared" si="4"/>
        <v>0</v>
      </c>
      <c r="S11" s="25">
        <f t="shared" si="5"/>
        <v>0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/>
      <c r="AA11" s="32"/>
      <c r="AB11" s="32"/>
      <c r="AC11" s="24"/>
      <c r="AD11" s="25">
        <f t="shared" si="8"/>
        <v>0</v>
      </c>
      <c r="AE11" s="25">
        <f t="shared" si="9"/>
        <v>0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/>
      <c r="C12" s="32"/>
      <c r="D12" s="32"/>
      <c r="E12" s="24"/>
      <c r="F12" s="25">
        <f t="shared" si="0"/>
        <v>0</v>
      </c>
      <c r="G12" s="25">
        <f t="shared" si="1"/>
        <v>0</v>
      </c>
      <c r="H12" s="25">
        <f t="shared" si="2"/>
        <v>0</v>
      </c>
      <c r="I12" s="25">
        <f t="shared" si="3"/>
        <v>0</v>
      </c>
      <c r="J12" s="105">
        <f>I11+I13+I18+I24+I28</f>
        <v>0</v>
      </c>
      <c r="K12" s="108">
        <f>J12</f>
        <v>0</v>
      </c>
      <c r="M12" s="25">
        <v>6</v>
      </c>
      <c r="N12" s="32"/>
      <c r="O12" s="32"/>
      <c r="P12" s="32"/>
      <c r="Q12" s="24"/>
      <c r="R12" s="25">
        <f t="shared" si="4"/>
        <v>0</v>
      </c>
      <c r="S12" s="25">
        <f t="shared" si="5"/>
        <v>0</v>
      </c>
      <c r="T12" s="25">
        <f t="shared" si="6"/>
        <v>0</v>
      </c>
      <c r="U12" s="25">
        <f t="shared" si="7"/>
        <v>0</v>
      </c>
      <c r="V12" s="105">
        <f>U11+U13+U18+U24+U28</f>
        <v>0</v>
      </c>
      <c r="W12" s="108">
        <f>V12</f>
        <v>0</v>
      </c>
      <c r="Y12" s="25">
        <v>6</v>
      </c>
      <c r="Z12" s="32"/>
      <c r="AA12" s="32"/>
      <c r="AB12" s="32"/>
      <c r="AC12" s="24"/>
      <c r="AD12" s="25">
        <f t="shared" si="8"/>
        <v>0</v>
      </c>
      <c r="AE12" s="25">
        <f t="shared" si="9"/>
        <v>0</v>
      </c>
      <c r="AF12" s="25">
        <f t="shared" si="10"/>
        <v>0</v>
      </c>
      <c r="AG12" s="25">
        <f t="shared" si="11"/>
        <v>0</v>
      </c>
      <c r="AH12" s="105">
        <f>AG11+AG13+AG18+AG24+AG28</f>
        <v>0</v>
      </c>
      <c r="AI12" s="108">
        <f>AH12</f>
        <v>0</v>
      </c>
    </row>
    <row r="13" spans="1:35" ht="21" customHeight="1">
      <c r="A13" s="25">
        <v>7</v>
      </c>
      <c r="B13" s="32"/>
      <c r="C13" s="32"/>
      <c r="D13" s="32"/>
      <c r="E13" s="24"/>
      <c r="F13" s="25">
        <f>B13*2</f>
        <v>0</v>
      </c>
      <c r="G13" s="25">
        <f t="shared" si="1"/>
        <v>0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/>
      <c r="P13" s="32"/>
      <c r="Q13" s="24"/>
      <c r="R13" s="25">
        <f>N13*2</f>
        <v>0</v>
      </c>
      <c r="S13" s="25">
        <f t="shared" si="5"/>
        <v>0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/>
      <c r="AA13" s="32"/>
      <c r="AB13" s="32"/>
      <c r="AC13" s="24"/>
      <c r="AD13" s="25">
        <f>Z13*2</f>
        <v>0</v>
      </c>
      <c r="AE13" s="25">
        <f t="shared" si="9"/>
        <v>0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/>
      <c r="C14" s="32"/>
      <c r="D14" s="32"/>
      <c r="E14" s="24"/>
      <c r="F14" s="25">
        <f t="shared" ref="F14:F19" si="12">B14*0</f>
        <v>0</v>
      </c>
      <c r="G14" s="25">
        <f t="shared" si="1"/>
        <v>0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/>
      <c r="O14" s="32"/>
      <c r="P14" s="32"/>
      <c r="Q14" s="24"/>
      <c r="R14" s="25">
        <f t="shared" ref="R14:R19" si="14">N14*0</f>
        <v>0</v>
      </c>
      <c r="S14" s="25">
        <f t="shared" si="5"/>
        <v>0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/>
      <c r="AA14" s="32"/>
      <c r="AB14" s="32"/>
      <c r="AC14" s="24"/>
      <c r="AD14" s="25">
        <f t="shared" ref="AD14:AD19" si="16">Z14*0</f>
        <v>0</v>
      </c>
      <c r="AE14" s="25">
        <f t="shared" si="9"/>
        <v>0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/>
      <c r="D15" s="32"/>
      <c r="E15" s="24"/>
      <c r="F15" s="25">
        <f t="shared" si="12"/>
        <v>0</v>
      </c>
      <c r="G15" s="25">
        <f t="shared" si="1"/>
        <v>0</v>
      </c>
      <c r="H15" s="25">
        <f t="shared" si="13"/>
        <v>0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/>
      <c r="P15" s="32"/>
      <c r="Q15" s="24"/>
      <c r="R15" s="25">
        <f t="shared" si="14"/>
        <v>0</v>
      </c>
      <c r="S15" s="25">
        <f t="shared" si="5"/>
        <v>0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/>
      <c r="AA15" s="32"/>
      <c r="AB15" s="32"/>
      <c r="AC15" s="24"/>
      <c r="AD15" s="25">
        <f t="shared" si="16"/>
        <v>0</v>
      </c>
      <c r="AE15" s="25">
        <f t="shared" si="9"/>
        <v>0</v>
      </c>
      <c r="AF15" s="25">
        <f t="shared" si="17"/>
        <v>0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/>
      <c r="C16" s="32"/>
      <c r="D16" s="32"/>
      <c r="E16" s="24"/>
      <c r="F16" s="25">
        <f t="shared" si="12"/>
        <v>0</v>
      </c>
      <c r="G16" s="25">
        <f t="shared" si="1"/>
        <v>0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/>
      <c r="O16" s="32"/>
      <c r="P16" s="32"/>
      <c r="Q16" s="24"/>
      <c r="R16" s="25">
        <f t="shared" si="14"/>
        <v>0</v>
      </c>
      <c r="S16" s="25">
        <f t="shared" si="5"/>
        <v>0</v>
      </c>
      <c r="T16" s="25">
        <f t="shared" si="15"/>
        <v>0</v>
      </c>
      <c r="U16" s="25">
        <f t="shared" si="7"/>
        <v>0</v>
      </c>
      <c r="V16" s="24"/>
      <c r="W16" s="107" t="s">
        <v>99</v>
      </c>
      <c r="Y16" s="25">
        <v>10</v>
      </c>
      <c r="Z16" s="32"/>
      <c r="AA16" s="32"/>
      <c r="AB16" s="32"/>
      <c r="AC16" s="24"/>
      <c r="AD16" s="25">
        <f t="shared" si="16"/>
        <v>0</v>
      </c>
      <c r="AE16" s="25">
        <f t="shared" si="9"/>
        <v>0</v>
      </c>
      <c r="AF16" s="25">
        <f t="shared" si="17"/>
        <v>0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/>
      <c r="D17" s="32"/>
      <c r="E17" s="24"/>
      <c r="F17" s="25">
        <f t="shared" si="12"/>
        <v>0</v>
      </c>
      <c r="G17" s="25">
        <f t="shared" si="1"/>
        <v>0</v>
      </c>
      <c r="H17" s="25">
        <f t="shared" si="13"/>
        <v>0</v>
      </c>
      <c r="I17" s="25">
        <f t="shared" si="3"/>
        <v>0</v>
      </c>
      <c r="J17" s="105">
        <f>I8+I16+I21+I27+I31</f>
        <v>0</v>
      </c>
      <c r="K17" s="108">
        <f>J17</f>
        <v>0</v>
      </c>
      <c r="M17" s="25">
        <v>11</v>
      </c>
      <c r="N17" s="32"/>
      <c r="O17" s="32"/>
      <c r="P17" s="32"/>
      <c r="Q17" s="24"/>
      <c r="R17" s="25">
        <f t="shared" si="14"/>
        <v>0</v>
      </c>
      <c r="S17" s="25">
        <f t="shared" si="5"/>
        <v>0</v>
      </c>
      <c r="T17" s="25">
        <f t="shared" si="15"/>
        <v>0</v>
      </c>
      <c r="U17" s="25">
        <f t="shared" si="7"/>
        <v>0</v>
      </c>
      <c r="V17" s="105">
        <f>U8+U16+U21+U27+U31</f>
        <v>0</v>
      </c>
      <c r="W17" s="108">
        <f>V17</f>
        <v>0</v>
      </c>
      <c r="Y17" s="25">
        <v>11</v>
      </c>
      <c r="Z17" s="32"/>
      <c r="AA17" s="32"/>
      <c r="AB17" s="32"/>
      <c r="AC17" s="24"/>
      <c r="AD17" s="25">
        <f t="shared" si="16"/>
        <v>0</v>
      </c>
      <c r="AE17" s="25">
        <f t="shared" si="9"/>
        <v>0</v>
      </c>
      <c r="AF17" s="25">
        <f t="shared" si="17"/>
        <v>0</v>
      </c>
      <c r="AG17" s="25">
        <f t="shared" si="11"/>
        <v>0</v>
      </c>
      <c r="AH17" s="105">
        <f>AG8+AG16+AG21+AG27+AG31</f>
        <v>0</v>
      </c>
      <c r="AI17" s="108">
        <f>AH17</f>
        <v>0</v>
      </c>
    </row>
    <row r="18" spans="1:35" ht="21" customHeight="1">
      <c r="A18" s="25">
        <v>12</v>
      </c>
      <c r="B18" s="32"/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/>
      <c r="O18" s="32"/>
      <c r="P18" s="32"/>
      <c r="Q18" s="24"/>
      <c r="R18" s="25">
        <f t="shared" si="14"/>
        <v>0</v>
      </c>
      <c r="S18" s="25">
        <f t="shared" si="5"/>
        <v>0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/>
      <c r="AA18" s="32"/>
      <c r="AB18" s="32"/>
      <c r="AC18" s="24"/>
      <c r="AD18" s="25">
        <f t="shared" si="16"/>
        <v>0</v>
      </c>
      <c r="AE18" s="25">
        <f t="shared" si="9"/>
        <v>0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/>
      <c r="C19" s="32"/>
      <c r="D19" s="32"/>
      <c r="E19" s="24"/>
      <c r="F19" s="25">
        <f t="shared" si="12"/>
        <v>0</v>
      </c>
      <c r="G19" s="25">
        <f t="shared" si="1"/>
        <v>0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/>
      <c r="O19" s="32"/>
      <c r="P19" s="32"/>
      <c r="Q19" s="24"/>
      <c r="R19" s="25">
        <f t="shared" si="14"/>
        <v>0</v>
      </c>
      <c r="S19" s="25">
        <f t="shared" si="5"/>
        <v>0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/>
      <c r="AA19" s="32"/>
      <c r="AB19" s="32"/>
      <c r="AC19" s="24"/>
      <c r="AD19" s="25">
        <f t="shared" si="16"/>
        <v>0</v>
      </c>
      <c r="AE19" s="25">
        <f t="shared" si="9"/>
        <v>0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/>
      <c r="C20" s="32"/>
      <c r="D20" s="32"/>
      <c r="E20" s="24"/>
      <c r="F20" s="25">
        <f>B20*2</f>
        <v>0</v>
      </c>
      <c r="G20" s="25">
        <f t="shared" si="1"/>
        <v>0</v>
      </c>
      <c r="H20" s="25">
        <f>D20*0</f>
        <v>0</v>
      </c>
      <c r="I20" s="25">
        <f t="shared" si="3"/>
        <v>0</v>
      </c>
      <c r="J20" s="24"/>
      <c r="K20" s="107" t="s">
        <v>100</v>
      </c>
      <c r="M20" s="25">
        <v>14</v>
      </c>
      <c r="N20" s="32"/>
      <c r="O20" s="32"/>
      <c r="P20" s="32"/>
      <c r="Q20" s="24"/>
      <c r="R20" s="25">
        <f>N20*2</f>
        <v>0</v>
      </c>
      <c r="S20" s="25">
        <f t="shared" si="5"/>
        <v>0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/>
      <c r="AA20" s="32"/>
      <c r="AB20" s="32"/>
      <c r="AC20" s="24"/>
      <c r="AD20" s="25">
        <f>Z20*2</f>
        <v>0</v>
      </c>
      <c r="AE20" s="25">
        <f t="shared" si="9"/>
        <v>0</v>
      </c>
      <c r="AF20" s="25">
        <f>AB20*0</f>
        <v>0</v>
      </c>
      <c r="AG20" s="25">
        <f t="shared" si="11"/>
        <v>0</v>
      </c>
      <c r="AH20" s="24"/>
      <c r="AI20" s="107" t="s">
        <v>100</v>
      </c>
    </row>
    <row r="21" spans="1:35" ht="21" customHeight="1">
      <c r="A21" s="25">
        <v>15</v>
      </c>
      <c r="B21" s="32"/>
      <c r="C21" s="32"/>
      <c r="D21" s="32"/>
      <c r="E21" s="24"/>
      <c r="F21" s="25">
        <f>B21*2</f>
        <v>0</v>
      </c>
      <c r="G21" s="25">
        <f t="shared" si="1"/>
        <v>0</v>
      </c>
      <c r="H21" s="25">
        <f>D21*0</f>
        <v>0</v>
      </c>
      <c r="I21" s="25">
        <f t="shared" si="3"/>
        <v>0</v>
      </c>
      <c r="J21" s="24"/>
      <c r="K21" s="107" t="s">
        <v>101</v>
      </c>
      <c r="M21" s="25">
        <v>15</v>
      </c>
      <c r="N21" s="32"/>
      <c r="O21" s="32"/>
      <c r="P21" s="32"/>
      <c r="Q21" s="24"/>
      <c r="R21" s="25">
        <f>N21*2</f>
        <v>0</v>
      </c>
      <c r="S21" s="25">
        <f t="shared" si="5"/>
        <v>0</v>
      </c>
      <c r="T21" s="25">
        <f>P21*0</f>
        <v>0</v>
      </c>
      <c r="U21" s="25">
        <f t="shared" si="7"/>
        <v>0</v>
      </c>
      <c r="V21" s="24"/>
      <c r="W21" s="107" t="s">
        <v>101</v>
      </c>
      <c r="Y21" s="25">
        <v>15</v>
      </c>
      <c r="Z21" s="32"/>
      <c r="AA21" s="32"/>
      <c r="AB21" s="32"/>
      <c r="AC21" s="24"/>
      <c r="AD21" s="25">
        <f>Z21*2</f>
        <v>0</v>
      </c>
      <c r="AE21" s="25">
        <f t="shared" si="9"/>
        <v>0</v>
      </c>
      <c r="AF21" s="25">
        <f>AB21*0</f>
        <v>0</v>
      </c>
      <c r="AG21" s="25">
        <f t="shared" si="11"/>
        <v>0</v>
      </c>
      <c r="AH21" s="24"/>
      <c r="AI21" s="107" t="s">
        <v>101</v>
      </c>
    </row>
    <row r="22" spans="1:35" ht="21" customHeight="1">
      <c r="A22" s="25">
        <v>16</v>
      </c>
      <c r="B22" s="32"/>
      <c r="C22" s="32"/>
      <c r="D22" s="32"/>
      <c r="E22" s="24"/>
      <c r="F22" s="25">
        <f>B22*0</f>
        <v>0</v>
      </c>
      <c r="G22" s="25">
        <f t="shared" si="1"/>
        <v>0</v>
      </c>
      <c r="H22" s="25">
        <f>D22*2</f>
        <v>0</v>
      </c>
      <c r="I22" s="25">
        <f t="shared" si="3"/>
        <v>0</v>
      </c>
      <c r="J22" s="105">
        <f>I12+I17+I20+I25+I29</f>
        <v>0</v>
      </c>
      <c r="K22" s="108">
        <f>J22</f>
        <v>0</v>
      </c>
      <c r="M22" s="25">
        <v>16</v>
      </c>
      <c r="N22" s="32"/>
      <c r="O22" s="32"/>
      <c r="P22" s="32"/>
      <c r="Q22" s="24"/>
      <c r="R22" s="25">
        <f>N22*0</f>
        <v>0</v>
      </c>
      <c r="S22" s="25">
        <f t="shared" si="5"/>
        <v>0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/>
      <c r="AA22" s="32"/>
      <c r="AB22" s="32"/>
      <c r="AC22" s="24"/>
      <c r="AD22" s="25">
        <f>Z22*0</f>
        <v>0</v>
      </c>
      <c r="AE22" s="25">
        <f t="shared" si="9"/>
        <v>0</v>
      </c>
      <c r="AF22" s="25">
        <f>AB22*2</f>
        <v>0</v>
      </c>
      <c r="AG22" s="25">
        <f t="shared" si="11"/>
        <v>0</v>
      </c>
      <c r="AH22" s="105">
        <f>AG12+AG17+AG20+AG25+AG29</f>
        <v>0</v>
      </c>
      <c r="AI22" s="108">
        <f>AH22</f>
        <v>0</v>
      </c>
    </row>
    <row r="23" spans="1:35" ht="21" customHeight="1">
      <c r="A23" s="25">
        <v>17</v>
      </c>
      <c r="B23" s="32"/>
      <c r="C23" s="32"/>
      <c r="D23" s="32"/>
      <c r="E23" s="24"/>
      <c r="F23" s="25">
        <f>B23*2</f>
        <v>0</v>
      </c>
      <c r="G23" s="25">
        <f t="shared" si="1"/>
        <v>0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/>
      <c r="O23" s="32"/>
      <c r="P23" s="32"/>
      <c r="Q23" s="24"/>
      <c r="R23" s="25">
        <f>N23*2</f>
        <v>0</v>
      </c>
      <c r="S23" s="25">
        <f t="shared" si="5"/>
        <v>0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/>
      <c r="AA23" s="32"/>
      <c r="AB23" s="32"/>
      <c r="AC23" s="24"/>
      <c r="AD23" s="25">
        <f>Z23*2</f>
        <v>0</v>
      </c>
      <c r="AE23" s="25">
        <f t="shared" si="9"/>
        <v>0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/>
      <c r="C24" s="32"/>
      <c r="D24" s="32"/>
      <c r="E24" s="24"/>
      <c r="F24" s="25">
        <f>B24*2</f>
        <v>0</v>
      </c>
      <c r="G24" s="25">
        <f t="shared" si="1"/>
        <v>0</v>
      </c>
      <c r="H24" s="25">
        <f>D24*0</f>
        <v>0</v>
      </c>
      <c r="I24" s="25">
        <f t="shared" si="3"/>
        <v>0</v>
      </c>
      <c r="J24" s="24"/>
      <c r="K24" s="25"/>
      <c r="M24" s="25">
        <v>18</v>
      </c>
      <c r="N24" s="32"/>
      <c r="O24" s="32"/>
      <c r="P24" s="32"/>
      <c r="Q24" s="24"/>
      <c r="R24" s="25">
        <f>N24*2</f>
        <v>0</v>
      </c>
      <c r="S24" s="25">
        <f t="shared" si="5"/>
        <v>0</v>
      </c>
      <c r="T24" s="25">
        <f>P24*0</f>
        <v>0</v>
      </c>
      <c r="U24" s="25">
        <f t="shared" si="7"/>
        <v>0</v>
      </c>
      <c r="V24" s="24"/>
      <c r="W24" s="25"/>
      <c r="Y24" s="25">
        <v>18</v>
      </c>
      <c r="Z24" s="32"/>
      <c r="AA24" s="32"/>
      <c r="AB24" s="32"/>
      <c r="AC24" s="24"/>
      <c r="AD24" s="25">
        <f>Z24*2</f>
        <v>0</v>
      </c>
      <c r="AE24" s="25">
        <f t="shared" si="9"/>
        <v>0</v>
      </c>
      <c r="AF24" s="25">
        <f>AB24*0</f>
        <v>0</v>
      </c>
      <c r="AG24" s="25">
        <f t="shared" si="11"/>
        <v>0</v>
      </c>
      <c r="AH24" s="24"/>
      <c r="AI24" s="25"/>
    </row>
    <row r="25" spans="1:35" ht="21" customHeight="1">
      <c r="A25" s="25">
        <v>19</v>
      </c>
      <c r="B25" s="32"/>
      <c r="C25" s="32"/>
      <c r="D25" s="32"/>
      <c r="E25" s="24"/>
      <c r="F25" s="25">
        <f t="shared" ref="F25:F31" si="18">B25*0</f>
        <v>0</v>
      </c>
      <c r="G25" s="25">
        <f t="shared" si="1"/>
        <v>0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/>
      <c r="O25" s="32"/>
      <c r="P25" s="32"/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/>
      <c r="AA25" s="32"/>
      <c r="AB25" s="32"/>
      <c r="AC25" s="24"/>
      <c r="AD25" s="25">
        <f t="shared" ref="AD25:AD31" si="22">Z25*0</f>
        <v>0</v>
      </c>
      <c r="AE25" s="25">
        <f t="shared" si="9"/>
        <v>0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/>
      <c r="D26" s="32"/>
      <c r="E26" s="24"/>
      <c r="F26" s="25">
        <f t="shared" si="18"/>
        <v>0</v>
      </c>
      <c r="G26" s="25">
        <f t="shared" si="1"/>
        <v>0</v>
      </c>
      <c r="H26" s="25">
        <f t="shared" si="19"/>
        <v>0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/>
      <c r="P26" s="32"/>
      <c r="Q26" s="24"/>
      <c r="R26" s="25">
        <f t="shared" si="20"/>
        <v>0</v>
      </c>
      <c r="S26" s="25">
        <f t="shared" si="5"/>
        <v>0</v>
      </c>
      <c r="T26" s="25">
        <f t="shared" si="21"/>
        <v>0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/>
      <c r="AB26" s="32"/>
      <c r="AC26" s="24"/>
      <c r="AD26" s="25">
        <f t="shared" si="22"/>
        <v>0</v>
      </c>
      <c r="AE26" s="25">
        <f t="shared" si="9"/>
        <v>0</v>
      </c>
      <c r="AF26" s="25">
        <f t="shared" si="23"/>
        <v>0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/>
      <c r="D27" s="32"/>
      <c r="E27" s="24"/>
      <c r="F27" s="25">
        <f t="shared" si="18"/>
        <v>0</v>
      </c>
      <c r="G27" s="25">
        <f t="shared" si="1"/>
        <v>0</v>
      </c>
      <c r="H27" s="25">
        <f t="shared" si="19"/>
        <v>0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/>
      <c r="O27" s="32"/>
      <c r="P27" s="32"/>
      <c r="Q27" s="24"/>
      <c r="R27" s="25">
        <f t="shared" si="20"/>
        <v>0</v>
      </c>
      <c r="S27" s="25">
        <f t="shared" si="5"/>
        <v>0</v>
      </c>
      <c r="T27" s="25">
        <f t="shared" si="21"/>
        <v>0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/>
      <c r="AA27" s="32"/>
      <c r="AB27" s="32"/>
      <c r="AC27" s="24"/>
      <c r="AD27" s="25">
        <f t="shared" si="22"/>
        <v>0</v>
      </c>
      <c r="AE27" s="25">
        <f t="shared" si="9"/>
        <v>0</v>
      </c>
      <c r="AF27" s="25">
        <f t="shared" si="23"/>
        <v>0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/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/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/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/>
      <c r="C29" s="32"/>
      <c r="D29" s="32"/>
      <c r="E29" s="24"/>
      <c r="F29" s="25">
        <f t="shared" si="18"/>
        <v>0</v>
      </c>
      <c r="G29" s="25">
        <f t="shared" si="1"/>
        <v>0</v>
      </c>
      <c r="H29" s="25">
        <f t="shared" si="19"/>
        <v>0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/>
      <c r="P29" s="32"/>
      <c r="Q29" s="24"/>
      <c r="R29" s="25">
        <f t="shared" si="20"/>
        <v>0</v>
      </c>
      <c r="S29" s="25">
        <f t="shared" si="5"/>
        <v>0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/>
      <c r="AA29" s="32"/>
      <c r="AB29" s="32"/>
      <c r="AC29" s="24"/>
      <c r="AD29" s="25">
        <f t="shared" si="22"/>
        <v>0</v>
      </c>
      <c r="AE29" s="25">
        <f t="shared" si="9"/>
        <v>0</v>
      </c>
      <c r="AF29" s="25">
        <f t="shared" si="23"/>
        <v>0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/>
      <c r="C30" s="32"/>
      <c r="D30" s="32"/>
      <c r="E30" s="24"/>
      <c r="F30" s="25">
        <f t="shared" si="18"/>
        <v>0</v>
      </c>
      <c r="G30" s="25">
        <f t="shared" si="1"/>
        <v>0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/>
      <c r="O30" s="32"/>
      <c r="P30" s="32"/>
      <c r="Q30" s="24"/>
      <c r="R30" s="25">
        <f t="shared" si="20"/>
        <v>0</v>
      </c>
      <c r="S30" s="25">
        <f t="shared" si="5"/>
        <v>0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/>
      <c r="AA30" s="32"/>
      <c r="AB30" s="32"/>
      <c r="AC30" s="24"/>
      <c r="AD30" s="25">
        <f t="shared" si="22"/>
        <v>0</v>
      </c>
      <c r="AE30" s="25">
        <f t="shared" si="9"/>
        <v>0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/>
      <c r="D31" s="32"/>
      <c r="E31" s="24"/>
      <c r="F31" s="25">
        <f t="shared" si="18"/>
        <v>0</v>
      </c>
      <c r="G31" s="25">
        <f t="shared" si="1"/>
        <v>0</v>
      </c>
      <c r="H31" s="25">
        <f t="shared" si="19"/>
        <v>0</v>
      </c>
      <c r="I31" s="25">
        <f t="shared" si="3"/>
        <v>0</v>
      </c>
      <c r="J31" s="24"/>
      <c r="K31" s="108">
        <f>K7+K12+K17+K22</f>
        <v>0</v>
      </c>
      <c r="M31" s="25">
        <v>25</v>
      </c>
      <c r="N31" s="32"/>
      <c r="O31" s="32"/>
      <c r="P31" s="32"/>
      <c r="Q31" s="24"/>
      <c r="R31" s="25">
        <f t="shared" si="20"/>
        <v>0</v>
      </c>
      <c r="S31" s="25">
        <f t="shared" si="5"/>
        <v>0</v>
      </c>
      <c r="T31" s="25">
        <f t="shared" si="21"/>
        <v>0</v>
      </c>
      <c r="U31" s="25">
        <f t="shared" si="7"/>
        <v>0</v>
      </c>
      <c r="V31" s="24"/>
      <c r="W31" s="108">
        <f>W7+W12+W17+W22</f>
        <v>0</v>
      </c>
      <c r="Y31" s="25">
        <v>25</v>
      </c>
      <c r="Z31" s="32"/>
      <c r="AA31" s="32"/>
      <c r="AB31" s="32"/>
      <c r="AC31" s="24"/>
      <c r="AD31" s="25">
        <f t="shared" si="22"/>
        <v>0</v>
      </c>
      <c r="AE31" s="25">
        <f t="shared" si="9"/>
        <v>0</v>
      </c>
      <c r="AF31" s="25">
        <f t="shared" si="23"/>
        <v>0</v>
      </c>
      <c r="AG31" s="25">
        <f t="shared" si="11"/>
        <v>0</v>
      </c>
      <c r="AH31" s="24"/>
      <c r="AI31" s="108">
        <f>AI7+AI12+AI17+AI22</f>
        <v>0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7"/>
  </sheetPr>
  <dimension ref="A1:AI41"/>
  <sheetViews>
    <sheetView zoomScale="150" workbookViewId="0">
      <selection activeCell="AI3" sqref="AI3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84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>
        <f>รายชื่อ!B34</f>
        <v>0</v>
      </c>
      <c r="C3" s="110">
        <f>รายชื่อ!C34</f>
        <v>0</v>
      </c>
      <c r="D3" s="110">
        <f>รายชื่อ!D34</f>
        <v>0</v>
      </c>
      <c r="E3" s="60"/>
      <c r="F3" s="103"/>
      <c r="G3" s="165"/>
      <c r="H3" s="165"/>
      <c r="I3" s="165"/>
      <c r="J3" s="25"/>
      <c r="K3" s="106" t="s">
        <v>60</v>
      </c>
      <c r="M3" s="25" t="s">
        <v>85</v>
      </c>
      <c r="N3" s="110">
        <f>รายชื่อ!B34</f>
        <v>0</v>
      </c>
      <c r="O3" s="110">
        <f>รายชื่อ!C34</f>
        <v>0</v>
      </c>
      <c r="P3" s="110">
        <f>รายชื่อ!D34</f>
        <v>0</v>
      </c>
      <c r="Q3" s="60"/>
      <c r="R3" s="103"/>
      <c r="S3" s="165"/>
      <c r="T3" s="165"/>
      <c r="U3" s="165"/>
      <c r="V3" s="25"/>
      <c r="W3" s="106" t="s">
        <v>60</v>
      </c>
      <c r="Y3" s="25" t="s">
        <v>85</v>
      </c>
      <c r="Z3" s="110">
        <f>รายชื่อ!B34</f>
        <v>0</v>
      </c>
      <c r="AA3" s="110">
        <f>รายชื่อ!C34</f>
        <v>0</v>
      </c>
      <c r="AB3" s="110">
        <f>รายชื่อ!D34</f>
        <v>0</v>
      </c>
      <c r="AC3" s="60"/>
      <c r="AD3" s="103"/>
      <c r="AE3" s="165"/>
      <c r="AF3" s="165"/>
      <c r="AG3" s="165"/>
      <c r="AH3" s="25"/>
      <c r="AI3" s="106" t="s">
        <v>60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/>
      <c r="C7" s="32"/>
      <c r="D7" s="32"/>
      <c r="E7" s="24"/>
      <c r="F7" s="25">
        <f t="shared" ref="F7:F12" si="0">B7*0</f>
        <v>0</v>
      </c>
      <c r="G7" s="25">
        <f t="shared" ref="G7:G31" si="1">C7*1</f>
        <v>0</v>
      </c>
      <c r="H7" s="25">
        <f t="shared" ref="H7:H12" si="2">D7*2</f>
        <v>0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/>
      <c r="O7" s="32"/>
      <c r="P7" s="32"/>
      <c r="Q7" s="24"/>
      <c r="R7" s="25">
        <f t="shared" ref="R7:R12" si="4">N7*0</f>
        <v>0</v>
      </c>
      <c r="S7" s="25">
        <f t="shared" ref="S7:S31" si="5">O7*1</f>
        <v>0</v>
      </c>
      <c r="T7" s="25">
        <f t="shared" ref="T7:T12" si="6">P7*2</f>
        <v>0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/>
      <c r="AB7" s="32"/>
      <c r="AC7" s="24"/>
      <c r="AD7" s="25">
        <f t="shared" ref="AD7:AD12" si="8">Z7*0</f>
        <v>0</v>
      </c>
      <c r="AE7" s="25">
        <f t="shared" ref="AE7:AE31" si="9">AA7*1</f>
        <v>0</v>
      </c>
      <c r="AF7" s="25">
        <f t="shared" ref="AF7:AF12" si="10">AB7*2</f>
        <v>0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/>
      <c r="C8" s="32"/>
      <c r="D8" s="32"/>
      <c r="E8" s="24"/>
      <c r="F8" s="25">
        <f t="shared" si="0"/>
        <v>0</v>
      </c>
      <c r="G8" s="25">
        <f t="shared" si="1"/>
        <v>0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/>
      <c r="O8" s="32"/>
      <c r="P8" s="32"/>
      <c r="Q8" s="24"/>
      <c r="R8" s="25">
        <f t="shared" si="4"/>
        <v>0</v>
      </c>
      <c r="S8" s="25">
        <f t="shared" si="5"/>
        <v>0</v>
      </c>
      <c r="T8" s="25">
        <f t="shared" si="6"/>
        <v>0</v>
      </c>
      <c r="U8" s="25">
        <f t="shared" si="7"/>
        <v>0</v>
      </c>
      <c r="V8" s="24"/>
      <c r="W8" s="25"/>
      <c r="Y8" s="25">
        <v>2</v>
      </c>
      <c r="Z8" s="32"/>
      <c r="AA8" s="32"/>
      <c r="AB8" s="32"/>
      <c r="AC8" s="24"/>
      <c r="AD8" s="25">
        <f t="shared" si="8"/>
        <v>0</v>
      </c>
      <c r="AE8" s="25">
        <f t="shared" si="9"/>
        <v>0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/>
      <c r="C9" s="32"/>
      <c r="D9" s="32"/>
      <c r="E9" s="24"/>
      <c r="F9" s="25">
        <f t="shared" si="0"/>
        <v>0</v>
      </c>
      <c r="G9" s="25">
        <f t="shared" si="1"/>
        <v>0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/>
      <c r="O9" s="32"/>
      <c r="P9" s="32"/>
      <c r="Q9" s="24"/>
      <c r="R9" s="25">
        <f t="shared" si="4"/>
        <v>0</v>
      </c>
      <c r="S9" s="25">
        <f t="shared" si="5"/>
        <v>0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/>
      <c r="AA9" s="32"/>
      <c r="AB9" s="32"/>
      <c r="AC9" s="24"/>
      <c r="AD9" s="25">
        <f t="shared" si="8"/>
        <v>0</v>
      </c>
      <c r="AE9" s="25">
        <f t="shared" si="9"/>
        <v>0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/>
      <c r="D10" s="32"/>
      <c r="E10" s="24"/>
      <c r="F10" s="25">
        <f t="shared" si="0"/>
        <v>0</v>
      </c>
      <c r="G10" s="25">
        <f t="shared" si="1"/>
        <v>0</v>
      </c>
      <c r="H10" s="25">
        <f t="shared" si="2"/>
        <v>0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/>
      <c r="P10" s="32"/>
      <c r="Q10" s="24"/>
      <c r="R10" s="25">
        <f t="shared" si="4"/>
        <v>0</v>
      </c>
      <c r="S10" s="25">
        <f t="shared" si="5"/>
        <v>0</v>
      </c>
      <c r="T10" s="25">
        <f t="shared" si="6"/>
        <v>0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/>
      <c r="AB10" s="32"/>
      <c r="AC10" s="24"/>
      <c r="AD10" s="25">
        <f t="shared" si="8"/>
        <v>0</v>
      </c>
      <c r="AE10" s="25">
        <f t="shared" si="9"/>
        <v>0</v>
      </c>
      <c r="AF10" s="25">
        <f t="shared" si="10"/>
        <v>0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/>
      <c r="C11" s="32"/>
      <c r="D11" s="32"/>
      <c r="E11" s="24"/>
      <c r="F11" s="25">
        <f t="shared" si="0"/>
        <v>0</v>
      </c>
      <c r="G11" s="25">
        <f t="shared" si="1"/>
        <v>0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/>
      <c r="O11" s="32"/>
      <c r="P11" s="32"/>
      <c r="Q11" s="24"/>
      <c r="R11" s="25">
        <f t="shared" si="4"/>
        <v>0</v>
      </c>
      <c r="S11" s="25">
        <f t="shared" si="5"/>
        <v>0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/>
      <c r="AA11" s="32"/>
      <c r="AB11" s="32"/>
      <c r="AC11" s="24"/>
      <c r="AD11" s="25">
        <f t="shared" si="8"/>
        <v>0</v>
      </c>
      <c r="AE11" s="25">
        <f t="shared" si="9"/>
        <v>0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/>
      <c r="C12" s="32"/>
      <c r="D12" s="32"/>
      <c r="E12" s="24"/>
      <c r="F12" s="25">
        <f t="shared" si="0"/>
        <v>0</v>
      </c>
      <c r="G12" s="25">
        <f t="shared" si="1"/>
        <v>0</v>
      </c>
      <c r="H12" s="25">
        <f t="shared" si="2"/>
        <v>0</v>
      </c>
      <c r="I12" s="25">
        <f t="shared" si="3"/>
        <v>0</v>
      </c>
      <c r="J12" s="105">
        <f>I11+I13+I18+I24+I28</f>
        <v>0</v>
      </c>
      <c r="K12" s="108">
        <f>J12</f>
        <v>0</v>
      </c>
      <c r="M12" s="25">
        <v>6</v>
      </c>
      <c r="N12" s="32"/>
      <c r="O12" s="32"/>
      <c r="P12" s="32"/>
      <c r="Q12" s="24"/>
      <c r="R12" s="25">
        <f t="shared" si="4"/>
        <v>0</v>
      </c>
      <c r="S12" s="25">
        <f t="shared" si="5"/>
        <v>0</v>
      </c>
      <c r="T12" s="25">
        <f t="shared" si="6"/>
        <v>0</v>
      </c>
      <c r="U12" s="25">
        <f t="shared" si="7"/>
        <v>0</v>
      </c>
      <c r="V12" s="105">
        <f>U11+U13+U18+U24+U28</f>
        <v>0</v>
      </c>
      <c r="W12" s="108">
        <f>V12</f>
        <v>0</v>
      </c>
      <c r="Y12" s="25">
        <v>6</v>
      </c>
      <c r="Z12" s="32"/>
      <c r="AA12" s="32"/>
      <c r="AB12" s="32"/>
      <c r="AC12" s="24"/>
      <c r="AD12" s="25">
        <f t="shared" si="8"/>
        <v>0</v>
      </c>
      <c r="AE12" s="25">
        <f t="shared" si="9"/>
        <v>0</v>
      </c>
      <c r="AF12" s="25">
        <f t="shared" si="10"/>
        <v>0</v>
      </c>
      <c r="AG12" s="25">
        <f t="shared" si="11"/>
        <v>0</v>
      </c>
      <c r="AH12" s="105">
        <f>AG11+AG13+AG18+AG24+AG28</f>
        <v>0</v>
      </c>
      <c r="AI12" s="108">
        <f>AH12</f>
        <v>0</v>
      </c>
    </row>
    <row r="13" spans="1:35" ht="21" customHeight="1">
      <c r="A13" s="25">
        <v>7</v>
      </c>
      <c r="B13" s="32"/>
      <c r="C13" s="32"/>
      <c r="D13" s="32"/>
      <c r="E13" s="24"/>
      <c r="F13" s="25">
        <f>B13*2</f>
        <v>0</v>
      </c>
      <c r="G13" s="25">
        <f t="shared" si="1"/>
        <v>0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/>
      <c r="P13" s="32"/>
      <c r="Q13" s="24"/>
      <c r="R13" s="25">
        <f>N13*2</f>
        <v>0</v>
      </c>
      <c r="S13" s="25">
        <f t="shared" si="5"/>
        <v>0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/>
      <c r="AA13" s="32"/>
      <c r="AB13" s="32"/>
      <c r="AC13" s="24"/>
      <c r="AD13" s="25">
        <f>Z13*2</f>
        <v>0</v>
      </c>
      <c r="AE13" s="25">
        <f t="shared" si="9"/>
        <v>0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/>
      <c r="C14" s="32"/>
      <c r="D14" s="32"/>
      <c r="E14" s="24"/>
      <c r="F14" s="25">
        <f t="shared" ref="F14:F19" si="12">B14*0</f>
        <v>0</v>
      </c>
      <c r="G14" s="25">
        <f t="shared" si="1"/>
        <v>0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/>
      <c r="O14" s="32"/>
      <c r="P14" s="32"/>
      <c r="Q14" s="24"/>
      <c r="R14" s="25">
        <f t="shared" ref="R14:R19" si="14">N14*0</f>
        <v>0</v>
      </c>
      <c r="S14" s="25">
        <f t="shared" si="5"/>
        <v>0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/>
      <c r="AA14" s="32"/>
      <c r="AB14" s="32"/>
      <c r="AC14" s="24"/>
      <c r="AD14" s="25">
        <f t="shared" ref="AD14:AD19" si="16">Z14*0</f>
        <v>0</v>
      </c>
      <c r="AE14" s="25">
        <f t="shared" si="9"/>
        <v>0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/>
      <c r="D15" s="32"/>
      <c r="E15" s="24"/>
      <c r="F15" s="25">
        <f t="shared" si="12"/>
        <v>0</v>
      </c>
      <c r="G15" s="25">
        <f t="shared" si="1"/>
        <v>0</v>
      </c>
      <c r="H15" s="25">
        <f t="shared" si="13"/>
        <v>0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/>
      <c r="P15" s="32"/>
      <c r="Q15" s="24"/>
      <c r="R15" s="25">
        <f t="shared" si="14"/>
        <v>0</v>
      </c>
      <c r="S15" s="25">
        <f t="shared" si="5"/>
        <v>0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/>
      <c r="AA15" s="32"/>
      <c r="AB15" s="32"/>
      <c r="AC15" s="24"/>
      <c r="AD15" s="25">
        <f t="shared" si="16"/>
        <v>0</v>
      </c>
      <c r="AE15" s="25">
        <f t="shared" si="9"/>
        <v>0</v>
      </c>
      <c r="AF15" s="25">
        <f t="shared" si="17"/>
        <v>0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/>
      <c r="C16" s="32"/>
      <c r="D16" s="32"/>
      <c r="E16" s="24"/>
      <c r="F16" s="25">
        <f t="shared" si="12"/>
        <v>0</v>
      </c>
      <c r="G16" s="25">
        <f t="shared" si="1"/>
        <v>0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/>
      <c r="O16" s="32"/>
      <c r="P16" s="32"/>
      <c r="Q16" s="24"/>
      <c r="R16" s="25">
        <f t="shared" si="14"/>
        <v>0</v>
      </c>
      <c r="S16" s="25">
        <f t="shared" si="5"/>
        <v>0</v>
      </c>
      <c r="T16" s="25">
        <f t="shared" si="15"/>
        <v>0</v>
      </c>
      <c r="U16" s="25">
        <f t="shared" si="7"/>
        <v>0</v>
      </c>
      <c r="V16" s="24"/>
      <c r="W16" s="107" t="s">
        <v>99</v>
      </c>
      <c r="Y16" s="25">
        <v>10</v>
      </c>
      <c r="Z16" s="32"/>
      <c r="AA16" s="32"/>
      <c r="AB16" s="32"/>
      <c r="AC16" s="24"/>
      <c r="AD16" s="25">
        <f t="shared" si="16"/>
        <v>0</v>
      </c>
      <c r="AE16" s="25">
        <f t="shared" si="9"/>
        <v>0</v>
      </c>
      <c r="AF16" s="25">
        <f t="shared" si="17"/>
        <v>0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/>
      <c r="D17" s="32"/>
      <c r="E17" s="24"/>
      <c r="F17" s="25">
        <f t="shared" si="12"/>
        <v>0</v>
      </c>
      <c r="G17" s="25">
        <f t="shared" si="1"/>
        <v>0</v>
      </c>
      <c r="H17" s="25">
        <f t="shared" si="13"/>
        <v>0</v>
      </c>
      <c r="I17" s="25">
        <f t="shared" si="3"/>
        <v>0</v>
      </c>
      <c r="J17" s="105">
        <f>I8+I16+I21+I27+I31</f>
        <v>0</v>
      </c>
      <c r="K17" s="108">
        <f>J17</f>
        <v>0</v>
      </c>
      <c r="M17" s="25">
        <v>11</v>
      </c>
      <c r="N17" s="32"/>
      <c r="O17" s="32"/>
      <c r="P17" s="32"/>
      <c r="Q17" s="24"/>
      <c r="R17" s="25">
        <f t="shared" si="14"/>
        <v>0</v>
      </c>
      <c r="S17" s="25">
        <f t="shared" si="5"/>
        <v>0</v>
      </c>
      <c r="T17" s="25">
        <f t="shared" si="15"/>
        <v>0</v>
      </c>
      <c r="U17" s="25">
        <f t="shared" si="7"/>
        <v>0</v>
      </c>
      <c r="V17" s="105">
        <f>U8+U16+U21+U27+U31</f>
        <v>0</v>
      </c>
      <c r="W17" s="108">
        <f>V17</f>
        <v>0</v>
      </c>
      <c r="Y17" s="25">
        <v>11</v>
      </c>
      <c r="Z17" s="32"/>
      <c r="AA17" s="32"/>
      <c r="AB17" s="32"/>
      <c r="AC17" s="24"/>
      <c r="AD17" s="25">
        <f t="shared" si="16"/>
        <v>0</v>
      </c>
      <c r="AE17" s="25">
        <f t="shared" si="9"/>
        <v>0</v>
      </c>
      <c r="AF17" s="25">
        <f t="shared" si="17"/>
        <v>0</v>
      </c>
      <c r="AG17" s="25">
        <f t="shared" si="11"/>
        <v>0</v>
      </c>
      <c r="AH17" s="105">
        <f>AG8+AG16+AG21+AG27+AG31</f>
        <v>0</v>
      </c>
      <c r="AI17" s="108">
        <f>AH17</f>
        <v>0</v>
      </c>
    </row>
    <row r="18" spans="1:35" ht="21" customHeight="1">
      <c r="A18" s="25">
        <v>12</v>
      </c>
      <c r="B18" s="32"/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/>
      <c r="O18" s="32"/>
      <c r="P18" s="32"/>
      <c r="Q18" s="24"/>
      <c r="R18" s="25">
        <f t="shared" si="14"/>
        <v>0</v>
      </c>
      <c r="S18" s="25">
        <f t="shared" si="5"/>
        <v>0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/>
      <c r="AA18" s="32"/>
      <c r="AB18" s="32"/>
      <c r="AC18" s="24"/>
      <c r="AD18" s="25">
        <f t="shared" si="16"/>
        <v>0</v>
      </c>
      <c r="AE18" s="25">
        <f t="shared" si="9"/>
        <v>0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/>
      <c r="C19" s="32"/>
      <c r="D19" s="32"/>
      <c r="E19" s="24"/>
      <c r="F19" s="25">
        <f t="shared" si="12"/>
        <v>0</v>
      </c>
      <c r="G19" s="25">
        <f t="shared" si="1"/>
        <v>0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/>
      <c r="O19" s="32"/>
      <c r="P19" s="32"/>
      <c r="Q19" s="24"/>
      <c r="R19" s="25">
        <f t="shared" si="14"/>
        <v>0</v>
      </c>
      <c r="S19" s="25">
        <f t="shared" si="5"/>
        <v>0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/>
      <c r="AA19" s="32"/>
      <c r="AB19" s="32"/>
      <c r="AC19" s="24"/>
      <c r="AD19" s="25">
        <f t="shared" si="16"/>
        <v>0</v>
      </c>
      <c r="AE19" s="25">
        <f t="shared" si="9"/>
        <v>0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/>
      <c r="C20" s="32"/>
      <c r="D20" s="32"/>
      <c r="E20" s="24"/>
      <c r="F20" s="25">
        <f>B20*2</f>
        <v>0</v>
      </c>
      <c r="G20" s="25">
        <f t="shared" si="1"/>
        <v>0</v>
      </c>
      <c r="H20" s="25">
        <f>D20*0</f>
        <v>0</v>
      </c>
      <c r="I20" s="25">
        <f t="shared" si="3"/>
        <v>0</v>
      </c>
      <c r="J20" s="24"/>
      <c r="K20" s="107" t="s">
        <v>100</v>
      </c>
      <c r="M20" s="25">
        <v>14</v>
      </c>
      <c r="N20" s="32"/>
      <c r="O20" s="32"/>
      <c r="P20" s="32"/>
      <c r="Q20" s="24"/>
      <c r="R20" s="25">
        <f>N20*2</f>
        <v>0</v>
      </c>
      <c r="S20" s="25">
        <f t="shared" si="5"/>
        <v>0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/>
      <c r="AA20" s="32"/>
      <c r="AB20" s="32"/>
      <c r="AC20" s="24"/>
      <c r="AD20" s="25">
        <f>Z20*2</f>
        <v>0</v>
      </c>
      <c r="AE20" s="25">
        <f t="shared" si="9"/>
        <v>0</v>
      </c>
      <c r="AF20" s="25">
        <f>AB20*0</f>
        <v>0</v>
      </c>
      <c r="AG20" s="25">
        <f t="shared" si="11"/>
        <v>0</v>
      </c>
      <c r="AH20" s="24"/>
      <c r="AI20" s="107" t="s">
        <v>100</v>
      </c>
    </row>
    <row r="21" spans="1:35" ht="21" customHeight="1">
      <c r="A21" s="25">
        <v>15</v>
      </c>
      <c r="B21" s="32"/>
      <c r="C21" s="32"/>
      <c r="D21" s="32"/>
      <c r="E21" s="24"/>
      <c r="F21" s="25">
        <f>B21*2</f>
        <v>0</v>
      </c>
      <c r="G21" s="25">
        <f t="shared" si="1"/>
        <v>0</v>
      </c>
      <c r="H21" s="25">
        <f>D21*0</f>
        <v>0</v>
      </c>
      <c r="I21" s="25">
        <f t="shared" si="3"/>
        <v>0</v>
      </c>
      <c r="J21" s="24"/>
      <c r="K21" s="107" t="s">
        <v>101</v>
      </c>
      <c r="M21" s="25">
        <v>15</v>
      </c>
      <c r="N21" s="32"/>
      <c r="O21" s="32"/>
      <c r="P21" s="32"/>
      <c r="Q21" s="24"/>
      <c r="R21" s="25">
        <f>N21*2</f>
        <v>0</v>
      </c>
      <c r="S21" s="25">
        <f t="shared" si="5"/>
        <v>0</v>
      </c>
      <c r="T21" s="25">
        <f>P21*0</f>
        <v>0</v>
      </c>
      <c r="U21" s="25">
        <f t="shared" si="7"/>
        <v>0</v>
      </c>
      <c r="V21" s="24"/>
      <c r="W21" s="107" t="s">
        <v>101</v>
      </c>
      <c r="Y21" s="25">
        <v>15</v>
      </c>
      <c r="Z21" s="32"/>
      <c r="AA21" s="32"/>
      <c r="AB21" s="32"/>
      <c r="AC21" s="24"/>
      <c r="AD21" s="25">
        <f>Z21*2</f>
        <v>0</v>
      </c>
      <c r="AE21" s="25">
        <f t="shared" si="9"/>
        <v>0</v>
      </c>
      <c r="AF21" s="25">
        <f>AB21*0</f>
        <v>0</v>
      </c>
      <c r="AG21" s="25">
        <f t="shared" si="11"/>
        <v>0</v>
      </c>
      <c r="AH21" s="24"/>
      <c r="AI21" s="107" t="s">
        <v>101</v>
      </c>
    </row>
    <row r="22" spans="1:35" ht="21" customHeight="1">
      <c r="A22" s="25">
        <v>16</v>
      </c>
      <c r="B22" s="32"/>
      <c r="C22" s="32"/>
      <c r="D22" s="32"/>
      <c r="E22" s="24"/>
      <c r="F22" s="25">
        <f>B22*0</f>
        <v>0</v>
      </c>
      <c r="G22" s="25">
        <f t="shared" si="1"/>
        <v>0</v>
      </c>
      <c r="H22" s="25">
        <f>D22*2</f>
        <v>0</v>
      </c>
      <c r="I22" s="25">
        <f t="shared" si="3"/>
        <v>0</v>
      </c>
      <c r="J22" s="105">
        <f>I12+I17+I20+I25+I29</f>
        <v>0</v>
      </c>
      <c r="K22" s="108">
        <f>J22</f>
        <v>0</v>
      </c>
      <c r="M22" s="25">
        <v>16</v>
      </c>
      <c r="N22" s="32"/>
      <c r="O22" s="32"/>
      <c r="P22" s="32"/>
      <c r="Q22" s="24"/>
      <c r="R22" s="25">
        <f>N22*0</f>
        <v>0</v>
      </c>
      <c r="S22" s="25">
        <f t="shared" si="5"/>
        <v>0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/>
      <c r="AA22" s="32"/>
      <c r="AB22" s="32"/>
      <c r="AC22" s="24"/>
      <c r="AD22" s="25">
        <f>Z22*0</f>
        <v>0</v>
      </c>
      <c r="AE22" s="25">
        <f t="shared" si="9"/>
        <v>0</v>
      </c>
      <c r="AF22" s="25">
        <f>AB22*2</f>
        <v>0</v>
      </c>
      <c r="AG22" s="25">
        <f t="shared" si="11"/>
        <v>0</v>
      </c>
      <c r="AH22" s="105">
        <f>AG12+AG17+AG20+AG25+AG29</f>
        <v>0</v>
      </c>
      <c r="AI22" s="108">
        <f>AH22</f>
        <v>0</v>
      </c>
    </row>
    <row r="23" spans="1:35" ht="21" customHeight="1">
      <c r="A23" s="25">
        <v>17</v>
      </c>
      <c r="B23" s="32"/>
      <c r="C23" s="32"/>
      <c r="D23" s="32"/>
      <c r="E23" s="24"/>
      <c r="F23" s="25">
        <f>B23*2</f>
        <v>0</v>
      </c>
      <c r="G23" s="25">
        <f t="shared" si="1"/>
        <v>0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/>
      <c r="O23" s="32"/>
      <c r="P23" s="32"/>
      <c r="Q23" s="24"/>
      <c r="R23" s="25">
        <f>N23*2</f>
        <v>0</v>
      </c>
      <c r="S23" s="25">
        <f t="shared" si="5"/>
        <v>0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/>
      <c r="AA23" s="32"/>
      <c r="AB23" s="32"/>
      <c r="AC23" s="24"/>
      <c r="AD23" s="25">
        <f>Z23*2</f>
        <v>0</v>
      </c>
      <c r="AE23" s="25">
        <f t="shared" si="9"/>
        <v>0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/>
      <c r="C24" s="32"/>
      <c r="D24" s="32"/>
      <c r="E24" s="24"/>
      <c r="F24" s="25">
        <f>B24*2</f>
        <v>0</v>
      </c>
      <c r="G24" s="25">
        <f t="shared" si="1"/>
        <v>0</v>
      </c>
      <c r="H24" s="25">
        <f>D24*0</f>
        <v>0</v>
      </c>
      <c r="I24" s="25">
        <f t="shared" si="3"/>
        <v>0</v>
      </c>
      <c r="J24" s="24"/>
      <c r="K24" s="25"/>
      <c r="M24" s="25">
        <v>18</v>
      </c>
      <c r="N24" s="32"/>
      <c r="O24" s="32"/>
      <c r="P24" s="32"/>
      <c r="Q24" s="24"/>
      <c r="R24" s="25">
        <f>N24*2</f>
        <v>0</v>
      </c>
      <c r="S24" s="25">
        <f t="shared" si="5"/>
        <v>0</v>
      </c>
      <c r="T24" s="25">
        <f>P24*0</f>
        <v>0</v>
      </c>
      <c r="U24" s="25">
        <f t="shared" si="7"/>
        <v>0</v>
      </c>
      <c r="V24" s="24"/>
      <c r="W24" s="25"/>
      <c r="Y24" s="25">
        <v>18</v>
      </c>
      <c r="Z24" s="32"/>
      <c r="AA24" s="32"/>
      <c r="AB24" s="32"/>
      <c r="AC24" s="24"/>
      <c r="AD24" s="25">
        <f>Z24*2</f>
        <v>0</v>
      </c>
      <c r="AE24" s="25">
        <f t="shared" si="9"/>
        <v>0</v>
      </c>
      <c r="AF24" s="25">
        <f>AB24*0</f>
        <v>0</v>
      </c>
      <c r="AG24" s="25">
        <f t="shared" si="11"/>
        <v>0</v>
      </c>
      <c r="AH24" s="24"/>
      <c r="AI24" s="25"/>
    </row>
    <row r="25" spans="1:35" ht="21" customHeight="1">
      <c r="A25" s="25">
        <v>19</v>
      </c>
      <c r="B25" s="32"/>
      <c r="C25" s="32"/>
      <c r="D25" s="32"/>
      <c r="E25" s="24"/>
      <c r="F25" s="25">
        <f t="shared" ref="F25:F31" si="18">B25*0</f>
        <v>0</v>
      </c>
      <c r="G25" s="25">
        <f t="shared" si="1"/>
        <v>0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/>
      <c r="O25" s="32"/>
      <c r="P25" s="32"/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/>
      <c r="AA25" s="32"/>
      <c r="AB25" s="32"/>
      <c r="AC25" s="24"/>
      <c r="AD25" s="25">
        <f t="shared" ref="AD25:AD31" si="22">Z25*0</f>
        <v>0</v>
      </c>
      <c r="AE25" s="25">
        <f t="shared" si="9"/>
        <v>0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/>
      <c r="D26" s="32"/>
      <c r="E26" s="24"/>
      <c r="F26" s="25">
        <f t="shared" si="18"/>
        <v>0</v>
      </c>
      <c r="G26" s="25">
        <f t="shared" si="1"/>
        <v>0</v>
      </c>
      <c r="H26" s="25">
        <f t="shared" si="19"/>
        <v>0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/>
      <c r="P26" s="32"/>
      <c r="Q26" s="24"/>
      <c r="R26" s="25">
        <f t="shared" si="20"/>
        <v>0</v>
      </c>
      <c r="S26" s="25">
        <f t="shared" si="5"/>
        <v>0</v>
      </c>
      <c r="T26" s="25">
        <f t="shared" si="21"/>
        <v>0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/>
      <c r="AB26" s="32"/>
      <c r="AC26" s="24"/>
      <c r="AD26" s="25">
        <f t="shared" si="22"/>
        <v>0</v>
      </c>
      <c r="AE26" s="25">
        <f t="shared" si="9"/>
        <v>0</v>
      </c>
      <c r="AF26" s="25">
        <f t="shared" si="23"/>
        <v>0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/>
      <c r="D27" s="32"/>
      <c r="E27" s="24"/>
      <c r="F27" s="25">
        <f t="shared" si="18"/>
        <v>0</v>
      </c>
      <c r="G27" s="25">
        <f t="shared" si="1"/>
        <v>0</v>
      </c>
      <c r="H27" s="25">
        <f t="shared" si="19"/>
        <v>0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/>
      <c r="O27" s="32"/>
      <c r="P27" s="32"/>
      <c r="Q27" s="24"/>
      <c r="R27" s="25">
        <f t="shared" si="20"/>
        <v>0</v>
      </c>
      <c r="S27" s="25">
        <f t="shared" si="5"/>
        <v>0</v>
      </c>
      <c r="T27" s="25">
        <f t="shared" si="21"/>
        <v>0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/>
      <c r="AA27" s="32"/>
      <c r="AB27" s="32"/>
      <c r="AC27" s="24"/>
      <c r="AD27" s="25">
        <f t="shared" si="22"/>
        <v>0</v>
      </c>
      <c r="AE27" s="25">
        <f t="shared" si="9"/>
        <v>0</v>
      </c>
      <c r="AF27" s="25">
        <f t="shared" si="23"/>
        <v>0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/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/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/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/>
      <c r="C29" s="32"/>
      <c r="D29" s="32"/>
      <c r="E29" s="24"/>
      <c r="F29" s="25">
        <f t="shared" si="18"/>
        <v>0</v>
      </c>
      <c r="G29" s="25">
        <f t="shared" si="1"/>
        <v>0</v>
      </c>
      <c r="H29" s="25">
        <f t="shared" si="19"/>
        <v>0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/>
      <c r="P29" s="32"/>
      <c r="Q29" s="24"/>
      <c r="R29" s="25">
        <f t="shared" si="20"/>
        <v>0</v>
      </c>
      <c r="S29" s="25">
        <f t="shared" si="5"/>
        <v>0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/>
      <c r="AA29" s="32"/>
      <c r="AB29" s="32"/>
      <c r="AC29" s="24"/>
      <c r="AD29" s="25">
        <f t="shared" si="22"/>
        <v>0</v>
      </c>
      <c r="AE29" s="25">
        <f t="shared" si="9"/>
        <v>0</v>
      </c>
      <c r="AF29" s="25">
        <f t="shared" si="23"/>
        <v>0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/>
      <c r="C30" s="32"/>
      <c r="D30" s="32"/>
      <c r="E30" s="24"/>
      <c r="F30" s="25">
        <f t="shared" si="18"/>
        <v>0</v>
      </c>
      <c r="G30" s="25">
        <f t="shared" si="1"/>
        <v>0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/>
      <c r="O30" s="32"/>
      <c r="P30" s="32"/>
      <c r="Q30" s="24"/>
      <c r="R30" s="25">
        <f t="shared" si="20"/>
        <v>0</v>
      </c>
      <c r="S30" s="25">
        <f t="shared" si="5"/>
        <v>0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/>
      <c r="AA30" s="32"/>
      <c r="AB30" s="32"/>
      <c r="AC30" s="24"/>
      <c r="AD30" s="25">
        <f t="shared" si="22"/>
        <v>0</v>
      </c>
      <c r="AE30" s="25">
        <f t="shared" si="9"/>
        <v>0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/>
      <c r="D31" s="32"/>
      <c r="E31" s="24"/>
      <c r="F31" s="25">
        <f t="shared" si="18"/>
        <v>0</v>
      </c>
      <c r="G31" s="25">
        <f t="shared" si="1"/>
        <v>0</v>
      </c>
      <c r="H31" s="25">
        <f t="shared" si="19"/>
        <v>0</v>
      </c>
      <c r="I31" s="25">
        <f t="shared" si="3"/>
        <v>0</v>
      </c>
      <c r="J31" s="24"/>
      <c r="K31" s="108">
        <f>K7+K12+K17+K22</f>
        <v>0</v>
      </c>
      <c r="M31" s="25">
        <v>25</v>
      </c>
      <c r="N31" s="32"/>
      <c r="O31" s="32"/>
      <c r="P31" s="32"/>
      <c r="Q31" s="24"/>
      <c r="R31" s="25">
        <f t="shared" si="20"/>
        <v>0</v>
      </c>
      <c r="S31" s="25">
        <f t="shared" si="5"/>
        <v>0</v>
      </c>
      <c r="T31" s="25">
        <f t="shared" si="21"/>
        <v>0</v>
      </c>
      <c r="U31" s="25">
        <f t="shared" si="7"/>
        <v>0</v>
      </c>
      <c r="V31" s="24"/>
      <c r="W31" s="108">
        <f>W7+W12+W17+W22</f>
        <v>0</v>
      </c>
      <c r="Y31" s="25">
        <v>25</v>
      </c>
      <c r="Z31" s="32"/>
      <c r="AA31" s="32"/>
      <c r="AB31" s="32"/>
      <c r="AC31" s="24"/>
      <c r="AD31" s="25">
        <f t="shared" si="22"/>
        <v>0</v>
      </c>
      <c r="AE31" s="25">
        <f t="shared" si="9"/>
        <v>0</v>
      </c>
      <c r="AF31" s="25">
        <f t="shared" si="23"/>
        <v>0</v>
      </c>
      <c r="AG31" s="25">
        <f t="shared" si="11"/>
        <v>0</v>
      </c>
      <c r="AH31" s="24"/>
      <c r="AI31" s="108">
        <f>AI7+AI12+AI17+AI22</f>
        <v>0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7"/>
  </sheetPr>
  <dimension ref="A1:AI41"/>
  <sheetViews>
    <sheetView zoomScale="150" workbookViewId="0">
      <selection activeCell="AI3" sqref="AI3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>
        <f>รายชื่อ!B35</f>
        <v>0</v>
      </c>
      <c r="C3" s="110">
        <f>รายชื่อ!C35</f>
        <v>0</v>
      </c>
      <c r="D3" s="110">
        <f>รายชื่อ!D35</f>
        <v>0</v>
      </c>
      <c r="E3" s="60"/>
      <c r="F3" s="103"/>
      <c r="G3" s="165"/>
      <c r="H3" s="165"/>
      <c r="I3" s="165"/>
      <c r="J3" s="25"/>
      <c r="K3" s="106" t="s">
        <v>61</v>
      </c>
      <c r="M3" s="25" t="s">
        <v>85</v>
      </c>
      <c r="N3" s="110">
        <f>รายชื่อ!B35</f>
        <v>0</v>
      </c>
      <c r="O3" s="110">
        <f>รายชื่อ!C35</f>
        <v>0</v>
      </c>
      <c r="P3" s="110">
        <f>รายชื่อ!D35</f>
        <v>0</v>
      </c>
      <c r="Q3" s="60"/>
      <c r="R3" s="103"/>
      <c r="S3" s="165"/>
      <c r="T3" s="165"/>
      <c r="U3" s="165"/>
      <c r="V3" s="25"/>
      <c r="W3" s="106" t="s">
        <v>61</v>
      </c>
      <c r="Y3" s="25" t="s">
        <v>85</v>
      </c>
      <c r="Z3" s="110">
        <f>รายชื่อ!B35</f>
        <v>0</v>
      </c>
      <c r="AA3" s="110">
        <f>รายชื่อ!C35</f>
        <v>0</v>
      </c>
      <c r="AB3" s="110">
        <f>รายชื่อ!D35</f>
        <v>0</v>
      </c>
      <c r="AC3" s="60"/>
      <c r="AD3" s="103"/>
      <c r="AE3" s="165"/>
      <c r="AF3" s="165"/>
      <c r="AG3" s="165"/>
      <c r="AH3" s="25"/>
      <c r="AI3" s="106" t="s">
        <v>61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/>
      <c r="C7" s="32"/>
      <c r="D7" s="32"/>
      <c r="E7" s="24"/>
      <c r="F7" s="25">
        <f t="shared" ref="F7:F12" si="0">B7*0</f>
        <v>0</v>
      </c>
      <c r="G7" s="25">
        <f t="shared" ref="G7:G31" si="1">C7*1</f>
        <v>0</v>
      </c>
      <c r="H7" s="25">
        <f t="shared" ref="H7:H12" si="2">D7*2</f>
        <v>0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/>
      <c r="O7" s="32"/>
      <c r="P7" s="32"/>
      <c r="Q7" s="24"/>
      <c r="R7" s="25">
        <f t="shared" ref="R7:R12" si="4">N7*0</f>
        <v>0</v>
      </c>
      <c r="S7" s="25">
        <f t="shared" ref="S7:S31" si="5">O7*1</f>
        <v>0</v>
      </c>
      <c r="T7" s="25">
        <f t="shared" ref="T7:T12" si="6">P7*2</f>
        <v>0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/>
      <c r="AB7" s="32"/>
      <c r="AC7" s="24"/>
      <c r="AD7" s="25">
        <f t="shared" ref="AD7:AD12" si="8">Z7*0</f>
        <v>0</v>
      </c>
      <c r="AE7" s="25">
        <f t="shared" ref="AE7:AE31" si="9">AA7*1</f>
        <v>0</v>
      </c>
      <c r="AF7" s="25">
        <f t="shared" ref="AF7:AF12" si="10">AB7*2</f>
        <v>0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/>
      <c r="C8" s="32"/>
      <c r="D8" s="32"/>
      <c r="E8" s="24"/>
      <c r="F8" s="25">
        <f t="shared" si="0"/>
        <v>0</v>
      </c>
      <c r="G8" s="25">
        <f t="shared" si="1"/>
        <v>0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/>
      <c r="O8" s="32"/>
      <c r="P8" s="32"/>
      <c r="Q8" s="24"/>
      <c r="R8" s="25">
        <f t="shared" si="4"/>
        <v>0</v>
      </c>
      <c r="S8" s="25">
        <f t="shared" si="5"/>
        <v>0</v>
      </c>
      <c r="T8" s="25">
        <f t="shared" si="6"/>
        <v>0</v>
      </c>
      <c r="U8" s="25">
        <f t="shared" si="7"/>
        <v>0</v>
      </c>
      <c r="V8" s="24"/>
      <c r="W8" s="25"/>
      <c r="Y8" s="25">
        <v>2</v>
      </c>
      <c r="Z8" s="32"/>
      <c r="AA8" s="32"/>
      <c r="AB8" s="32"/>
      <c r="AC8" s="24"/>
      <c r="AD8" s="25">
        <f t="shared" si="8"/>
        <v>0</v>
      </c>
      <c r="AE8" s="25">
        <f t="shared" si="9"/>
        <v>0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/>
      <c r="C9" s="32"/>
      <c r="D9" s="32"/>
      <c r="E9" s="24"/>
      <c r="F9" s="25">
        <f t="shared" si="0"/>
        <v>0</v>
      </c>
      <c r="G9" s="25">
        <f t="shared" si="1"/>
        <v>0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/>
      <c r="O9" s="32"/>
      <c r="P9" s="32"/>
      <c r="Q9" s="24"/>
      <c r="R9" s="25">
        <f t="shared" si="4"/>
        <v>0</v>
      </c>
      <c r="S9" s="25">
        <f t="shared" si="5"/>
        <v>0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/>
      <c r="AA9" s="32"/>
      <c r="AB9" s="32"/>
      <c r="AC9" s="24"/>
      <c r="AD9" s="25">
        <f t="shared" si="8"/>
        <v>0</v>
      </c>
      <c r="AE9" s="25">
        <f t="shared" si="9"/>
        <v>0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/>
      <c r="D10" s="32"/>
      <c r="E10" s="24"/>
      <c r="F10" s="25">
        <f t="shared" si="0"/>
        <v>0</v>
      </c>
      <c r="G10" s="25">
        <f t="shared" si="1"/>
        <v>0</v>
      </c>
      <c r="H10" s="25">
        <f t="shared" si="2"/>
        <v>0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/>
      <c r="P10" s="32"/>
      <c r="Q10" s="24"/>
      <c r="R10" s="25">
        <f t="shared" si="4"/>
        <v>0</v>
      </c>
      <c r="S10" s="25">
        <f t="shared" si="5"/>
        <v>0</v>
      </c>
      <c r="T10" s="25">
        <f t="shared" si="6"/>
        <v>0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/>
      <c r="AB10" s="32"/>
      <c r="AC10" s="24"/>
      <c r="AD10" s="25">
        <f t="shared" si="8"/>
        <v>0</v>
      </c>
      <c r="AE10" s="25">
        <f t="shared" si="9"/>
        <v>0</v>
      </c>
      <c r="AF10" s="25">
        <f t="shared" si="10"/>
        <v>0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/>
      <c r="C11" s="32"/>
      <c r="D11" s="32"/>
      <c r="E11" s="24"/>
      <c r="F11" s="25">
        <f t="shared" si="0"/>
        <v>0</v>
      </c>
      <c r="G11" s="25">
        <f t="shared" si="1"/>
        <v>0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/>
      <c r="O11" s="32"/>
      <c r="P11" s="32"/>
      <c r="Q11" s="24"/>
      <c r="R11" s="25">
        <f t="shared" si="4"/>
        <v>0</v>
      </c>
      <c r="S11" s="25">
        <f t="shared" si="5"/>
        <v>0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/>
      <c r="AA11" s="32"/>
      <c r="AB11" s="32"/>
      <c r="AC11" s="24"/>
      <c r="AD11" s="25">
        <f t="shared" si="8"/>
        <v>0</v>
      </c>
      <c r="AE11" s="25">
        <f t="shared" si="9"/>
        <v>0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/>
      <c r="C12" s="32"/>
      <c r="D12" s="32"/>
      <c r="E12" s="24"/>
      <c r="F12" s="25">
        <f t="shared" si="0"/>
        <v>0</v>
      </c>
      <c r="G12" s="25">
        <f t="shared" si="1"/>
        <v>0</v>
      </c>
      <c r="H12" s="25">
        <f t="shared" si="2"/>
        <v>0</v>
      </c>
      <c r="I12" s="25">
        <f t="shared" si="3"/>
        <v>0</v>
      </c>
      <c r="J12" s="105">
        <f>I11+I13+I18+I24+I28</f>
        <v>0</v>
      </c>
      <c r="K12" s="108">
        <f>J12</f>
        <v>0</v>
      </c>
      <c r="M12" s="25">
        <v>6</v>
      </c>
      <c r="N12" s="32"/>
      <c r="O12" s="32"/>
      <c r="P12" s="32"/>
      <c r="Q12" s="24"/>
      <c r="R12" s="25">
        <f t="shared" si="4"/>
        <v>0</v>
      </c>
      <c r="S12" s="25">
        <f t="shared" si="5"/>
        <v>0</v>
      </c>
      <c r="T12" s="25">
        <f t="shared" si="6"/>
        <v>0</v>
      </c>
      <c r="U12" s="25">
        <f t="shared" si="7"/>
        <v>0</v>
      </c>
      <c r="V12" s="105">
        <f>U11+U13+U18+U24+U28</f>
        <v>0</v>
      </c>
      <c r="W12" s="108">
        <f>V12</f>
        <v>0</v>
      </c>
      <c r="Y12" s="25">
        <v>6</v>
      </c>
      <c r="Z12" s="32"/>
      <c r="AA12" s="32"/>
      <c r="AB12" s="32"/>
      <c r="AC12" s="24"/>
      <c r="AD12" s="25">
        <f t="shared" si="8"/>
        <v>0</v>
      </c>
      <c r="AE12" s="25">
        <f t="shared" si="9"/>
        <v>0</v>
      </c>
      <c r="AF12" s="25">
        <f t="shared" si="10"/>
        <v>0</v>
      </c>
      <c r="AG12" s="25">
        <f t="shared" si="11"/>
        <v>0</v>
      </c>
      <c r="AH12" s="105">
        <f>AG11+AG13+AG18+AG24+AG28</f>
        <v>0</v>
      </c>
      <c r="AI12" s="108">
        <f>AH12</f>
        <v>0</v>
      </c>
    </row>
    <row r="13" spans="1:35" ht="21" customHeight="1">
      <c r="A13" s="25">
        <v>7</v>
      </c>
      <c r="B13" s="32"/>
      <c r="C13" s="32"/>
      <c r="D13" s="32"/>
      <c r="E13" s="24"/>
      <c r="F13" s="25">
        <f>B13*2</f>
        <v>0</v>
      </c>
      <c r="G13" s="25">
        <f t="shared" si="1"/>
        <v>0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/>
      <c r="P13" s="32"/>
      <c r="Q13" s="24"/>
      <c r="R13" s="25">
        <f>N13*2</f>
        <v>0</v>
      </c>
      <c r="S13" s="25">
        <f t="shared" si="5"/>
        <v>0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/>
      <c r="AA13" s="32"/>
      <c r="AB13" s="32"/>
      <c r="AC13" s="24"/>
      <c r="AD13" s="25">
        <f>Z13*2</f>
        <v>0</v>
      </c>
      <c r="AE13" s="25">
        <f t="shared" si="9"/>
        <v>0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/>
      <c r="C14" s="32"/>
      <c r="D14" s="32"/>
      <c r="E14" s="24"/>
      <c r="F14" s="25">
        <f t="shared" ref="F14:F19" si="12">B14*0</f>
        <v>0</v>
      </c>
      <c r="G14" s="25">
        <f t="shared" si="1"/>
        <v>0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/>
      <c r="O14" s="32"/>
      <c r="P14" s="32"/>
      <c r="Q14" s="24"/>
      <c r="R14" s="25">
        <f t="shared" ref="R14:R19" si="14">N14*0</f>
        <v>0</v>
      </c>
      <c r="S14" s="25">
        <f t="shared" si="5"/>
        <v>0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/>
      <c r="AA14" s="32"/>
      <c r="AB14" s="32"/>
      <c r="AC14" s="24"/>
      <c r="AD14" s="25">
        <f t="shared" ref="AD14:AD19" si="16">Z14*0</f>
        <v>0</v>
      </c>
      <c r="AE14" s="25">
        <f t="shared" si="9"/>
        <v>0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/>
      <c r="D15" s="32"/>
      <c r="E15" s="24"/>
      <c r="F15" s="25">
        <f t="shared" si="12"/>
        <v>0</v>
      </c>
      <c r="G15" s="25">
        <f t="shared" si="1"/>
        <v>0</v>
      </c>
      <c r="H15" s="25">
        <f t="shared" si="13"/>
        <v>0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/>
      <c r="P15" s="32"/>
      <c r="Q15" s="24"/>
      <c r="R15" s="25">
        <f t="shared" si="14"/>
        <v>0</v>
      </c>
      <c r="S15" s="25">
        <f t="shared" si="5"/>
        <v>0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/>
      <c r="AA15" s="32"/>
      <c r="AB15" s="32"/>
      <c r="AC15" s="24"/>
      <c r="AD15" s="25">
        <f t="shared" si="16"/>
        <v>0</v>
      </c>
      <c r="AE15" s="25">
        <f t="shared" si="9"/>
        <v>0</v>
      </c>
      <c r="AF15" s="25">
        <f t="shared" si="17"/>
        <v>0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/>
      <c r="C16" s="32"/>
      <c r="D16" s="32"/>
      <c r="E16" s="24"/>
      <c r="F16" s="25">
        <f t="shared" si="12"/>
        <v>0</v>
      </c>
      <c r="G16" s="25">
        <f t="shared" si="1"/>
        <v>0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/>
      <c r="O16" s="32"/>
      <c r="P16" s="32"/>
      <c r="Q16" s="24"/>
      <c r="R16" s="25">
        <f t="shared" si="14"/>
        <v>0</v>
      </c>
      <c r="S16" s="25">
        <f t="shared" si="5"/>
        <v>0</v>
      </c>
      <c r="T16" s="25">
        <f t="shared" si="15"/>
        <v>0</v>
      </c>
      <c r="U16" s="25">
        <f t="shared" si="7"/>
        <v>0</v>
      </c>
      <c r="V16" s="24"/>
      <c r="W16" s="107" t="s">
        <v>99</v>
      </c>
      <c r="Y16" s="25">
        <v>10</v>
      </c>
      <c r="Z16" s="32"/>
      <c r="AA16" s="32"/>
      <c r="AB16" s="32"/>
      <c r="AC16" s="24"/>
      <c r="AD16" s="25">
        <f t="shared" si="16"/>
        <v>0</v>
      </c>
      <c r="AE16" s="25">
        <f t="shared" si="9"/>
        <v>0</v>
      </c>
      <c r="AF16" s="25">
        <f t="shared" si="17"/>
        <v>0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/>
      <c r="D17" s="32"/>
      <c r="E17" s="24"/>
      <c r="F17" s="25">
        <f t="shared" si="12"/>
        <v>0</v>
      </c>
      <c r="G17" s="25">
        <f t="shared" si="1"/>
        <v>0</v>
      </c>
      <c r="H17" s="25">
        <f t="shared" si="13"/>
        <v>0</v>
      </c>
      <c r="I17" s="25">
        <f t="shared" si="3"/>
        <v>0</v>
      </c>
      <c r="J17" s="105">
        <f>I8+I16+I21+I27+I31</f>
        <v>0</v>
      </c>
      <c r="K17" s="108">
        <f>J17</f>
        <v>0</v>
      </c>
      <c r="M17" s="25">
        <v>11</v>
      </c>
      <c r="N17" s="32"/>
      <c r="O17" s="32"/>
      <c r="P17" s="32"/>
      <c r="Q17" s="24"/>
      <c r="R17" s="25">
        <f t="shared" si="14"/>
        <v>0</v>
      </c>
      <c r="S17" s="25">
        <f t="shared" si="5"/>
        <v>0</v>
      </c>
      <c r="T17" s="25">
        <f t="shared" si="15"/>
        <v>0</v>
      </c>
      <c r="U17" s="25">
        <f t="shared" si="7"/>
        <v>0</v>
      </c>
      <c r="V17" s="105">
        <f>U8+U16+U21+U27+U31</f>
        <v>0</v>
      </c>
      <c r="W17" s="108">
        <f>V17</f>
        <v>0</v>
      </c>
      <c r="Y17" s="25">
        <v>11</v>
      </c>
      <c r="Z17" s="32"/>
      <c r="AA17" s="32"/>
      <c r="AB17" s="32"/>
      <c r="AC17" s="24"/>
      <c r="AD17" s="25">
        <f t="shared" si="16"/>
        <v>0</v>
      </c>
      <c r="AE17" s="25">
        <f t="shared" si="9"/>
        <v>0</v>
      </c>
      <c r="AF17" s="25">
        <f t="shared" si="17"/>
        <v>0</v>
      </c>
      <c r="AG17" s="25">
        <f t="shared" si="11"/>
        <v>0</v>
      </c>
      <c r="AH17" s="105">
        <f>AG8+AG16+AG21+AG27+AG31</f>
        <v>0</v>
      </c>
      <c r="AI17" s="108">
        <f>AH17</f>
        <v>0</v>
      </c>
    </row>
    <row r="18" spans="1:35" ht="21" customHeight="1">
      <c r="A18" s="25">
        <v>12</v>
      </c>
      <c r="B18" s="32"/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/>
      <c r="O18" s="32"/>
      <c r="P18" s="32"/>
      <c r="Q18" s="24"/>
      <c r="R18" s="25">
        <f t="shared" si="14"/>
        <v>0</v>
      </c>
      <c r="S18" s="25">
        <f t="shared" si="5"/>
        <v>0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/>
      <c r="AA18" s="32"/>
      <c r="AB18" s="32"/>
      <c r="AC18" s="24"/>
      <c r="AD18" s="25">
        <f t="shared" si="16"/>
        <v>0</v>
      </c>
      <c r="AE18" s="25">
        <f t="shared" si="9"/>
        <v>0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/>
      <c r="C19" s="32"/>
      <c r="D19" s="32"/>
      <c r="E19" s="24"/>
      <c r="F19" s="25">
        <f t="shared" si="12"/>
        <v>0</v>
      </c>
      <c r="G19" s="25">
        <f t="shared" si="1"/>
        <v>0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/>
      <c r="O19" s="32"/>
      <c r="P19" s="32"/>
      <c r="Q19" s="24"/>
      <c r="R19" s="25">
        <f t="shared" si="14"/>
        <v>0</v>
      </c>
      <c r="S19" s="25">
        <f t="shared" si="5"/>
        <v>0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/>
      <c r="AA19" s="32"/>
      <c r="AB19" s="32"/>
      <c r="AC19" s="24"/>
      <c r="AD19" s="25">
        <f t="shared" si="16"/>
        <v>0</v>
      </c>
      <c r="AE19" s="25">
        <f t="shared" si="9"/>
        <v>0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/>
      <c r="C20" s="32"/>
      <c r="D20" s="32"/>
      <c r="E20" s="24"/>
      <c r="F20" s="25">
        <f>B20*2</f>
        <v>0</v>
      </c>
      <c r="G20" s="25">
        <f t="shared" si="1"/>
        <v>0</v>
      </c>
      <c r="H20" s="25">
        <f>D20*0</f>
        <v>0</v>
      </c>
      <c r="I20" s="25">
        <f t="shared" si="3"/>
        <v>0</v>
      </c>
      <c r="J20" s="24"/>
      <c r="K20" s="107" t="s">
        <v>100</v>
      </c>
      <c r="M20" s="25">
        <v>14</v>
      </c>
      <c r="N20" s="32"/>
      <c r="O20" s="32"/>
      <c r="P20" s="32"/>
      <c r="Q20" s="24"/>
      <c r="R20" s="25">
        <f>N20*2</f>
        <v>0</v>
      </c>
      <c r="S20" s="25">
        <f t="shared" si="5"/>
        <v>0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/>
      <c r="AA20" s="32"/>
      <c r="AB20" s="32"/>
      <c r="AC20" s="24"/>
      <c r="AD20" s="25">
        <f>Z20*2</f>
        <v>0</v>
      </c>
      <c r="AE20" s="25">
        <f t="shared" si="9"/>
        <v>0</v>
      </c>
      <c r="AF20" s="25">
        <f>AB20*0</f>
        <v>0</v>
      </c>
      <c r="AG20" s="25">
        <f t="shared" si="11"/>
        <v>0</v>
      </c>
      <c r="AH20" s="24"/>
      <c r="AI20" s="107" t="s">
        <v>100</v>
      </c>
    </row>
    <row r="21" spans="1:35" ht="21" customHeight="1">
      <c r="A21" s="25">
        <v>15</v>
      </c>
      <c r="B21" s="32"/>
      <c r="C21" s="32"/>
      <c r="D21" s="32"/>
      <c r="E21" s="24"/>
      <c r="F21" s="25">
        <f>B21*2</f>
        <v>0</v>
      </c>
      <c r="G21" s="25">
        <f t="shared" si="1"/>
        <v>0</v>
      </c>
      <c r="H21" s="25">
        <f>D21*0</f>
        <v>0</v>
      </c>
      <c r="I21" s="25">
        <f t="shared" si="3"/>
        <v>0</v>
      </c>
      <c r="J21" s="24"/>
      <c r="K21" s="107" t="s">
        <v>101</v>
      </c>
      <c r="M21" s="25">
        <v>15</v>
      </c>
      <c r="N21" s="32"/>
      <c r="O21" s="32"/>
      <c r="P21" s="32"/>
      <c r="Q21" s="24"/>
      <c r="R21" s="25">
        <f>N21*2</f>
        <v>0</v>
      </c>
      <c r="S21" s="25">
        <f t="shared" si="5"/>
        <v>0</v>
      </c>
      <c r="T21" s="25">
        <f>P21*0</f>
        <v>0</v>
      </c>
      <c r="U21" s="25">
        <f t="shared" si="7"/>
        <v>0</v>
      </c>
      <c r="V21" s="24"/>
      <c r="W21" s="107" t="s">
        <v>101</v>
      </c>
      <c r="Y21" s="25">
        <v>15</v>
      </c>
      <c r="Z21" s="32"/>
      <c r="AA21" s="32"/>
      <c r="AB21" s="32"/>
      <c r="AC21" s="24"/>
      <c r="AD21" s="25">
        <f>Z21*2</f>
        <v>0</v>
      </c>
      <c r="AE21" s="25">
        <f t="shared" si="9"/>
        <v>0</v>
      </c>
      <c r="AF21" s="25">
        <f>AB21*0</f>
        <v>0</v>
      </c>
      <c r="AG21" s="25">
        <f t="shared" si="11"/>
        <v>0</v>
      </c>
      <c r="AH21" s="24"/>
      <c r="AI21" s="107" t="s">
        <v>101</v>
      </c>
    </row>
    <row r="22" spans="1:35" ht="21" customHeight="1">
      <c r="A22" s="25">
        <v>16</v>
      </c>
      <c r="B22" s="32"/>
      <c r="C22" s="32"/>
      <c r="D22" s="32"/>
      <c r="E22" s="24"/>
      <c r="F22" s="25">
        <f>B22*0</f>
        <v>0</v>
      </c>
      <c r="G22" s="25">
        <f t="shared" si="1"/>
        <v>0</v>
      </c>
      <c r="H22" s="25">
        <f>D22*2</f>
        <v>0</v>
      </c>
      <c r="I22" s="25">
        <f t="shared" si="3"/>
        <v>0</v>
      </c>
      <c r="J22" s="105">
        <f>I12+I17+I20+I25+I29</f>
        <v>0</v>
      </c>
      <c r="K22" s="108">
        <f>J22</f>
        <v>0</v>
      </c>
      <c r="M22" s="25">
        <v>16</v>
      </c>
      <c r="N22" s="32"/>
      <c r="O22" s="32"/>
      <c r="P22" s="32"/>
      <c r="Q22" s="24"/>
      <c r="R22" s="25">
        <f>N22*0</f>
        <v>0</v>
      </c>
      <c r="S22" s="25">
        <f t="shared" si="5"/>
        <v>0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/>
      <c r="AA22" s="32"/>
      <c r="AB22" s="32"/>
      <c r="AC22" s="24"/>
      <c r="AD22" s="25">
        <f>Z22*0</f>
        <v>0</v>
      </c>
      <c r="AE22" s="25">
        <f t="shared" si="9"/>
        <v>0</v>
      </c>
      <c r="AF22" s="25">
        <f>AB22*2</f>
        <v>0</v>
      </c>
      <c r="AG22" s="25">
        <f t="shared" si="11"/>
        <v>0</v>
      </c>
      <c r="AH22" s="105">
        <f>AG12+AG17+AG20+AG25+AG29</f>
        <v>0</v>
      </c>
      <c r="AI22" s="108">
        <f>AH22</f>
        <v>0</v>
      </c>
    </row>
    <row r="23" spans="1:35" ht="21" customHeight="1">
      <c r="A23" s="25">
        <v>17</v>
      </c>
      <c r="B23" s="32"/>
      <c r="C23" s="32"/>
      <c r="D23" s="32"/>
      <c r="E23" s="24"/>
      <c r="F23" s="25">
        <f>B23*2</f>
        <v>0</v>
      </c>
      <c r="G23" s="25">
        <f t="shared" si="1"/>
        <v>0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/>
      <c r="O23" s="32"/>
      <c r="P23" s="32"/>
      <c r="Q23" s="24"/>
      <c r="R23" s="25">
        <f>N23*2</f>
        <v>0</v>
      </c>
      <c r="S23" s="25">
        <f t="shared" si="5"/>
        <v>0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/>
      <c r="AA23" s="32"/>
      <c r="AB23" s="32"/>
      <c r="AC23" s="24"/>
      <c r="AD23" s="25">
        <f>Z23*2</f>
        <v>0</v>
      </c>
      <c r="AE23" s="25">
        <f t="shared" si="9"/>
        <v>0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/>
      <c r="C24" s="32"/>
      <c r="D24" s="32"/>
      <c r="E24" s="24"/>
      <c r="F24" s="25">
        <f>B24*2</f>
        <v>0</v>
      </c>
      <c r="G24" s="25">
        <f t="shared" si="1"/>
        <v>0</v>
      </c>
      <c r="H24" s="25">
        <f>D24*0</f>
        <v>0</v>
      </c>
      <c r="I24" s="25">
        <f t="shared" si="3"/>
        <v>0</v>
      </c>
      <c r="J24" s="24"/>
      <c r="K24" s="25"/>
      <c r="M24" s="25">
        <v>18</v>
      </c>
      <c r="N24" s="32"/>
      <c r="O24" s="32"/>
      <c r="P24" s="32"/>
      <c r="Q24" s="24"/>
      <c r="R24" s="25">
        <f>N24*2</f>
        <v>0</v>
      </c>
      <c r="S24" s="25">
        <f t="shared" si="5"/>
        <v>0</v>
      </c>
      <c r="T24" s="25">
        <f>P24*0</f>
        <v>0</v>
      </c>
      <c r="U24" s="25">
        <f t="shared" si="7"/>
        <v>0</v>
      </c>
      <c r="V24" s="24"/>
      <c r="W24" s="25"/>
      <c r="Y24" s="25">
        <v>18</v>
      </c>
      <c r="Z24" s="32"/>
      <c r="AA24" s="32"/>
      <c r="AB24" s="32"/>
      <c r="AC24" s="24"/>
      <c r="AD24" s="25">
        <f>Z24*2</f>
        <v>0</v>
      </c>
      <c r="AE24" s="25">
        <f t="shared" si="9"/>
        <v>0</v>
      </c>
      <c r="AF24" s="25">
        <f>AB24*0</f>
        <v>0</v>
      </c>
      <c r="AG24" s="25">
        <f t="shared" si="11"/>
        <v>0</v>
      </c>
      <c r="AH24" s="24"/>
      <c r="AI24" s="25"/>
    </row>
    <row r="25" spans="1:35" ht="21" customHeight="1">
      <c r="A25" s="25">
        <v>19</v>
      </c>
      <c r="B25" s="32"/>
      <c r="C25" s="32"/>
      <c r="D25" s="32"/>
      <c r="E25" s="24"/>
      <c r="F25" s="25">
        <f t="shared" ref="F25:F31" si="18">B25*0</f>
        <v>0</v>
      </c>
      <c r="G25" s="25">
        <f t="shared" si="1"/>
        <v>0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/>
      <c r="O25" s="32"/>
      <c r="P25" s="32"/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/>
      <c r="AA25" s="32"/>
      <c r="AB25" s="32"/>
      <c r="AC25" s="24"/>
      <c r="AD25" s="25">
        <f t="shared" ref="AD25:AD31" si="22">Z25*0</f>
        <v>0</v>
      </c>
      <c r="AE25" s="25">
        <f t="shared" si="9"/>
        <v>0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/>
      <c r="D26" s="32"/>
      <c r="E26" s="24"/>
      <c r="F26" s="25">
        <f t="shared" si="18"/>
        <v>0</v>
      </c>
      <c r="G26" s="25">
        <f t="shared" si="1"/>
        <v>0</v>
      </c>
      <c r="H26" s="25">
        <f t="shared" si="19"/>
        <v>0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/>
      <c r="P26" s="32"/>
      <c r="Q26" s="24"/>
      <c r="R26" s="25">
        <f t="shared" si="20"/>
        <v>0</v>
      </c>
      <c r="S26" s="25">
        <f t="shared" si="5"/>
        <v>0</v>
      </c>
      <c r="T26" s="25">
        <f t="shared" si="21"/>
        <v>0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/>
      <c r="AB26" s="32"/>
      <c r="AC26" s="24"/>
      <c r="AD26" s="25">
        <f t="shared" si="22"/>
        <v>0</v>
      </c>
      <c r="AE26" s="25">
        <f t="shared" si="9"/>
        <v>0</v>
      </c>
      <c r="AF26" s="25">
        <f t="shared" si="23"/>
        <v>0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/>
      <c r="D27" s="32"/>
      <c r="E27" s="24"/>
      <c r="F27" s="25">
        <f t="shared" si="18"/>
        <v>0</v>
      </c>
      <c r="G27" s="25">
        <f t="shared" si="1"/>
        <v>0</v>
      </c>
      <c r="H27" s="25">
        <f t="shared" si="19"/>
        <v>0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/>
      <c r="O27" s="32"/>
      <c r="P27" s="32"/>
      <c r="Q27" s="24"/>
      <c r="R27" s="25">
        <f t="shared" si="20"/>
        <v>0</v>
      </c>
      <c r="S27" s="25">
        <f t="shared" si="5"/>
        <v>0</v>
      </c>
      <c r="T27" s="25">
        <f t="shared" si="21"/>
        <v>0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/>
      <c r="AA27" s="32"/>
      <c r="AB27" s="32"/>
      <c r="AC27" s="24"/>
      <c r="AD27" s="25">
        <f t="shared" si="22"/>
        <v>0</v>
      </c>
      <c r="AE27" s="25">
        <f t="shared" si="9"/>
        <v>0</v>
      </c>
      <c r="AF27" s="25">
        <f t="shared" si="23"/>
        <v>0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/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/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/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/>
      <c r="C29" s="32"/>
      <c r="D29" s="32"/>
      <c r="E29" s="24"/>
      <c r="F29" s="25">
        <f t="shared" si="18"/>
        <v>0</v>
      </c>
      <c r="G29" s="25">
        <f t="shared" si="1"/>
        <v>0</v>
      </c>
      <c r="H29" s="25">
        <f t="shared" si="19"/>
        <v>0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/>
      <c r="P29" s="32"/>
      <c r="Q29" s="24"/>
      <c r="R29" s="25">
        <f t="shared" si="20"/>
        <v>0</v>
      </c>
      <c r="S29" s="25">
        <f t="shared" si="5"/>
        <v>0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/>
      <c r="AA29" s="32"/>
      <c r="AB29" s="32"/>
      <c r="AC29" s="24"/>
      <c r="AD29" s="25">
        <f t="shared" si="22"/>
        <v>0</v>
      </c>
      <c r="AE29" s="25">
        <f t="shared" si="9"/>
        <v>0</v>
      </c>
      <c r="AF29" s="25">
        <f t="shared" si="23"/>
        <v>0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/>
      <c r="C30" s="32"/>
      <c r="D30" s="32"/>
      <c r="E30" s="24"/>
      <c r="F30" s="25">
        <f t="shared" si="18"/>
        <v>0</v>
      </c>
      <c r="G30" s="25">
        <f t="shared" si="1"/>
        <v>0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/>
      <c r="O30" s="32"/>
      <c r="P30" s="32"/>
      <c r="Q30" s="24"/>
      <c r="R30" s="25">
        <f t="shared" si="20"/>
        <v>0</v>
      </c>
      <c r="S30" s="25">
        <f t="shared" si="5"/>
        <v>0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/>
      <c r="AA30" s="32"/>
      <c r="AB30" s="32"/>
      <c r="AC30" s="24"/>
      <c r="AD30" s="25">
        <f t="shared" si="22"/>
        <v>0</v>
      </c>
      <c r="AE30" s="25">
        <f t="shared" si="9"/>
        <v>0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/>
      <c r="D31" s="32"/>
      <c r="E31" s="24"/>
      <c r="F31" s="25">
        <f t="shared" si="18"/>
        <v>0</v>
      </c>
      <c r="G31" s="25">
        <f t="shared" si="1"/>
        <v>0</v>
      </c>
      <c r="H31" s="25">
        <f t="shared" si="19"/>
        <v>0</v>
      </c>
      <c r="I31" s="25">
        <f t="shared" si="3"/>
        <v>0</v>
      </c>
      <c r="J31" s="24"/>
      <c r="K31" s="108">
        <f>K7+K12+K17+K22</f>
        <v>0</v>
      </c>
      <c r="M31" s="25">
        <v>25</v>
      </c>
      <c r="N31" s="32"/>
      <c r="O31" s="32"/>
      <c r="P31" s="32"/>
      <c r="Q31" s="24"/>
      <c r="R31" s="25">
        <f t="shared" si="20"/>
        <v>0</v>
      </c>
      <c r="S31" s="25">
        <f t="shared" si="5"/>
        <v>0</v>
      </c>
      <c r="T31" s="25">
        <f t="shared" si="21"/>
        <v>0</v>
      </c>
      <c r="U31" s="25">
        <f t="shared" si="7"/>
        <v>0</v>
      </c>
      <c r="V31" s="24"/>
      <c r="W31" s="108">
        <f>W7+W12+W17+W22</f>
        <v>0</v>
      </c>
      <c r="Y31" s="25">
        <v>25</v>
      </c>
      <c r="Z31" s="32"/>
      <c r="AA31" s="32"/>
      <c r="AB31" s="32"/>
      <c r="AC31" s="24"/>
      <c r="AD31" s="25">
        <f t="shared" si="22"/>
        <v>0</v>
      </c>
      <c r="AE31" s="25">
        <f t="shared" si="9"/>
        <v>0</v>
      </c>
      <c r="AF31" s="25">
        <f t="shared" si="23"/>
        <v>0</v>
      </c>
      <c r="AG31" s="25">
        <f t="shared" si="11"/>
        <v>0</v>
      </c>
      <c r="AH31" s="24"/>
      <c r="AI31" s="108">
        <f>AI7+AI12+AI17+AI22</f>
        <v>0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7"/>
  </sheetPr>
  <dimension ref="A1:AI41"/>
  <sheetViews>
    <sheetView zoomScale="150" workbookViewId="0">
      <selection activeCell="AI3" sqref="AI3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>
        <f>รายชื่อ!B36</f>
        <v>0</v>
      </c>
      <c r="C3" s="110">
        <f>รายชื่อ!C36</f>
        <v>0</v>
      </c>
      <c r="D3" s="110">
        <f>รายชื่อ!D36</f>
        <v>0</v>
      </c>
      <c r="E3" s="60"/>
      <c r="F3" s="103"/>
      <c r="G3" s="165"/>
      <c r="H3" s="165"/>
      <c r="I3" s="165"/>
      <c r="J3" s="25"/>
      <c r="K3" s="106" t="s">
        <v>62</v>
      </c>
      <c r="M3" s="25" t="s">
        <v>85</v>
      </c>
      <c r="N3" s="110">
        <f>รายชื่อ!B36</f>
        <v>0</v>
      </c>
      <c r="O3" s="110">
        <f>รายชื่อ!C36</f>
        <v>0</v>
      </c>
      <c r="P3" s="110">
        <f>รายชื่อ!D36</f>
        <v>0</v>
      </c>
      <c r="Q3" s="60"/>
      <c r="R3" s="103"/>
      <c r="S3" s="165"/>
      <c r="T3" s="165"/>
      <c r="U3" s="165"/>
      <c r="V3" s="25"/>
      <c r="W3" s="106" t="s">
        <v>62</v>
      </c>
      <c r="Y3" s="25" t="s">
        <v>85</v>
      </c>
      <c r="Z3" s="110">
        <f>รายชื่อ!B36</f>
        <v>0</v>
      </c>
      <c r="AA3" s="110">
        <f>รายชื่อ!C36</f>
        <v>0</v>
      </c>
      <c r="AB3" s="110">
        <f>รายชื่อ!D36</f>
        <v>0</v>
      </c>
      <c r="AC3" s="60"/>
      <c r="AD3" s="103"/>
      <c r="AE3" s="165"/>
      <c r="AF3" s="165"/>
      <c r="AG3" s="165"/>
      <c r="AH3" s="25"/>
      <c r="AI3" s="106" t="s">
        <v>62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/>
      <c r="C7" s="32"/>
      <c r="D7" s="32"/>
      <c r="E7" s="24"/>
      <c r="F7" s="25">
        <f t="shared" ref="F7:F12" si="0">B7*0</f>
        <v>0</v>
      </c>
      <c r="G7" s="25">
        <f t="shared" ref="G7:G31" si="1">C7*1</f>
        <v>0</v>
      </c>
      <c r="H7" s="25">
        <f t="shared" ref="H7:H12" si="2">D7*2</f>
        <v>0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/>
      <c r="O7" s="32"/>
      <c r="P7" s="32"/>
      <c r="Q7" s="24"/>
      <c r="R7" s="25">
        <f t="shared" ref="R7:R12" si="4">N7*0</f>
        <v>0</v>
      </c>
      <c r="S7" s="25">
        <f t="shared" ref="S7:S31" si="5">O7*1</f>
        <v>0</v>
      </c>
      <c r="T7" s="25">
        <f t="shared" ref="T7:T12" si="6">P7*2</f>
        <v>0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/>
      <c r="AB7" s="32"/>
      <c r="AC7" s="24"/>
      <c r="AD7" s="25">
        <f t="shared" ref="AD7:AD12" si="8">Z7*0</f>
        <v>0</v>
      </c>
      <c r="AE7" s="25">
        <f t="shared" ref="AE7:AE31" si="9">AA7*1</f>
        <v>0</v>
      </c>
      <c r="AF7" s="25">
        <f t="shared" ref="AF7:AF12" si="10">AB7*2</f>
        <v>0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/>
      <c r="C8" s="32"/>
      <c r="D8" s="32"/>
      <c r="E8" s="24"/>
      <c r="F8" s="25">
        <f t="shared" si="0"/>
        <v>0</v>
      </c>
      <c r="G8" s="25">
        <f t="shared" si="1"/>
        <v>0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/>
      <c r="O8" s="32"/>
      <c r="P8" s="32"/>
      <c r="Q8" s="24"/>
      <c r="R8" s="25">
        <f t="shared" si="4"/>
        <v>0</v>
      </c>
      <c r="S8" s="25">
        <f t="shared" si="5"/>
        <v>0</v>
      </c>
      <c r="T8" s="25">
        <f t="shared" si="6"/>
        <v>0</v>
      </c>
      <c r="U8" s="25">
        <f t="shared" si="7"/>
        <v>0</v>
      </c>
      <c r="V8" s="24"/>
      <c r="W8" s="25"/>
      <c r="Y8" s="25">
        <v>2</v>
      </c>
      <c r="Z8" s="32"/>
      <c r="AA8" s="32"/>
      <c r="AB8" s="32"/>
      <c r="AC8" s="24"/>
      <c r="AD8" s="25">
        <f t="shared" si="8"/>
        <v>0</v>
      </c>
      <c r="AE8" s="25">
        <f t="shared" si="9"/>
        <v>0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/>
      <c r="C9" s="32"/>
      <c r="D9" s="32"/>
      <c r="E9" s="24"/>
      <c r="F9" s="25">
        <f t="shared" si="0"/>
        <v>0</v>
      </c>
      <c r="G9" s="25">
        <f t="shared" si="1"/>
        <v>0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/>
      <c r="O9" s="32"/>
      <c r="P9" s="32"/>
      <c r="Q9" s="24"/>
      <c r="R9" s="25">
        <f t="shared" si="4"/>
        <v>0</v>
      </c>
      <c r="S9" s="25">
        <f t="shared" si="5"/>
        <v>0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/>
      <c r="AA9" s="32"/>
      <c r="AB9" s="32"/>
      <c r="AC9" s="24"/>
      <c r="AD9" s="25">
        <f t="shared" si="8"/>
        <v>0</v>
      </c>
      <c r="AE9" s="25">
        <f t="shared" si="9"/>
        <v>0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/>
      <c r="D10" s="32"/>
      <c r="E10" s="24"/>
      <c r="F10" s="25">
        <f t="shared" si="0"/>
        <v>0</v>
      </c>
      <c r="G10" s="25">
        <f t="shared" si="1"/>
        <v>0</v>
      </c>
      <c r="H10" s="25">
        <f t="shared" si="2"/>
        <v>0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/>
      <c r="P10" s="32"/>
      <c r="Q10" s="24"/>
      <c r="R10" s="25">
        <f t="shared" si="4"/>
        <v>0</v>
      </c>
      <c r="S10" s="25">
        <f t="shared" si="5"/>
        <v>0</v>
      </c>
      <c r="T10" s="25">
        <f t="shared" si="6"/>
        <v>0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/>
      <c r="AB10" s="32"/>
      <c r="AC10" s="24"/>
      <c r="AD10" s="25">
        <f t="shared" si="8"/>
        <v>0</v>
      </c>
      <c r="AE10" s="25">
        <f t="shared" si="9"/>
        <v>0</v>
      </c>
      <c r="AF10" s="25">
        <f t="shared" si="10"/>
        <v>0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/>
      <c r="C11" s="32"/>
      <c r="D11" s="32"/>
      <c r="E11" s="24"/>
      <c r="F11" s="25">
        <f t="shared" si="0"/>
        <v>0</v>
      </c>
      <c r="G11" s="25">
        <f t="shared" si="1"/>
        <v>0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/>
      <c r="O11" s="32"/>
      <c r="P11" s="32"/>
      <c r="Q11" s="24"/>
      <c r="R11" s="25">
        <f t="shared" si="4"/>
        <v>0</v>
      </c>
      <c r="S11" s="25">
        <f t="shared" si="5"/>
        <v>0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/>
      <c r="AA11" s="32"/>
      <c r="AB11" s="32"/>
      <c r="AC11" s="24"/>
      <c r="AD11" s="25">
        <f t="shared" si="8"/>
        <v>0</v>
      </c>
      <c r="AE11" s="25">
        <f t="shared" si="9"/>
        <v>0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/>
      <c r="C12" s="32"/>
      <c r="D12" s="32"/>
      <c r="E12" s="24"/>
      <c r="F12" s="25">
        <f t="shared" si="0"/>
        <v>0</v>
      </c>
      <c r="G12" s="25">
        <f t="shared" si="1"/>
        <v>0</v>
      </c>
      <c r="H12" s="25">
        <f t="shared" si="2"/>
        <v>0</v>
      </c>
      <c r="I12" s="25">
        <f t="shared" si="3"/>
        <v>0</v>
      </c>
      <c r="J12" s="105">
        <f>I11+I13+I18+I24+I28</f>
        <v>0</v>
      </c>
      <c r="K12" s="108">
        <f>J12</f>
        <v>0</v>
      </c>
      <c r="M12" s="25">
        <v>6</v>
      </c>
      <c r="N12" s="32"/>
      <c r="O12" s="32"/>
      <c r="P12" s="32"/>
      <c r="Q12" s="24"/>
      <c r="R12" s="25">
        <f t="shared" si="4"/>
        <v>0</v>
      </c>
      <c r="S12" s="25">
        <f t="shared" si="5"/>
        <v>0</v>
      </c>
      <c r="T12" s="25">
        <f t="shared" si="6"/>
        <v>0</v>
      </c>
      <c r="U12" s="25">
        <f t="shared" si="7"/>
        <v>0</v>
      </c>
      <c r="V12" s="105">
        <f>U11+U13+U18+U24+U28</f>
        <v>0</v>
      </c>
      <c r="W12" s="108">
        <f>V12</f>
        <v>0</v>
      </c>
      <c r="Y12" s="25">
        <v>6</v>
      </c>
      <c r="Z12" s="32"/>
      <c r="AA12" s="32"/>
      <c r="AB12" s="32"/>
      <c r="AC12" s="24"/>
      <c r="AD12" s="25">
        <f t="shared" si="8"/>
        <v>0</v>
      </c>
      <c r="AE12" s="25">
        <f t="shared" si="9"/>
        <v>0</v>
      </c>
      <c r="AF12" s="25">
        <f t="shared" si="10"/>
        <v>0</v>
      </c>
      <c r="AG12" s="25">
        <f t="shared" si="11"/>
        <v>0</v>
      </c>
      <c r="AH12" s="105">
        <f>AG11+AG13+AG18+AG24+AG28</f>
        <v>0</v>
      </c>
      <c r="AI12" s="108">
        <f>AH12</f>
        <v>0</v>
      </c>
    </row>
    <row r="13" spans="1:35" ht="21" customHeight="1">
      <c r="A13" s="25">
        <v>7</v>
      </c>
      <c r="B13" s="32"/>
      <c r="C13" s="32"/>
      <c r="D13" s="32"/>
      <c r="E13" s="24"/>
      <c r="F13" s="25">
        <f>B13*2</f>
        <v>0</v>
      </c>
      <c r="G13" s="25">
        <f t="shared" si="1"/>
        <v>0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/>
      <c r="P13" s="32"/>
      <c r="Q13" s="24"/>
      <c r="R13" s="25">
        <f>N13*2</f>
        <v>0</v>
      </c>
      <c r="S13" s="25">
        <f t="shared" si="5"/>
        <v>0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/>
      <c r="AA13" s="32"/>
      <c r="AB13" s="32"/>
      <c r="AC13" s="24"/>
      <c r="AD13" s="25">
        <f>Z13*2</f>
        <v>0</v>
      </c>
      <c r="AE13" s="25">
        <f t="shared" si="9"/>
        <v>0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/>
      <c r="C14" s="32"/>
      <c r="D14" s="32"/>
      <c r="E14" s="24"/>
      <c r="F14" s="25">
        <f t="shared" ref="F14:F19" si="12">B14*0</f>
        <v>0</v>
      </c>
      <c r="G14" s="25">
        <f t="shared" si="1"/>
        <v>0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/>
      <c r="O14" s="32"/>
      <c r="P14" s="32"/>
      <c r="Q14" s="24"/>
      <c r="R14" s="25">
        <f t="shared" ref="R14:R19" si="14">N14*0</f>
        <v>0</v>
      </c>
      <c r="S14" s="25">
        <f t="shared" si="5"/>
        <v>0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/>
      <c r="AA14" s="32"/>
      <c r="AB14" s="32"/>
      <c r="AC14" s="24"/>
      <c r="AD14" s="25">
        <f t="shared" ref="AD14:AD19" si="16">Z14*0</f>
        <v>0</v>
      </c>
      <c r="AE14" s="25">
        <f t="shared" si="9"/>
        <v>0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/>
      <c r="D15" s="32"/>
      <c r="E15" s="24"/>
      <c r="F15" s="25">
        <f t="shared" si="12"/>
        <v>0</v>
      </c>
      <c r="G15" s="25">
        <f t="shared" si="1"/>
        <v>0</v>
      </c>
      <c r="H15" s="25">
        <f t="shared" si="13"/>
        <v>0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/>
      <c r="P15" s="32"/>
      <c r="Q15" s="24"/>
      <c r="R15" s="25">
        <f t="shared" si="14"/>
        <v>0</v>
      </c>
      <c r="S15" s="25">
        <f t="shared" si="5"/>
        <v>0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/>
      <c r="AA15" s="32"/>
      <c r="AB15" s="32"/>
      <c r="AC15" s="24"/>
      <c r="AD15" s="25">
        <f t="shared" si="16"/>
        <v>0</v>
      </c>
      <c r="AE15" s="25">
        <f t="shared" si="9"/>
        <v>0</v>
      </c>
      <c r="AF15" s="25">
        <f t="shared" si="17"/>
        <v>0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/>
      <c r="C16" s="32"/>
      <c r="D16" s="32"/>
      <c r="E16" s="24"/>
      <c r="F16" s="25">
        <f t="shared" si="12"/>
        <v>0</v>
      </c>
      <c r="G16" s="25">
        <f t="shared" si="1"/>
        <v>0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/>
      <c r="O16" s="32"/>
      <c r="P16" s="32"/>
      <c r="Q16" s="24"/>
      <c r="R16" s="25">
        <f t="shared" si="14"/>
        <v>0</v>
      </c>
      <c r="S16" s="25">
        <f t="shared" si="5"/>
        <v>0</v>
      </c>
      <c r="T16" s="25">
        <f t="shared" si="15"/>
        <v>0</v>
      </c>
      <c r="U16" s="25">
        <f t="shared" si="7"/>
        <v>0</v>
      </c>
      <c r="V16" s="24"/>
      <c r="W16" s="107" t="s">
        <v>99</v>
      </c>
      <c r="Y16" s="25">
        <v>10</v>
      </c>
      <c r="Z16" s="32"/>
      <c r="AA16" s="32"/>
      <c r="AB16" s="32"/>
      <c r="AC16" s="24"/>
      <c r="AD16" s="25">
        <f t="shared" si="16"/>
        <v>0</v>
      </c>
      <c r="AE16" s="25">
        <f t="shared" si="9"/>
        <v>0</v>
      </c>
      <c r="AF16" s="25">
        <f t="shared" si="17"/>
        <v>0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/>
      <c r="D17" s="32"/>
      <c r="E17" s="24"/>
      <c r="F17" s="25">
        <f t="shared" si="12"/>
        <v>0</v>
      </c>
      <c r="G17" s="25">
        <f t="shared" si="1"/>
        <v>0</v>
      </c>
      <c r="H17" s="25">
        <f t="shared" si="13"/>
        <v>0</v>
      </c>
      <c r="I17" s="25">
        <f t="shared" si="3"/>
        <v>0</v>
      </c>
      <c r="J17" s="105">
        <f>I8+I16+I21+I27+I31</f>
        <v>0</v>
      </c>
      <c r="K17" s="108">
        <f>J17</f>
        <v>0</v>
      </c>
      <c r="M17" s="25">
        <v>11</v>
      </c>
      <c r="N17" s="32"/>
      <c r="O17" s="32"/>
      <c r="P17" s="32"/>
      <c r="Q17" s="24"/>
      <c r="R17" s="25">
        <f t="shared" si="14"/>
        <v>0</v>
      </c>
      <c r="S17" s="25">
        <f t="shared" si="5"/>
        <v>0</v>
      </c>
      <c r="T17" s="25">
        <f t="shared" si="15"/>
        <v>0</v>
      </c>
      <c r="U17" s="25">
        <f t="shared" si="7"/>
        <v>0</v>
      </c>
      <c r="V17" s="105">
        <f>U8+U16+U21+U27+U31</f>
        <v>0</v>
      </c>
      <c r="W17" s="108">
        <f>V17</f>
        <v>0</v>
      </c>
      <c r="Y17" s="25">
        <v>11</v>
      </c>
      <c r="Z17" s="32"/>
      <c r="AA17" s="32"/>
      <c r="AB17" s="32"/>
      <c r="AC17" s="24"/>
      <c r="AD17" s="25">
        <f t="shared" si="16"/>
        <v>0</v>
      </c>
      <c r="AE17" s="25">
        <f t="shared" si="9"/>
        <v>0</v>
      </c>
      <c r="AF17" s="25">
        <f t="shared" si="17"/>
        <v>0</v>
      </c>
      <c r="AG17" s="25">
        <f t="shared" si="11"/>
        <v>0</v>
      </c>
      <c r="AH17" s="105">
        <f>AG8+AG16+AG21+AG27+AG31</f>
        <v>0</v>
      </c>
      <c r="AI17" s="108">
        <f>AH17</f>
        <v>0</v>
      </c>
    </row>
    <row r="18" spans="1:35" ht="21" customHeight="1">
      <c r="A18" s="25">
        <v>12</v>
      </c>
      <c r="B18" s="32"/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/>
      <c r="O18" s="32"/>
      <c r="P18" s="32"/>
      <c r="Q18" s="24"/>
      <c r="R18" s="25">
        <f t="shared" si="14"/>
        <v>0</v>
      </c>
      <c r="S18" s="25">
        <f t="shared" si="5"/>
        <v>0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/>
      <c r="AA18" s="32"/>
      <c r="AB18" s="32"/>
      <c r="AC18" s="24"/>
      <c r="AD18" s="25">
        <f t="shared" si="16"/>
        <v>0</v>
      </c>
      <c r="AE18" s="25">
        <f t="shared" si="9"/>
        <v>0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/>
      <c r="C19" s="32"/>
      <c r="D19" s="32"/>
      <c r="E19" s="24"/>
      <c r="F19" s="25">
        <f t="shared" si="12"/>
        <v>0</v>
      </c>
      <c r="G19" s="25">
        <f t="shared" si="1"/>
        <v>0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/>
      <c r="O19" s="32"/>
      <c r="P19" s="32"/>
      <c r="Q19" s="24"/>
      <c r="R19" s="25">
        <f t="shared" si="14"/>
        <v>0</v>
      </c>
      <c r="S19" s="25">
        <f t="shared" si="5"/>
        <v>0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/>
      <c r="AA19" s="32"/>
      <c r="AB19" s="32"/>
      <c r="AC19" s="24"/>
      <c r="AD19" s="25">
        <f t="shared" si="16"/>
        <v>0</v>
      </c>
      <c r="AE19" s="25">
        <f t="shared" si="9"/>
        <v>0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/>
      <c r="C20" s="32"/>
      <c r="D20" s="32"/>
      <c r="E20" s="24"/>
      <c r="F20" s="25">
        <f>B20*2</f>
        <v>0</v>
      </c>
      <c r="G20" s="25">
        <f t="shared" si="1"/>
        <v>0</v>
      </c>
      <c r="H20" s="25">
        <f>D20*0</f>
        <v>0</v>
      </c>
      <c r="I20" s="25">
        <f t="shared" si="3"/>
        <v>0</v>
      </c>
      <c r="J20" s="24"/>
      <c r="K20" s="107" t="s">
        <v>100</v>
      </c>
      <c r="M20" s="25">
        <v>14</v>
      </c>
      <c r="N20" s="32"/>
      <c r="O20" s="32"/>
      <c r="P20" s="32"/>
      <c r="Q20" s="24"/>
      <c r="R20" s="25">
        <f>N20*2</f>
        <v>0</v>
      </c>
      <c r="S20" s="25">
        <f t="shared" si="5"/>
        <v>0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/>
      <c r="AA20" s="32"/>
      <c r="AB20" s="32"/>
      <c r="AC20" s="24"/>
      <c r="AD20" s="25">
        <f>Z20*2</f>
        <v>0</v>
      </c>
      <c r="AE20" s="25">
        <f t="shared" si="9"/>
        <v>0</v>
      </c>
      <c r="AF20" s="25">
        <f>AB20*0</f>
        <v>0</v>
      </c>
      <c r="AG20" s="25">
        <f t="shared" si="11"/>
        <v>0</v>
      </c>
      <c r="AH20" s="24"/>
      <c r="AI20" s="107" t="s">
        <v>100</v>
      </c>
    </row>
    <row r="21" spans="1:35" ht="21" customHeight="1">
      <c r="A21" s="25">
        <v>15</v>
      </c>
      <c r="B21" s="32"/>
      <c r="C21" s="32"/>
      <c r="D21" s="32"/>
      <c r="E21" s="24"/>
      <c r="F21" s="25">
        <f>B21*2</f>
        <v>0</v>
      </c>
      <c r="G21" s="25">
        <f t="shared" si="1"/>
        <v>0</v>
      </c>
      <c r="H21" s="25">
        <f>D21*0</f>
        <v>0</v>
      </c>
      <c r="I21" s="25">
        <f t="shared" si="3"/>
        <v>0</v>
      </c>
      <c r="J21" s="24"/>
      <c r="K21" s="107" t="s">
        <v>101</v>
      </c>
      <c r="M21" s="25">
        <v>15</v>
      </c>
      <c r="N21" s="32"/>
      <c r="O21" s="32"/>
      <c r="P21" s="32"/>
      <c r="Q21" s="24"/>
      <c r="R21" s="25">
        <f>N21*2</f>
        <v>0</v>
      </c>
      <c r="S21" s="25">
        <f t="shared" si="5"/>
        <v>0</v>
      </c>
      <c r="T21" s="25">
        <f>P21*0</f>
        <v>0</v>
      </c>
      <c r="U21" s="25">
        <f t="shared" si="7"/>
        <v>0</v>
      </c>
      <c r="V21" s="24"/>
      <c r="W21" s="107" t="s">
        <v>101</v>
      </c>
      <c r="Y21" s="25">
        <v>15</v>
      </c>
      <c r="Z21" s="32"/>
      <c r="AA21" s="32"/>
      <c r="AB21" s="32"/>
      <c r="AC21" s="24"/>
      <c r="AD21" s="25">
        <f>Z21*2</f>
        <v>0</v>
      </c>
      <c r="AE21" s="25">
        <f t="shared" si="9"/>
        <v>0</v>
      </c>
      <c r="AF21" s="25">
        <f>AB21*0</f>
        <v>0</v>
      </c>
      <c r="AG21" s="25">
        <f t="shared" si="11"/>
        <v>0</v>
      </c>
      <c r="AH21" s="24"/>
      <c r="AI21" s="107" t="s">
        <v>101</v>
      </c>
    </row>
    <row r="22" spans="1:35" ht="21" customHeight="1">
      <c r="A22" s="25">
        <v>16</v>
      </c>
      <c r="B22" s="32"/>
      <c r="C22" s="32"/>
      <c r="D22" s="32"/>
      <c r="E22" s="24"/>
      <c r="F22" s="25">
        <f>B22*0</f>
        <v>0</v>
      </c>
      <c r="G22" s="25">
        <f t="shared" si="1"/>
        <v>0</v>
      </c>
      <c r="H22" s="25">
        <f>D22*2</f>
        <v>0</v>
      </c>
      <c r="I22" s="25">
        <f t="shared" si="3"/>
        <v>0</v>
      </c>
      <c r="J22" s="105">
        <f>I12+I17+I20+I25+I29</f>
        <v>0</v>
      </c>
      <c r="K22" s="108">
        <f>J22</f>
        <v>0</v>
      </c>
      <c r="M22" s="25">
        <v>16</v>
      </c>
      <c r="N22" s="32"/>
      <c r="O22" s="32"/>
      <c r="P22" s="32"/>
      <c r="Q22" s="24"/>
      <c r="R22" s="25">
        <f>N22*0</f>
        <v>0</v>
      </c>
      <c r="S22" s="25">
        <f t="shared" si="5"/>
        <v>0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/>
      <c r="AA22" s="32"/>
      <c r="AB22" s="32"/>
      <c r="AC22" s="24"/>
      <c r="AD22" s="25">
        <f>Z22*0</f>
        <v>0</v>
      </c>
      <c r="AE22" s="25">
        <f t="shared" si="9"/>
        <v>0</v>
      </c>
      <c r="AF22" s="25">
        <f>AB22*2</f>
        <v>0</v>
      </c>
      <c r="AG22" s="25">
        <f t="shared" si="11"/>
        <v>0</v>
      </c>
      <c r="AH22" s="105">
        <f>AG12+AG17+AG20+AG25+AG29</f>
        <v>0</v>
      </c>
      <c r="AI22" s="108">
        <f>AH22</f>
        <v>0</v>
      </c>
    </row>
    <row r="23" spans="1:35" ht="21" customHeight="1">
      <c r="A23" s="25">
        <v>17</v>
      </c>
      <c r="B23" s="32"/>
      <c r="C23" s="32"/>
      <c r="D23" s="32"/>
      <c r="E23" s="24"/>
      <c r="F23" s="25">
        <f>B23*2</f>
        <v>0</v>
      </c>
      <c r="G23" s="25">
        <f t="shared" si="1"/>
        <v>0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/>
      <c r="O23" s="32"/>
      <c r="P23" s="32"/>
      <c r="Q23" s="24"/>
      <c r="R23" s="25">
        <f>N23*2</f>
        <v>0</v>
      </c>
      <c r="S23" s="25">
        <f t="shared" si="5"/>
        <v>0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/>
      <c r="AA23" s="32"/>
      <c r="AB23" s="32"/>
      <c r="AC23" s="24"/>
      <c r="AD23" s="25">
        <f>Z23*2</f>
        <v>0</v>
      </c>
      <c r="AE23" s="25">
        <f t="shared" si="9"/>
        <v>0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/>
      <c r="C24" s="32"/>
      <c r="D24" s="32"/>
      <c r="E24" s="24"/>
      <c r="F24" s="25">
        <f>B24*2</f>
        <v>0</v>
      </c>
      <c r="G24" s="25">
        <f t="shared" si="1"/>
        <v>0</v>
      </c>
      <c r="H24" s="25">
        <f>D24*0</f>
        <v>0</v>
      </c>
      <c r="I24" s="25">
        <f t="shared" si="3"/>
        <v>0</v>
      </c>
      <c r="J24" s="24"/>
      <c r="K24" s="25"/>
      <c r="M24" s="25">
        <v>18</v>
      </c>
      <c r="N24" s="32"/>
      <c r="O24" s="32"/>
      <c r="P24" s="32"/>
      <c r="Q24" s="24"/>
      <c r="R24" s="25">
        <f>N24*2</f>
        <v>0</v>
      </c>
      <c r="S24" s="25">
        <f t="shared" si="5"/>
        <v>0</v>
      </c>
      <c r="T24" s="25">
        <f>P24*0</f>
        <v>0</v>
      </c>
      <c r="U24" s="25">
        <f t="shared" si="7"/>
        <v>0</v>
      </c>
      <c r="V24" s="24"/>
      <c r="W24" s="25"/>
      <c r="Y24" s="25">
        <v>18</v>
      </c>
      <c r="Z24" s="32"/>
      <c r="AA24" s="32"/>
      <c r="AB24" s="32"/>
      <c r="AC24" s="24"/>
      <c r="AD24" s="25">
        <f>Z24*2</f>
        <v>0</v>
      </c>
      <c r="AE24" s="25">
        <f t="shared" si="9"/>
        <v>0</v>
      </c>
      <c r="AF24" s="25">
        <f>AB24*0</f>
        <v>0</v>
      </c>
      <c r="AG24" s="25">
        <f t="shared" si="11"/>
        <v>0</v>
      </c>
      <c r="AH24" s="24"/>
      <c r="AI24" s="25"/>
    </row>
    <row r="25" spans="1:35" ht="21" customHeight="1">
      <c r="A25" s="25">
        <v>19</v>
      </c>
      <c r="B25" s="32"/>
      <c r="C25" s="32"/>
      <c r="D25" s="32"/>
      <c r="E25" s="24"/>
      <c r="F25" s="25">
        <f t="shared" ref="F25:F31" si="18">B25*0</f>
        <v>0</v>
      </c>
      <c r="G25" s="25">
        <f t="shared" si="1"/>
        <v>0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/>
      <c r="O25" s="32"/>
      <c r="P25" s="32"/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/>
      <c r="AA25" s="32"/>
      <c r="AB25" s="32"/>
      <c r="AC25" s="24"/>
      <c r="AD25" s="25">
        <f t="shared" ref="AD25:AD31" si="22">Z25*0</f>
        <v>0</v>
      </c>
      <c r="AE25" s="25">
        <f t="shared" si="9"/>
        <v>0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/>
      <c r="D26" s="32"/>
      <c r="E26" s="24"/>
      <c r="F26" s="25">
        <f t="shared" si="18"/>
        <v>0</v>
      </c>
      <c r="G26" s="25">
        <f t="shared" si="1"/>
        <v>0</v>
      </c>
      <c r="H26" s="25">
        <f t="shared" si="19"/>
        <v>0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/>
      <c r="P26" s="32"/>
      <c r="Q26" s="24"/>
      <c r="R26" s="25">
        <f t="shared" si="20"/>
        <v>0</v>
      </c>
      <c r="S26" s="25">
        <f t="shared" si="5"/>
        <v>0</v>
      </c>
      <c r="T26" s="25">
        <f t="shared" si="21"/>
        <v>0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/>
      <c r="AB26" s="32"/>
      <c r="AC26" s="24"/>
      <c r="AD26" s="25">
        <f t="shared" si="22"/>
        <v>0</v>
      </c>
      <c r="AE26" s="25">
        <f t="shared" si="9"/>
        <v>0</v>
      </c>
      <c r="AF26" s="25">
        <f t="shared" si="23"/>
        <v>0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/>
      <c r="D27" s="32"/>
      <c r="E27" s="24"/>
      <c r="F27" s="25">
        <f t="shared" si="18"/>
        <v>0</v>
      </c>
      <c r="G27" s="25">
        <f t="shared" si="1"/>
        <v>0</v>
      </c>
      <c r="H27" s="25">
        <f t="shared" si="19"/>
        <v>0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/>
      <c r="O27" s="32"/>
      <c r="P27" s="32"/>
      <c r="Q27" s="24"/>
      <c r="R27" s="25">
        <f t="shared" si="20"/>
        <v>0</v>
      </c>
      <c r="S27" s="25">
        <f t="shared" si="5"/>
        <v>0</v>
      </c>
      <c r="T27" s="25">
        <f t="shared" si="21"/>
        <v>0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/>
      <c r="AA27" s="32"/>
      <c r="AB27" s="32"/>
      <c r="AC27" s="24"/>
      <c r="AD27" s="25">
        <f t="shared" si="22"/>
        <v>0</v>
      </c>
      <c r="AE27" s="25">
        <f t="shared" si="9"/>
        <v>0</v>
      </c>
      <c r="AF27" s="25">
        <f t="shared" si="23"/>
        <v>0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/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/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/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/>
      <c r="C29" s="32"/>
      <c r="D29" s="32"/>
      <c r="E29" s="24"/>
      <c r="F29" s="25">
        <f t="shared" si="18"/>
        <v>0</v>
      </c>
      <c r="G29" s="25">
        <f t="shared" si="1"/>
        <v>0</v>
      </c>
      <c r="H29" s="25">
        <f t="shared" si="19"/>
        <v>0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/>
      <c r="P29" s="32"/>
      <c r="Q29" s="24"/>
      <c r="R29" s="25">
        <f t="shared" si="20"/>
        <v>0</v>
      </c>
      <c r="S29" s="25">
        <f t="shared" si="5"/>
        <v>0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/>
      <c r="AA29" s="32"/>
      <c r="AB29" s="32"/>
      <c r="AC29" s="24"/>
      <c r="AD29" s="25">
        <f t="shared" si="22"/>
        <v>0</v>
      </c>
      <c r="AE29" s="25">
        <f t="shared" si="9"/>
        <v>0</v>
      </c>
      <c r="AF29" s="25">
        <f t="shared" si="23"/>
        <v>0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/>
      <c r="C30" s="32"/>
      <c r="D30" s="32"/>
      <c r="E30" s="24"/>
      <c r="F30" s="25">
        <f t="shared" si="18"/>
        <v>0</v>
      </c>
      <c r="G30" s="25">
        <f t="shared" si="1"/>
        <v>0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/>
      <c r="O30" s="32"/>
      <c r="P30" s="32"/>
      <c r="Q30" s="24"/>
      <c r="R30" s="25">
        <f t="shared" si="20"/>
        <v>0</v>
      </c>
      <c r="S30" s="25">
        <f t="shared" si="5"/>
        <v>0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/>
      <c r="AA30" s="32"/>
      <c r="AB30" s="32"/>
      <c r="AC30" s="24"/>
      <c r="AD30" s="25">
        <f t="shared" si="22"/>
        <v>0</v>
      </c>
      <c r="AE30" s="25">
        <f t="shared" si="9"/>
        <v>0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/>
      <c r="D31" s="32"/>
      <c r="E31" s="24"/>
      <c r="F31" s="25">
        <f t="shared" si="18"/>
        <v>0</v>
      </c>
      <c r="G31" s="25">
        <f t="shared" si="1"/>
        <v>0</v>
      </c>
      <c r="H31" s="25">
        <f t="shared" si="19"/>
        <v>0</v>
      </c>
      <c r="I31" s="25">
        <f t="shared" si="3"/>
        <v>0</v>
      </c>
      <c r="J31" s="24"/>
      <c r="K31" s="108">
        <f>K7+K12+K17+K22</f>
        <v>0</v>
      </c>
      <c r="M31" s="25">
        <v>25</v>
      </c>
      <c r="N31" s="32"/>
      <c r="O31" s="32"/>
      <c r="P31" s="32"/>
      <c r="Q31" s="24"/>
      <c r="R31" s="25">
        <f t="shared" si="20"/>
        <v>0</v>
      </c>
      <c r="S31" s="25">
        <f t="shared" si="5"/>
        <v>0</v>
      </c>
      <c r="T31" s="25">
        <f t="shared" si="21"/>
        <v>0</v>
      </c>
      <c r="U31" s="25">
        <f t="shared" si="7"/>
        <v>0</v>
      </c>
      <c r="V31" s="24"/>
      <c r="W31" s="108">
        <f>W7+W12+W17+W22</f>
        <v>0</v>
      </c>
      <c r="Y31" s="25">
        <v>25</v>
      </c>
      <c r="Z31" s="32"/>
      <c r="AA31" s="32"/>
      <c r="AB31" s="32"/>
      <c r="AC31" s="24"/>
      <c r="AD31" s="25">
        <f t="shared" si="22"/>
        <v>0</v>
      </c>
      <c r="AE31" s="25">
        <f t="shared" si="9"/>
        <v>0</v>
      </c>
      <c r="AF31" s="25">
        <f t="shared" si="23"/>
        <v>0</v>
      </c>
      <c r="AG31" s="25">
        <f t="shared" si="11"/>
        <v>0</v>
      </c>
      <c r="AH31" s="24"/>
      <c r="AI31" s="108">
        <f>AI7+AI12+AI17+AI22</f>
        <v>0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7"/>
  </sheetPr>
  <dimension ref="A1:AI41"/>
  <sheetViews>
    <sheetView zoomScale="150" workbookViewId="0">
      <selection activeCell="AI3" sqref="AI3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>
        <f>รายชื่อ!B37</f>
        <v>0</v>
      </c>
      <c r="C3" s="110">
        <f>รายชื่อ!C37</f>
        <v>0</v>
      </c>
      <c r="D3" s="110">
        <f>รายชื่อ!D37</f>
        <v>0</v>
      </c>
      <c r="E3" s="60"/>
      <c r="F3" s="103"/>
      <c r="G3" s="165"/>
      <c r="H3" s="165"/>
      <c r="I3" s="165"/>
      <c r="J3" s="25"/>
      <c r="K3" s="106" t="s">
        <v>63</v>
      </c>
      <c r="M3" s="25" t="s">
        <v>85</v>
      </c>
      <c r="N3" s="110">
        <f>รายชื่อ!B37</f>
        <v>0</v>
      </c>
      <c r="O3" s="110">
        <f>รายชื่อ!C37</f>
        <v>0</v>
      </c>
      <c r="P3" s="110">
        <f>รายชื่อ!D37</f>
        <v>0</v>
      </c>
      <c r="Q3" s="60"/>
      <c r="R3" s="103"/>
      <c r="S3" s="165"/>
      <c r="T3" s="165"/>
      <c r="U3" s="165"/>
      <c r="V3" s="25"/>
      <c r="W3" s="106" t="s">
        <v>63</v>
      </c>
      <c r="Y3" s="25" t="s">
        <v>85</v>
      </c>
      <c r="Z3" s="110">
        <f>รายชื่อ!B37</f>
        <v>0</v>
      </c>
      <c r="AA3" s="110">
        <f>รายชื่อ!C37</f>
        <v>0</v>
      </c>
      <c r="AB3" s="110">
        <f>รายชื่อ!D37</f>
        <v>0</v>
      </c>
      <c r="AC3" s="60"/>
      <c r="AD3" s="103"/>
      <c r="AE3" s="165"/>
      <c r="AF3" s="165"/>
      <c r="AG3" s="165"/>
      <c r="AH3" s="25"/>
      <c r="AI3" s="106" t="s">
        <v>63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/>
      <c r="C7" s="32"/>
      <c r="D7" s="32"/>
      <c r="E7" s="24"/>
      <c r="F7" s="25">
        <f t="shared" ref="F7:F12" si="0">B7*0</f>
        <v>0</v>
      </c>
      <c r="G7" s="25">
        <f t="shared" ref="G7:G31" si="1">C7*1</f>
        <v>0</v>
      </c>
      <c r="H7" s="25">
        <f t="shared" ref="H7:H12" si="2">D7*2</f>
        <v>0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/>
      <c r="O7" s="32"/>
      <c r="P7" s="32"/>
      <c r="Q7" s="24"/>
      <c r="R7" s="25">
        <f t="shared" ref="R7:R12" si="4">N7*0</f>
        <v>0</v>
      </c>
      <c r="S7" s="25">
        <f t="shared" ref="S7:S31" si="5">O7*1</f>
        <v>0</v>
      </c>
      <c r="T7" s="25">
        <f t="shared" ref="T7:T12" si="6">P7*2</f>
        <v>0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/>
      <c r="AB7" s="32"/>
      <c r="AC7" s="24"/>
      <c r="AD7" s="25">
        <f t="shared" ref="AD7:AD12" si="8">Z7*0</f>
        <v>0</v>
      </c>
      <c r="AE7" s="25">
        <f t="shared" ref="AE7:AE31" si="9">AA7*1</f>
        <v>0</v>
      </c>
      <c r="AF7" s="25">
        <f t="shared" ref="AF7:AF12" si="10">AB7*2</f>
        <v>0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/>
      <c r="C8" s="32"/>
      <c r="D8" s="32"/>
      <c r="E8" s="24"/>
      <c r="F8" s="25">
        <f t="shared" si="0"/>
        <v>0</v>
      </c>
      <c r="G8" s="25">
        <f t="shared" si="1"/>
        <v>0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/>
      <c r="O8" s="32"/>
      <c r="P8" s="32"/>
      <c r="Q8" s="24"/>
      <c r="R8" s="25">
        <f t="shared" si="4"/>
        <v>0</v>
      </c>
      <c r="S8" s="25">
        <f t="shared" si="5"/>
        <v>0</v>
      </c>
      <c r="T8" s="25">
        <f t="shared" si="6"/>
        <v>0</v>
      </c>
      <c r="U8" s="25">
        <f t="shared" si="7"/>
        <v>0</v>
      </c>
      <c r="V8" s="24"/>
      <c r="W8" s="25"/>
      <c r="Y8" s="25">
        <v>2</v>
      </c>
      <c r="Z8" s="32"/>
      <c r="AA8" s="32"/>
      <c r="AB8" s="32"/>
      <c r="AC8" s="24"/>
      <c r="AD8" s="25">
        <f t="shared" si="8"/>
        <v>0</v>
      </c>
      <c r="AE8" s="25">
        <f t="shared" si="9"/>
        <v>0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/>
      <c r="C9" s="32"/>
      <c r="D9" s="32"/>
      <c r="E9" s="24"/>
      <c r="F9" s="25">
        <f t="shared" si="0"/>
        <v>0</v>
      </c>
      <c r="G9" s="25">
        <f t="shared" si="1"/>
        <v>0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/>
      <c r="O9" s="32"/>
      <c r="P9" s="32"/>
      <c r="Q9" s="24"/>
      <c r="R9" s="25">
        <f t="shared" si="4"/>
        <v>0</v>
      </c>
      <c r="S9" s="25">
        <f t="shared" si="5"/>
        <v>0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/>
      <c r="AA9" s="32"/>
      <c r="AB9" s="32"/>
      <c r="AC9" s="24"/>
      <c r="AD9" s="25">
        <f t="shared" si="8"/>
        <v>0</v>
      </c>
      <c r="AE9" s="25">
        <f t="shared" si="9"/>
        <v>0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/>
      <c r="D10" s="32"/>
      <c r="E10" s="24"/>
      <c r="F10" s="25">
        <f t="shared" si="0"/>
        <v>0</v>
      </c>
      <c r="G10" s="25">
        <f t="shared" si="1"/>
        <v>0</v>
      </c>
      <c r="H10" s="25">
        <f t="shared" si="2"/>
        <v>0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/>
      <c r="P10" s="32"/>
      <c r="Q10" s="24"/>
      <c r="R10" s="25">
        <f t="shared" si="4"/>
        <v>0</v>
      </c>
      <c r="S10" s="25">
        <f t="shared" si="5"/>
        <v>0</v>
      </c>
      <c r="T10" s="25">
        <f t="shared" si="6"/>
        <v>0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/>
      <c r="AB10" s="32"/>
      <c r="AC10" s="24"/>
      <c r="AD10" s="25">
        <f t="shared" si="8"/>
        <v>0</v>
      </c>
      <c r="AE10" s="25">
        <f t="shared" si="9"/>
        <v>0</v>
      </c>
      <c r="AF10" s="25">
        <f t="shared" si="10"/>
        <v>0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/>
      <c r="C11" s="32"/>
      <c r="D11" s="32"/>
      <c r="E11" s="24"/>
      <c r="F11" s="25">
        <f t="shared" si="0"/>
        <v>0</v>
      </c>
      <c r="G11" s="25">
        <f t="shared" si="1"/>
        <v>0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/>
      <c r="O11" s="32"/>
      <c r="P11" s="32"/>
      <c r="Q11" s="24"/>
      <c r="R11" s="25">
        <f t="shared" si="4"/>
        <v>0</v>
      </c>
      <c r="S11" s="25">
        <f t="shared" si="5"/>
        <v>0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/>
      <c r="AA11" s="32"/>
      <c r="AB11" s="32"/>
      <c r="AC11" s="24"/>
      <c r="AD11" s="25">
        <f t="shared" si="8"/>
        <v>0</v>
      </c>
      <c r="AE11" s="25">
        <f t="shared" si="9"/>
        <v>0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/>
      <c r="C12" s="32"/>
      <c r="D12" s="32"/>
      <c r="E12" s="24"/>
      <c r="F12" s="25">
        <f t="shared" si="0"/>
        <v>0</v>
      </c>
      <c r="G12" s="25">
        <f t="shared" si="1"/>
        <v>0</v>
      </c>
      <c r="H12" s="25">
        <f t="shared" si="2"/>
        <v>0</v>
      </c>
      <c r="I12" s="25">
        <f t="shared" si="3"/>
        <v>0</v>
      </c>
      <c r="J12" s="105">
        <f>I11+I13+I18+I24+I28</f>
        <v>0</v>
      </c>
      <c r="K12" s="108">
        <f>J12</f>
        <v>0</v>
      </c>
      <c r="M12" s="25">
        <v>6</v>
      </c>
      <c r="N12" s="32"/>
      <c r="O12" s="32"/>
      <c r="P12" s="32"/>
      <c r="Q12" s="24"/>
      <c r="R12" s="25">
        <f t="shared" si="4"/>
        <v>0</v>
      </c>
      <c r="S12" s="25">
        <f t="shared" si="5"/>
        <v>0</v>
      </c>
      <c r="T12" s="25">
        <f t="shared" si="6"/>
        <v>0</v>
      </c>
      <c r="U12" s="25">
        <f t="shared" si="7"/>
        <v>0</v>
      </c>
      <c r="V12" s="105">
        <f>U11+U13+U18+U24+U28</f>
        <v>0</v>
      </c>
      <c r="W12" s="108">
        <f>V12</f>
        <v>0</v>
      </c>
      <c r="Y12" s="25">
        <v>6</v>
      </c>
      <c r="Z12" s="32"/>
      <c r="AA12" s="32"/>
      <c r="AB12" s="32"/>
      <c r="AC12" s="24"/>
      <c r="AD12" s="25">
        <f t="shared" si="8"/>
        <v>0</v>
      </c>
      <c r="AE12" s="25">
        <f t="shared" si="9"/>
        <v>0</v>
      </c>
      <c r="AF12" s="25">
        <f t="shared" si="10"/>
        <v>0</v>
      </c>
      <c r="AG12" s="25">
        <f t="shared" si="11"/>
        <v>0</v>
      </c>
      <c r="AH12" s="105">
        <f>AG11+AG13+AG18+AG24+AG28</f>
        <v>0</v>
      </c>
      <c r="AI12" s="108">
        <f>AH12</f>
        <v>0</v>
      </c>
    </row>
    <row r="13" spans="1:35" ht="21" customHeight="1">
      <c r="A13" s="25">
        <v>7</v>
      </c>
      <c r="B13" s="32"/>
      <c r="C13" s="32"/>
      <c r="D13" s="32"/>
      <c r="E13" s="24"/>
      <c r="F13" s="25">
        <f>B13*2</f>
        <v>0</v>
      </c>
      <c r="G13" s="25">
        <f t="shared" si="1"/>
        <v>0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/>
      <c r="P13" s="32"/>
      <c r="Q13" s="24"/>
      <c r="R13" s="25">
        <f>N13*2</f>
        <v>0</v>
      </c>
      <c r="S13" s="25">
        <f t="shared" si="5"/>
        <v>0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/>
      <c r="AA13" s="32"/>
      <c r="AB13" s="32"/>
      <c r="AC13" s="24"/>
      <c r="AD13" s="25">
        <f>Z13*2</f>
        <v>0</v>
      </c>
      <c r="AE13" s="25">
        <f t="shared" si="9"/>
        <v>0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/>
      <c r="C14" s="32"/>
      <c r="D14" s="32"/>
      <c r="E14" s="24"/>
      <c r="F14" s="25">
        <f t="shared" ref="F14:F19" si="12">B14*0</f>
        <v>0</v>
      </c>
      <c r="G14" s="25">
        <f t="shared" si="1"/>
        <v>0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/>
      <c r="O14" s="32"/>
      <c r="P14" s="32"/>
      <c r="Q14" s="24"/>
      <c r="R14" s="25">
        <f t="shared" ref="R14:R19" si="14">N14*0</f>
        <v>0</v>
      </c>
      <c r="S14" s="25">
        <f t="shared" si="5"/>
        <v>0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/>
      <c r="AA14" s="32"/>
      <c r="AB14" s="32"/>
      <c r="AC14" s="24"/>
      <c r="AD14" s="25">
        <f t="shared" ref="AD14:AD19" si="16">Z14*0</f>
        <v>0</v>
      </c>
      <c r="AE14" s="25">
        <f t="shared" si="9"/>
        <v>0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/>
      <c r="D15" s="32"/>
      <c r="E15" s="24"/>
      <c r="F15" s="25">
        <f t="shared" si="12"/>
        <v>0</v>
      </c>
      <c r="G15" s="25">
        <f t="shared" si="1"/>
        <v>0</v>
      </c>
      <c r="H15" s="25">
        <f t="shared" si="13"/>
        <v>0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/>
      <c r="P15" s="32"/>
      <c r="Q15" s="24"/>
      <c r="R15" s="25">
        <f t="shared" si="14"/>
        <v>0</v>
      </c>
      <c r="S15" s="25">
        <f t="shared" si="5"/>
        <v>0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/>
      <c r="AA15" s="32"/>
      <c r="AB15" s="32"/>
      <c r="AC15" s="24"/>
      <c r="AD15" s="25">
        <f t="shared" si="16"/>
        <v>0</v>
      </c>
      <c r="AE15" s="25">
        <f t="shared" si="9"/>
        <v>0</v>
      </c>
      <c r="AF15" s="25">
        <f t="shared" si="17"/>
        <v>0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/>
      <c r="C16" s="32"/>
      <c r="D16" s="32"/>
      <c r="E16" s="24"/>
      <c r="F16" s="25">
        <f t="shared" si="12"/>
        <v>0</v>
      </c>
      <c r="G16" s="25">
        <f t="shared" si="1"/>
        <v>0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/>
      <c r="O16" s="32"/>
      <c r="P16" s="32"/>
      <c r="Q16" s="24"/>
      <c r="R16" s="25">
        <f t="shared" si="14"/>
        <v>0</v>
      </c>
      <c r="S16" s="25">
        <f t="shared" si="5"/>
        <v>0</v>
      </c>
      <c r="T16" s="25">
        <f t="shared" si="15"/>
        <v>0</v>
      </c>
      <c r="U16" s="25">
        <f t="shared" si="7"/>
        <v>0</v>
      </c>
      <c r="V16" s="24"/>
      <c r="W16" s="107" t="s">
        <v>99</v>
      </c>
      <c r="Y16" s="25">
        <v>10</v>
      </c>
      <c r="Z16" s="32"/>
      <c r="AA16" s="32"/>
      <c r="AB16" s="32"/>
      <c r="AC16" s="24"/>
      <c r="AD16" s="25">
        <f t="shared" si="16"/>
        <v>0</v>
      </c>
      <c r="AE16" s="25">
        <f t="shared" si="9"/>
        <v>0</v>
      </c>
      <c r="AF16" s="25">
        <f t="shared" si="17"/>
        <v>0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/>
      <c r="D17" s="32"/>
      <c r="E17" s="24"/>
      <c r="F17" s="25">
        <f t="shared" si="12"/>
        <v>0</v>
      </c>
      <c r="G17" s="25">
        <f t="shared" si="1"/>
        <v>0</v>
      </c>
      <c r="H17" s="25">
        <f t="shared" si="13"/>
        <v>0</v>
      </c>
      <c r="I17" s="25">
        <f t="shared" si="3"/>
        <v>0</v>
      </c>
      <c r="J17" s="105">
        <f>I8+I16+I21+I27+I31</f>
        <v>0</v>
      </c>
      <c r="K17" s="108">
        <f>J17</f>
        <v>0</v>
      </c>
      <c r="M17" s="25">
        <v>11</v>
      </c>
      <c r="N17" s="32"/>
      <c r="O17" s="32"/>
      <c r="P17" s="32"/>
      <c r="Q17" s="24"/>
      <c r="R17" s="25">
        <f t="shared" si="14"/>
        <v>0</v>
      </c>
      <c r="S17" s="25">
        <f t="shared" si="5"/>
        <v>0</v>
      </c>
      <c r="T17" s="25">
        <f t="shared" si="15"/>
        <v>0</v>
      </c>
      <c r="U17" s="25">
        <f t="shared" si="7"/>
        <v>0</v>
      </c>
      <c r="V17" s="105">
        <f>U8+U16+U21+U27+U31</f>
        <v>0</v>
      </c>
      <c r="W17" s="108">
        <f>V17</f>
        <v>0</v>
      </c>
      <c r="Y17" s="25">
        <v>11</v>
      </c>
      <c r="Z17" s="32"/>
      <c r="AA17" s="32"/>
      <c r="AB17" s="32"/>
      <c r="AC17" s="24"/>
      <c r="AD17" s="25">
        <f t="shared" si="16"/>
        <v>0</v>
      </c>
      <c r="AE17" s="25">
        <f t="shared" si="9"/>
        <v>0</v>
      </c>
      <c r="AF17" s="25">
        <f t="shared" si="17"/>
        <v>0</v>
      </c>
      <c r="AG17" s="25">
        <f t="shared" si="11"/>
        <v>0</v>
      </c>
      <c r="AH17" s="105">
        <f>AG8+AG16+AG21+AG27+AG31</f>
        <v>0</v>
      </c>
      <c r="AI17" s="108">
        <f>AH17</f>
        <v>0</v>
      </c>
    </row>
    <row r="18" spans="1:35" ht="21" customHeight="1">
      <c r="A18" s="25">
        <v>12</v>
      </c>
      <c r="B18" s="32"/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/>
      <c r="O18" s="32"/>
      <c r="P18" s="32"/>
      <c r="Q18" s="24"/>
      <c r="R18" s="25">
        <f t="shared" si="14"/>
        <v>0</v>
      </c>
      <c r="S18" s="25">
        <f t="shared" si="5"/>
        <v>0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/>
      <c r="AA18" s="32"/>
      <c r="AB18" s="32"/>
      <c r="AC18" s="24"/>
      <c r="AD18" s="25">
        <f t="shared" si="16"/>
        <v>0</v>
      </c>
      <c r="AE18" s="25">
        <f t="shared" si="9"/>
        <v>0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/>
      <c r="C19" s="32"/>
      <c r="D19" s="32"/>
      <c r="E19" s="24"/>
      <c r="F19" s="25">
        <f t="shared" si="12"/>
        <v>0</v>
      </c>
      <c r="G19" s="25">
        <f t="shared" si="1"/>
        <v>0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/>
      <c r="O19" s="32"/>
      <c r="P19" s="32"/>
      <c r="Q19" s="24"/>
      <c r="R19" s="25">
        <f t="shared" si="14"/>
        <v>0</v>
      </c>
      <c r="S19" s="25">
        <f t="shared" si="5"/>
        <v>0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/>
      <c r="AA19" s="32"/>
      <c r="AB19" s="32"/>
      <c r="AC19" s="24"/>
      <c r="AD19" s="25">
        <f t="shared" si="16"/>
        <v>0</v>
      </c>
      <c r="AE19" s="25">
        <f t="shared" si="9"/>
        <v>0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/>
      <c r="C20" s="32"/>
      <c r="D20" s="32"/>
      <c r="E20" s="24"/>
      <c r="F20" s="25">
        <f>B20*2</f>
        <v>0</v>
      </c>
      <c r="G20" s="25">
        <f t="shared" si="1"/>
        <v>0</v>
      </c>
      <c r="H20" s="25">
        <f>D20*0</f>
        <v>0</v>
      </c>
      <c r="I20" s="25">
        <f t="shared" si="3"/>
        <v>0</v>
      </c>
      <c r="J20" s="24"/>
      <c r="K20" s="107" t="s">
        <v>100</v>
      </c>
      <c r="M20" s="25">
        <v>14</v>
      </c>
      <c r="N20" s="32"/>
      <c r="O20" s="32"/>
      <c r="P20" s="32"/>
      <c r="Q20" s="24"/>
      <c r="R20" s="25">
        <f>N20*2</f>
        <v>0</v>
      </c>
      <c r="S20" s="25">
        <f t="shared" si="5"/>
        <v>0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/>
      <c r="AA20" s="32"/>
      <c r="AB20" s="32"/>
      <c r="AC20" s="24"/>
      <c r="AD20" s="25">
        <f>Z20*2</f>
        <v>0</v>
      </c>
      <c r="AE20" s="25">
        <f t="shared" si="9"/>
        <v>0</v>
      </c>
      <c r="AF20" s="25">
        <f>AB20*0</f>
        <v>0</v>
      </c>
      <c r="AG20" s="25">
        <f t="shared" si="11"/>
        <v>0</v>
      </c>
      <c r="AH20" s="24"/>
      <c r="AI20" s="107" t="s">
        <v>100</v>
      </c>
    </row>
    <row r="21" spans="1:35" ht="21" customHeight="1">
      <c r="A21" s="25">
        <v>15</v>
      </c>
      <c r="B21" s="32"/>
      <c r="C21" s="32"/>
      <c r="D21" s="32"/>
      <c r="E21" s="24"/>
      <c r="F21" s="25">
        <f>B21*2</f>
        <v>0</v>
      </c>
      <c r="G21" s="25">
        <f t="shared" si="1"/>
        <v>0</v>
      </c>
      <c r="H21" s="25">
        <f>D21*0</f>
        <v>0</v>
      </c>
      <c r="I21" s="25">
        <f t="shared" si="3"/>
        <v>0</v>
      </c>
      <c r="J21" s="24"/>
      <c r="K21" s="107" t="s">
        <v>101</v>
      </c>
      <c r="M21" s="25">
        <v>15</v>
      </c>
      <c r="N21" s="32"/>
      <c r="O21" s="32"/>
      <c r="P21" s="32"/>
      <c r="Q21" s="24"/>
      <c r="R21" s="25">
        <f>N21*2</f>
        <v>0</v>
      </c>
      <c r="S21" s="25">
        <f t="shared" si="5"/>
        <v>0</v>
      </c>
      <c r="T21" s="25">
        <f>P21*0</f>
        <v>0</v>
      </c>
      <c r="U21" s="25">
        <f t="shared" si="7"/>
        <v>0</v>
      </c>
      <c r="V21" s="24"/>
      <c r="W21" s="107" t="s">
        <v>101</v>
      </c>
      <c r="Y21" s="25">
        <v>15</v>
      </c>
      <c r="Z21" s="32"/>
      <c r="AA21" s="32"/>
      <c r="AB21" s="32"/>
      <c r="AC21" s="24"/>
      <c r="AD21" s="25">
        <f>Z21*2</f>
        <v>0</v>
      </c>
      <c r="AE21" s="25">
        <f t="shared" si="9"/>
        <v>0</v>
      </c>
      <c r="AF21" s="25">
        <f>AB21*0</f>
        <v>0</v>
      </c>
      <c r="AG21" s="25">
        <f t="shared" si="11"/>
        <v>0</v>
      </c>
      <c r="AH21" s="24"/>
      <c r="AI21" s="107" t="s">
        <v>101</v>
      </c>
    </row>
    <row r="22" spans="1:35" ht="21" customHeight="1">
      <c r="A22" s="25">
        <v>16</v>
      </c>
      <c r="B22" s="32"/>
      <c r="C22" s="32"/>
      <c r="D22" s="32"/>
      <c r="E22" s="24"/>
      <c r="F22" s="25">
        <f>B22*0</f>
        <v>0</v>
      </c>
      <c r="G22" s="25">
        <f t="shared" si="1"/>
        <v>0</v>
      </c>
      <c r="H22" s="25">
        <f>D22*2</f>
        <v>0</v>
      </c>
      <c r="I22" s="25">
        <f t="shared" si="3"/>
        <v>0</v>
      </c>
      <c r="J22" s="105">
        <f>I12+I17+I20+I25+I29</f>
        <v>0</v>
      </c>
      <c r="K22" s="108">
        <f>J22</f>
        <v>0</v>
      </c>
      <c r="M22" s="25">
        <v>16</v>
      </c>
      <c r="N22" s="32"/>
      <c r="O22" s="32"/>
      <c r="P22" s="32"/>
      <c r="Q22" s="24"/>
      <c r="R22" s="25">
        <f>N22*0</f>
        <v>0</v>
      </c>
      <c r="S22" s="25">
        <f t="shared" si="5"/>
        <v>0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/>
      <c r="AA22" s="32"/>
      <c r="AB22" s="32"/>
      <c r="AC22" s="24"/>
      <c r="AD22" s="25">
        <f>Z22*0</f>
        <v>0</v>
      </c>
      <c r="AE22" s="25">
        <f t="shared" si="9"/>
        <v>0</v>
      </c>
      <c r="AF22" s="25">
        <f>AB22*2</f>
        <v>0</v>
      </c>
      <c r="AG22" s="25">
        <f t="shared" si="11"/>
        <v>0</v>
      </c>
      <c r="AH22" s="105">
        <f>AG12+AG17+AG20+AG25+AG29</f>
        <v>0</v>
      </c>
      <c r="AI22" s="108">
        <f>AH22</f>
        <v>0</v>
      </c>
    </row>
    <row r="23" spans="1:35" ht="21" customHeight="1">
      <c r="A23" s="25">
        <v>17</v>
      </c>
      <c r="B23" s="32"/>
      <c r="C23" s="32"/>
      <c r="D23" s="32"/>
      <c r="E23" s="24"/>
      <c r="F23" s="25">
        <f>B23*2</f>
        <v>0</v>
      </c>
      <c r="G23" s="25">
        <f t="shared" si="1"/>
        <v>0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/>
      <c r="O23" s="32"/>
      <c r="P23" s="32"/>
      <c r="Q23" s="24"/>
      <c r="R23" s="25">
        <f>N23*2</f>
        <v>0</v>
      </c>
      <c r="S23" s="25">
        <f t="shared" si="5"/>
        <v>0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/>
      <c r="AA23" s="32"/>
      <c r="AB23" s="32"/>
      <c r="AC23" s="24"/>
      <c r="AD23" s="25">
        <f>Z23*2</f>
        <v>0</v>
      </c>
      <c r="AE23" s="25">
        <f t="shared" si="9"/>
        <v>0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/>
      <c r="C24" s="32"/>
      <c r="D24" s="32"/>
      <c r="E24" s="24"/>
      <c r="F24" s="25">
        <f>B24*2</f>
        <v>0</v>
      </c>
      <c r="G24" s="25">
        <f t="shared" si="1"/>
        <v>0</v>
      </c>
      <c r="H24" s="25">
        <f>D24*0</f>
        <v>0</v>
      </c>
      <c r="I24" s="25">
        <f t="shared" si="3"/>
        <v>0</v>
      </c>
      <c r="J24" s="24"/>
      <c r="K24" s="25"/>
      <c r="M24" s="25">
        <v>18</v>
      </c>
      <c r="N24" s="32"/>
      <c r="O24" s="32"/>
      <c r="P24" s="32"/>
      <c r="Q24" s="24"/>
      <c r="R24" s="25">
        <f>N24*2</f>
        <v>0</v>
      </c>
      <c r="S24" s="25">
        <f t="shared" si="5"/>
        <v>0</v>
      </c>
      <c r="T24" s="25">
        <f>P24*0</f>
        <v>0</v>
      </c>
      <c r="U24" s="25">
        <f t="shared" si="7"/>
        <v>0</v>
      </c>
      <c r="V24" s="24"/>
      <c r="W24" s="25"/>
      <c r="Y24" s="25">
        <v>18</v>
      </c>
      <c r="Z24" s="32"/>
      <c r="AA24" s="32"/>
      <c r="AB24" s="32"/>
      <c r="AC24" s="24"/>
      <c r="AD24" s="25">
        <f>Z24*2</f>
        <v>0</v>
      </c>
      <c r="AE24" s="25">
        <f t="shared" si="9"/>
        <v>0</v>
      </c>
      <c r="AF24" s="25">
        <f>AB24*0</f>
        <v>0</v>
      </c>
      <c r="AG24" s="25">
        <f t="shared" si="11"/>
        <v>0</v>
      </c>
      <c r="AH24" s="24"/>
      <c r="AI24" s="25"/>
    </row>
    <row r="25" spans="1:35" ht="21" customHeight="1">
      <c r="A25" s="25">
        <v>19</v>
      </c>
      <c r="B25" s="32"/>
      <c r="C25" s="32"/>
      <c r="D25" s="32"/>
      <c r="E25" s="24"/>
      <c r="F25" s="25">
        <f t="shared" ref="F25:F31" si="18">B25*0</f>
        <v>0</v>
      </c>
      <c r="G25" s="25">
        <f t="shared" si="1"/>
        <v>0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/>
      <c r="O25" s="32"/>
      <c r="P25" s="32"/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/>
      <c r="AA25" s="32"/>
      <c r="AB25" s="32"/>
      <c r="AC25" s="24"/>
      <c r="AD25" s="25">
        <f t="shared" ref="AD25:AD31" si="22">Z25*0</f>
        <v>0</v>
      </c>
      <c r="AE25" s="25">
        <f t="shared" si="9"/>
        <v>0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/>
      <c r="D26" s="32"/>
      <c r="E26" s="24"/>
      <c r="F26" s="25">
        <f t="shared" si="18"/>
        <v>0</v>
      </c>
      <c r="G26" s="25">
        <f t="shared" si="1"/>
        <v>0</v>
      </c>
      <c r="H26" s="25">
        <f t="shared" si="19"/>
        <v>0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/>
      <c r="P26" s="32"/>
      <c r="Q26" s="24"/>
      <c r="R26" s="25">
        <f t="shared" si="20"/>
        <v>0</v>
      </c>
      <c r="S26" s="25">
        <f t="shared" si="5"/>
        <v>0</v>
      </c>
      <c r="T26" s="25">
        <f t="shared" si="21"/>
        <v>0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/>
      <c r="AB26" s="32"/>
      <c r="AC26" s="24"/>
      <c r="AD26" s="25">
        <f t="shared" si="22"/>
        <v>0</v>
      </c>
      <c r="AE26" s="25">
        <f t="shared" si="9"/>
        <v>0</v>
      </c>
      <c r="AF26" s="25">
        <f t="shared" si="23"/>
        <v>0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/>
      <c r="D27" s="32"/>
      <c r="E27" s="24"/>
      <c r="F27" s="25">
        <f t="shared" si="18"/>
        <v>0</v>
      </c>
      <c r="G27" s="25">
        <f t="shared" si="1"/>
        <v>0</v>
      </c>
      <c r="H27" s="25">
        <f t="shared" si="19"/>
        <v>0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/>
      <c r="O27" s="32"/>
      <c r="P27" s="32"/>
      <c r="Q27" s="24"/>
      <c r="R27" s="25">
        <f t="shared" si="20"/>
        <v>0</v>
      </c>
      <c r="S27" s="25">
        <f t="shared" si="5"/>
        <v>0</v>
      </c>
      <c r="T27" s="25">
        <f t="shared" si="21"/>
        <v>0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/>
      <c r="AA27" s="32"/>
      <c r="AB27" s="32"/>
      <c r="AC27" s="24"/>
      <c r="AD27" s="25">
        <f t="shared" si="22"/>
        <v>0</v>
      </c>
      <c r="AE27" s="25">
        <f t="shared" si="9"/>
        <v>0</v>
      </c>
      <c r="AF27" s="25">
        <f t="shared" si="23"/>
        <v>0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/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/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/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/>
      <c r="C29" s="32"/>
      <c r="D29" s="32"/>
      <c r="E29" s="24"/>
      <c r="F29" s="25">
        <f t="shared" si="18"/>
        <v>0</v>
      </c>
      <c r="G29" s="25">
        <f t="shared" si="1"/>
        <v>0</v>
      </c>
      <c r="H29" s="25">
        <f t="shared" si="19"/>
        <v>0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/>
      <c r="P29" s="32"/>
      <c r="Q29" s="24"/>
      <c r="R29" s="25">
        <f t="shared" si="20"/>
        <v>0</v>
      </c>
      <c r="S29" s="25">
        <f t="shared" si="5"/>
        <v>0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/>
      <c r="AA29" s="32"/>
      <c r="AB29" s="32"/>
      <c r="AC29" s="24"/>
      <c r="AD29" s="25">
        <f t="shared" si="22"/>
        <v>0</v>
      </c>
      <c r="AE29" s="25">
        <f t="shared" si="9"/>
        <v>0</v>
      </c>
      <c r="AF29" s="25">
        <f t="shared" si="23"/>
        <v>0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/>
      <c r="C30" s="32"/>
      <c r="D30" s="32"/>
      <c r="E30" s="24"/>
      <c r="F30" s="25">
        <f t="shared" si="18"/>
        <v>0</v>
      </c>
      <c r="G30" s="25">
        <f t="shared" si="1"/>
        <v>0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/>
      <c r="O30" s="32"/>
      <c r="P30" s="32"/>
      <c r="Q30" s="24"/>
      <c r="R30" s="25">
        <f t="shared" si="20"/>
        <v>0</v>
      </c>
      <c r="S30" s="25">
        <f t="shared" si="5"/>
        <v>0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/>
      <c r="AA30" s="32"/>
      <c r="AB30" s="32"/>
      <c r="AC30" s="24"/>
      <c r="AD30" s="25">
        <f t="shared" si="22"/>
        <v>0</v>
      </c>
      <c r="AE30" s="25">
        <f t="shared" si="9"/>
        <v>0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/>
      <c r="D31" s="32"/>
      <c r="E31" s="24"/>
      <c r="F31" s="25">
        <f t="shared" si="18"/>
        <v>0</v>
      </c>
      <c r="G31" s="25">
        <f t="shared" si="1"/>
        <v>0</v>
      </c>
      <c r="H31" s="25">
        <f t="shared" si="19"/>
        <v>0</v>
      </c>
      <c r="I31" s="25">
        <f t="shared" si="3"/>
        <v>0</v>
      </c>
      <c r="J31" s="24"/>
      <c r="K31" s="108">
        <f>K7+K12+K17+K22</f>
        <v>0</v>
      </c>
      <c r="M31" s="25">
        <v>25</v>
      </c>
      <c r="N31" s="32"/>
      <c r="O31" s="32"/>
      <c r="P31" s="32"/>
      <c r="Q31" s="24"/>
      <c r="R31" s="25">
        <f t="shared" si="20"/>
        <v>0</v>
      </c>
      <c r="S31" s="25">
        <f t="shared" si="5"/>
        <v>0</v>
      </c>
      <c r="T31" s="25">
        <f t="shared" si="21"/>
        <v>0</v>
      </c>
      <c r="U31" s="25">
        <f t="shared" si="7"/>
        <v>0</v>
      </c>
      <c r="V31" s="24"/>
      <c r="W31" s="108">
        <f>W7+W12+W17+W22</f>
        <v>0</v>
      </c>
      <c r="Y31" s="25">
        <v>25</v>
      </c>
      <c r="Z31" s="32"/>
      <c r="AA31" s="32"/>
      <c r="AB31" s="32"/>
      <c r="AC31" s="24"/>
      <c r="AD31" s="25">
        <f t="shared" si="22"/>
        <v>0</v>
      </c>
      <c r="AE31" s="25">
        <f t="shared" si="9"/>
        <v>0</v>
      </c>
      <c r="AF31" s="25">
        <f t="shared" si="23"/>
        <v>0</v>
      </c>
      <c r="AG31" s="25">
        <f t="shared" si="11"/>
        <v>0</v>
      </c>
      <c r="AH31" s="24"/>
      <c r="AI31" s="108">
        <f>AI7+AI12+AI17+AI22</f>
        <v>0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7"/>
  </sheetPr>
  <dimension ref="A1:AI41"/>
  <sheetViews>
    <sheetView zoomScale="150" workbookViewId="0">
      <selection activeCell="AI3" sqref="AI3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>
        <f>รายชื่อ!B38</f>
        <v>0</v>
      </c>
      <c r="C3" s="110">
        <f>รายชื่อ!C38</f>
        <v>0</v>
      </c>
      <c r="D3" s="110">
        <f>รายชื่อ!D38</f>
        <v>0</v>
      </c>
      <c r="E3" s="60"/>
      <c r="F3" s="103"/>
      <c r="G3" s="165"/>
      <c r="H3" s="165"/>
      <c r="I3" s="165"/>
      <c r="J3" s="25"/>
      <c r="K3" s="106" t="s">
        <v>64</v>
      </c>
      <c r="M3" s="25" t="s">
        <v>85</v>
      </c>
      <c r="N3" s="110">
        <f>รายชื่อ!B38</f>
        <v>0</v>
      </c>
      <c r="O3" s="110">
        <f>รายชื่อ!C38</f>
        <v>0</v>
      </c>
      <c r="P3" s="110">
        <f>รายชื่อ!D38</f>
        <v>0</v>
      </c>
      <c r="Q3" s="60"/>
      <c r="R3" s="103"/>
      <c r="S3" s="165"/>
      <c r="T3" s="165"/>
      <c r="U3" s="165"/>
      <c r="V3" s="25"/>
      <c r="W3" s="106" t="s">
        <v>64</v>
      </c>
      <c r="Y3" s="25" t="s">
        <v>85</v>
      </c>
      <c r="Z3" s="110">
        <f>รายชื่อ!B38</f>
        <v>0</v>
      </c>
      <c r="AA3" s="110">
        <f>รายชื่อ!C38</f>
        <v>0</v>
      </c>
      <c r="AB3" s="110">
        <f>รายชื่อ!D38</f>
        <v>0</v>
      </c>
      <c r="AC3" s="60"/>
      <c r="AD3" s="103"/>
      <c r="AE3" s="165"/>
      <c r="AF3" s="165"/>
      <c r="AG3" s="165"/>
      <c r="AH3" s="25"/>
      <c r="AI3" s="106" t="s">
        <v>64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/>
      <c r="C7" s="32"/>
      <c r="D7" s="32"/>
      <c r="E7" s="24"/>
      <c r="F7" s="25">
        <f t="shared" ref="F7:F12" si="0">B7*0</f>
        <v>0</v>
      </c>
      <c r="G7" s="25">
        <f t="shared" ref="G7:G31" si="1">C7*1</f>
        <v>0</v>
      </c>
      <c r="H7" s="25">
        <f t="shared" ref="H7:H12" si="2">D7*2</f>
        <v>0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/>
      <c r="O7" s="32"/>
      <c r="P7" s="32"/>
      <c r="Q7" s="24"/>
      <c r="R7" s="25">
        <f t="shared" ref="R7:R12" si="4">N7*0</f>
        <v>0</v>
      </c>
      <c r="S7" s="25">
        <f t="shared" ref="S7:S31" si="5">O7*1</f>
        <v>0</v>
      </c>
      <c r="T7" s="25">
        <f t="shared" ref="T7:T12" si="6">P7*2</f>
        <v>0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/>
      <c r="AB7" s="32"/>
      <c r="AC7" s="24"/>
      <c r="AD7" s="25">
        <f t="shared" ref="AD7:AD12" si="8">Z7*0</f>
        <v>0</v>
      </c>
      <c r="AE7" s="25">
        <f t="shared" ref="AE7:AE31" si="9">AA7*1</f>
        <v>0</v>
      </c>
      <c r="AF7" s="25">
        <f t="shared" ref="AF7:AF12" si="10">AB7*2</f>
        <v>0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/>
      <c r="C8" s="32"/>
      <c r="D8" s="32"/>
      <c r="E8" s="24"/>
      <c r="F8" s="25">
        <f t="shared" si="0"/>
        <v>0</v>
      </c>
      <c r="G8" s="25">
        <f t="shared" si="1"/>
        <v>0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/>
      <c r="O8" s="32"/>
      <c r="P8" s="32"/>
      <c r="Q8" s="24"/>
      <c r="R8" s="25">
        <f t="shared" si="4"/>
        <v>0</v>
      </c>
      <c r="S8" s="25">
        <f t="shared" si="5"/>
        <v>0</v>
      </c>
      <c r="T8" s="25">
        <f t="shared" si="6"/>
        <v>0</v>
      </c>
      <c r="U8" s="25">
        <f t="shared" si="7"/>
        <v>0</v>
      </c>
      <c r="V8" s="24"/>
      <c r="W8" s="25"/>
      <c r="Y8" s="25">
        <v>2</v>
      </c>
      <c r="Z8" s="32"/>
      <c r="AA8" s="32"/>
      <c r="AB8" s="32"/>
      <c r="AC8" s="24"/>
      <c r="AD8" s="25">
        <f t="shared" si="8"/>
        <v>0</v>
      </c>
      <c r="AE8" s="25">
        <f t="shared" si="9"/>
        <v>0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/>
      <c r="C9" s="32"/>
      <c r="D9" s="32"/>
      <c r="E9" s="24"/>
      <c r="F9" s="25">
        <f t="shared" si="0"/>
        <v>0</v>
      </c>
      <c r="G9" s="25">
        <f t="shared" si="1"/>
        <v>0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/>
      <c r="O9" s="32"/>
      <c r="P9" s="32"/>
      <c r="Q9" s="24"/>
      <c r="R9" s="25">
        <f t="shared" si="4"/>
        <v>0</v>
      </c>
      <c r="S9" s="25">
        <f t="shared" si="5"/>
        <v>0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/>
      <c r="AA9" s="32"/>
      <c r="AB9" s="32"/>
      <c r="AC9" s="24"/>
      <c r="AD9" s="25">
        <f t="shared" si="8"/>
        <v>0</v>
      </c>
      <c r="AE9" s="25">
        <f t="shared" si="9"/>
        <v>0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/>
      <c r="D10" s="32"/>
      <c r="E10" s="24"/>
      <c r="F10" s="25">
        <f t="shared" si="0"/>
        <v>0</v>
      </c>
      <c r="G10" s="25">
        <f t="shared" si="1"/>
        <v>0</v>
      </c>
      <c r="H10" s="25">
        <f t="shared" si="2"/>
        <v>0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/>
      <c r="P10" s="32"/>
      <c r="Q10" s="24"/>
      <c r="R10" s="25">
        <f t="shared" si="4"/>
        <v>0</v>
      </c>
      <c r="S10" s="25">
        <f t="shared" si="5"/>
        <v>0</v>
      </c>
      <c r="T10" s="25">
        <f t="shared" si="6"/>
        <v>0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/>
      <c r="AB10" s="32"/>
      <c r="AC10" s="24"/>
      <c r="AD10" s="25">
        <f t="shared" si="8"/>
        <v>0</v>
      </c>
      <c r="AE10" s="25">
        <f t="shared" si="9"/>
        <v>0</v>
      </c>
      <c r="AF10" s="25">
        <f t="shared" si="10"/>
        <v>0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/>
      <c r="C11" s="32"/>
      <c r="D11" s="32"/>
      <c r="E11" s="24"/>
      <c r="F11" s="25">
        <f t="shared" si="0"/>
        <v>0</v>
      </c>
      <c r="G11" s="25">
        <f t="shared" si="1"/>
        <v>0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/>
      <c r="O11" s="32"/>
      <c r="P11" s="32"/>
      <c r="Q11" s="24"/>
      <c r="R11" s="25">
        <f t="shared" si="4"/>
        <v>0</v>
      </c>
      <c r="S11" s="25">
        <f t="shared" si="5"/>
        <v>0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/>
      <c r="AA11" s="32"/>
      <c r="AB11" s="32"/>
      <c r="AC11" s="24"/>
      <c r="AD11" s="25">
        <f t="shared" si="8"/>
        <v>0</v>
      </c>
      <c r="AE11" s="25">
        <f t="shared" si="9"/>
        <v>0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/>
      <c r="C12" s="32"/>
      <c r="D12" s="32"/>
      <c r="E12" s="24"/>
      <c r="F12" s="25">
        <f t="shared" si="0"/>
        <v>0</v>
      </c>
      <c r="G12" s="25">
        <f t="shared" si="1"/>
        <v>0</v>
      </c>
      <c r="H12" s="25">
        <f t="shared" si="2"/>
        <v>0</v>
      </c>
      <c r="I12" s="25">
        <f t="shared" si="3"/>
        <v>0</v>
      </c>
      <c r="J12" s="105">
        <f>I11+I13+I18+I24+I28</f>
        <v>0</v>
      </c>
      <c r="K12" s="108">
        <f>J12</f>
        <v>0</v>
      </c>
      <c r="M12" s="25">
        <v>6</v>
      </c>
      <c r="N12" s="32"/>
      <c r="O12" s="32"/>
      <c r="P12" s="32"/>
      <c r="Q12" s="24"/>
      <c r="R12" s="25">
        <f t="shared" si="4"/>
        <v>0</v>
      </c>
      <c r="S12" s="25">
        <f t="shared" si="5"/>
        <v>0</v>
      </c>
      <c r="T12" s="25">
        <f t="shared" si="6"/>
        <v>0</v>
      </c>
      <c r="U12" s="25">
        <f t="shared" si="7"/>
        <v>0</v>
      </c>
      <c r="V12" s="105">
        <f>U11+U13+U18+U24+U28</f>
        <v>0</v>
      </c>
      <c r="W12" s="108">
        <f>V12</f>
        <v>0</v>
      </c>
      <c r="Y12" s="25">
        <v>6</v>
      </c>
      <c r="Z12" s="32"/>
      <c r="AA12" s="32"/>
      <c r="AB12" s="32"/>
      <c r="AC12" s="24"/>
      <c r="AD12" s="25">
        <f t="shared" si="8"/>
        <v>0</v>
      </c>
      <c r="AE12" s="25">
        <f t="shared" si="9"/>
        <v>0</v>
      </c>
      <c r="AF12" s="25">
        <f t="shared" si="10"/>
        <v>0</v>
      </c>
      <c r="AG12" s="25">
        <f t="shared" si="11"/>
        <v>0</v>
      </c>
      <c r="AH12" s="105">
        <f>AG11+AG13+AG18+AG24+AG28</f>
        <v>0</v>
      </c>
      <c r="AI12" s="108">
        <f>AH12</f>
        <v>0</v>
      </c>
    </row>
    <row r="13" spans="1:35" ht="21" customHeight="1">
      <c r="A13" s="25">
        <v>7</v>
      </c>
      <c r="B13" s="32"/>
      <c r="C13" s="32"/>
      <c r="D13" s="32"/>
      <c r="E13" s="24"/>
      <c r="F13" s="25">
        <f>B13*2</f>
        <v>0</v>
      </c>
      <c r="G13" s="25">
        <f t="shared" si="1"/>
        <v>0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/>
      <c r="P13" s="32"/>
      <c r="Q13" s="24"/>
      <c r="R13" s="25">
        <f>N13*2</f>
        <v>0</v>
      </c>
      <c r="S13" s="25">
        <f t="shared" si="5"/>
        <v>0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/>
      <c r="AA13" s="32"/>
      <c r="AB13" s="32"/>
      <c r="AC13" s="24"/>
      <c r="AD13" s="25">
        <f>Z13*2</f>
        <v>0</v>
      </c>
      <c r="AE13" s="25">
        <f t="shared" si="9"/>
        <v>0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/>
      <c r="C14" s="32"/>
      <c r="D14" s="32"/>
      <c r="E14" s="24"/>
      <c r="F14" s="25">
        <f t="shared" ref="F14:F19" si="12">B14*0</f>
        <v>0</v>
      </c>
      <c r="G14" s="25">
        <f t="shared" si="1"/>
        <v>0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/>
      <c r="O14" s="32"/>
      <c r="P14" s="32"/>
      <c r="Q14" s="24"/>
      <c r="R14" s="25">
        <f t="shared" ref="R14:R19" si="14">N14*0</f>
        <v>0</v>
      </c>
      <c r="S14" s="25">
        <f t="shared" si="5"/>
        <v>0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/>
      <c r="AA14" s="32"/>
      <c r="AB14" s="32"/>
      <c r="AC14" s="24"/>
      <c r="AD14" s="25">
        <f t="shared" ref="AD14:AD19" si="16">Z14*0</f>
        <v>0</v>
      </c>
      <c r="AE14" s="25">
        <f t="shared" si="9"/>
        <v>0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/>
      <c r="D15" s="32"/>
      <c r="E15" s="24"/>
      <c r="F15" s="25">
        <f t="shared" si="12"/>
        <v>0</v>
      </c>
      <c r="G15" s="25">
        <f t="shared" si="1"/>
        <v>0</v>
      </c>
      <c r="H15" s="25">
        <f t="shared" si="13"/>
        <v>0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/>
      <c r="P15" s="32"/>
      <c r="Q15" s="24"/>
      <c r="R15" s="25">
        <f t="shared" si="14"/>
        <v>0</v>
      </c>
      <c r="S15" s="25">
        <f t="shared" si="5"/>
        <v>0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/>
      <c r="AA15" s="32"/>
      <c r="AB15" s="32"/>
      <c r="AC15" s="24"/>
      <c r="AD15" s="25">
        <f t="shared" si="16"/>
        <v>0</v>
      </c>
      <c r="AE15" s="25">
        <f t="shared" si="9"/>
        <v>0</v>
      </c>
      <c r="AF15" s="25">
        <f t="shared" si="17"/>
        <v>0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/>
      <c r="C16" s="32"/>
      <c r="D16" s="32"/>
      <c r="E16" s="24"/>
      <c r="F16" s="25">
        <f t="shared" si="12"/>
        <v>0</v>
      </c>
      <c r="G16" s="25">
        <f t="shared" si="1"/>
        <v>0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/>
      <c r="O16" s="32"/>
      <c r="P16" s="32"/>
      <c r="Q16" s="24"/>
      <c r="R16" s="25">
        <f t="shared" si="14"/>
        <v>0</v>
      </c>
      <c r="S16" s="25">
        <f t="shared" si="5"/>
        <v>0</v>
      </c>
      <c r="T16" s="25">
        <f t="shared" si="15"/>
        <v>0</v>
      </c>
      <c r="U16" s="25">
        <f t="shared" si="7"/>
        <v>0</v>
      </c>
      <c r="V16" s="24"/>
      <c r="W16" s="107" t="s">
        <v>99</v>
      </c>
      <c r="Y16" s="25">
        <v>10</v>
      </c>
      <c r="Z16" s="32"/>
      <c r="AA16" s="32"/>
      <c r="AB16" s="32"/>
      <c r="AC16" s="24"/>
      <c r="AD16" s="25">
        <f t="shared" si="16"/>
        <v>0</v>
      </c>
      <c r="AE16" s="25">
        <f t="shared" si="9"/>
        <v>0</v>
      </c>
      <c r="AF16" s="25">
        <f t="shared" si="17"/>
        <v>0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/>
      <c r="D17" s="32"/>
      <c r="E17" s="24"/>
      <c r="F17" s="25">
        <f t="shared" si="12"/>
        <v>0</v>
      </c>
      <c r="G17" s="25">
        <f t="shared" si="1"/>
        <v>0</v>
      </c>
      <c r="H17" s="25">
        <f t="shared" si="13"/>
        <v>0</v>
      </c>
      <c r="I17" s="25">
        <f t="shared" si="3"/>
        <v>0</v>
      </c>
      <c r="J17" s="105">
        <f>I8+I16+I21+I27+I31</f>
        <v>0</v>
      </c>
      <c r="K17" s="108">
        <f>J17</f>
        <v>0</v>
      </c>
      <c r="M17" s="25">
        <v>11</v>
      </c>
      <c r="N17" s="32"/>
      <c r="O17" s="32"/>
      <c r="P17" s="32"/>
      <c r="Q17" s="24"/>
      <c r="R17" s="25">
        <f t="shared" si="14"/>
        <v>0</v>
      </c>
      <c r="S17" s="25">
        <f t="shared" si="5"/>
        <v>0</v>
      </c>
      <c r="T17" s="25">
        <f t="shared" si="15"/>
        <v>0</v>
      </c>
      <c r="U17" s="25">
        <f t="shared" si="7"/>
        <v>0</v>
      </c>
      <c r="V17" s="105">
        <f>U8+U16+U21+U27+U31</f>
        <v>0</v>
      </c>
      <c r="W17" s="108">
        <f>V17</f>
        <v>0</v>
      </c>
      <c r="Y17" s="25">
        <v>11</v>
      </c>
      <c r="Z17" s="32"/>
      <c r="AA17" s="32"/>
      <c r="AB17" s="32"/>
      <c r="AC17" s="24"/>
      <c r="AD17" s="25">
        <f t="shared" si="16"/>
        <v>0</v>
      </c>
      <c r="AE17" s="25">
        <f t="shared" si="9"/>
        <v>0</v>
      </c>
      <c r="AF17" s="25">
        <f t="shared" si="17"/>
        <v>0</v>
      </c>
      <c r="AG17" s="25">
        <f t="shared" si="11"/>
        <v>0</v>
      </c>
      <c r="AH17" s="105">
        <f>AG8+AG16+AG21+AG27+AG31</f>
        <v>0</v>
      </c>
      <c r="AI17" s="108">
        <f>AH17</f>
        <v>0</v>
      </c>
    </row>
    <row r="18" spans="1:35" ht="21" customHeight="1">
      <c r="A18" s="25">
        <v>12</v>
      </c>
      <c r="B18" s="32"/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/>
      <c r="O18" s="32"/>
      <c r="P18" s="32"/>
      <c r="Q18" s="24"/>
      <c r="R18" s="25">
        <f t="shared" si="14"/>
        <v>0</v>
      </c>
      <c r="S18" s="25">
        <f t="shared" si="5"/>
        <v>0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/>
      <c r="AA18" s="32"/>
      <c r="AB18" s="32"/>
      <c r="AC18" s="24"/>
      <c r="AD18" s="25">
        <f t="shared" si="16"/>
        <v>0</v>
      </c>
      <c r="AE18" s="25">
        <f t="shared" si="9"/>
        <v>0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/>
      <c r="C19" s="32"/>
      <c r="D19" s="32"/>
      <c r="E19" s="24"/>
      <c r="F19" s="25">
        <f t="shared" si="12"/>
        <v>0</v>
      </c>
      <c r="G19" s="25">
        <f t="shared" si="1"/>
        <v>0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/>
      <c r="O19" s="32"/>
      <c r="P19" s="32"/>
      <c r="Q19" s="24"/>
      <c r="R19" s="25">
        <f t="shared" si="14"/>
        <v>0</v>
      </c>
      <c r="S19" s="25">
        <f t="shared" si="5"/>
        <v>0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/>
      <c r="AA19" s="32"/>
      <c r="AB19" s="32"/>
      <c r="AC19" s="24"/>
      <c r="AD19" s="25">
        <f t="shared" si="16"/>
        <v>0</v>
      </c>
      <c r="AE19" s="25">
        <f t="shared" si="9"/>
        <v>0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/>
      <c r="C20" s="32"/>
      <c r="D20" s="32"/>
      <c r="E20" s="24"/>
      <c r="F20" s="25">
        <f>B20*2</f>
        <v>0</v>
      </c>
      <c r="G20" s="25">
        <f t="shared" si="1"/>
        <v>0</v>
      </c>
      <c r="H20" s="25">
        <f>D20*0</f>
        <v>0</v>
      </c>
      <c r="I20" s="25">
        <f t="shared" si="3"/>
        <v>0</v>
      </c>
      <c r="J20" s="24"/>
      <c r="K20" s="107" t="s">
        <v>100</v>
      </c>
      <c r="M20" s="25">
        <v>14</v>
      </c>
      <c r="N20" s="32"/>
      <c r="O20" s="32"/>
      <c r="P20" s="32"/>
      <c r="Q20" s="24"/>
      <c r="R20" s="25">
        <f>N20*2</f>
        <v>0</v>
      </c>
      <c r="S20" s="25">
        <f t="shared" si="5"/>
        <v>0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/>
      <c r="AA20" s="32"/>
      <c r="AB20" s="32"/>
      <c r="AC20" s="24"/>
      <c r="AD20" s="25">
        <f>Z20*2</f>
        <v>0</v>
      </c>
      <c r="AE20" s="25">
        <f t="shared" si="9"/>
        <v>0</v>
      </c>
      <c r="AF20" s="25">
        <f>AB20*0</f>
        <v>0</v>
      </c>
      <c r="AG20" s="25">
        <f t="shared" si="11"/>
        <v>0</v>
      </c>
      <c r="AH20" s="24"/>
      <c r="AI20" s="107" t="s">
        <v>100</v>
      </c>
    </row>
    <row r="21" spans="1:35" ht="21" customHeight="1">
      <c r="A21" s="25">
        <v>15</v>
      </c>
      <c r="B21" s="32"/>
      <c r="C21" s="32"/>
      <c r="D21" s="32"/>
      <c r="E21" s="24"/>
      <c r="F21" s="25">
        <f>B21*2</f>
        <v>0</v>
      </c>
      <c r="G21" s="25">
        <f t="shared" si="1"/>
        <v>0</v>
      </c>
      <c r="H21" s="25">
        <f>D21*0</f>
        <v>0</v>
      </c>
      <c r="I21" s="25">
        <f t="shared" si="3"/>
        <v>0</v>
      </c>
      <c r="J21" s="24"/>
      <c r="K21" s="107" t="s">
        <v>101</v>
      </c>
      <c r="M21" s="25">
        <v>15</v>
      </c>
      <c r="N21" s="32"/>
      <c r="O21" s="32"/>
      <c r="P21" s="32"/>
      <c r="Q21" s="24"/>
      <c r="R21" s="25">
        <f>N21*2</f>
        <v>0</v>
      </c>
      <c r="S21" s="25">
        <f t="shared" si="5"/>
        <v>0</v>
      </c>
      <c r="T21" s="25">
        <f>P21*0</f>
        <v>0</v>
      </c>
      <c r="U21" s="25">
        <f t="shared" si="7"/>
        <v>0</v>
      </c>
      <c r="V21" s="24"/>
      <c r="W21" s="107" t="s">
        <v>101</v>
      </c>
      <c r="Y21" s="25">
        <v>15</v>
      </c>
      <c r="Z21" s="32"/>
      <c r="AA21" s="32"/>
      <c r="AB21" s="32"/>
      <c r="AC21" s="24"/>
      <c r="AD21" s="25">
        <f>Z21*2</f>
        <v>0</v>
      </c>
      <c r="AE21" s="25">
        <f t="shared" si="9"/>
        <v>0</v>
      </c>
      <c r="AF21" s="25">
        <f>AB21*0</f>
        <v>0</v>
      </c>
      <c r="AG21" s="25">
        <f t="shared" si="11"/>
        <v>0</v>
      </c>
      <c r="AH21" s="24"/>
      <c r="AI21" s="107" t="s">
        <v>101</v>
      </c>
    </row>
    <row r="22" spans="1:35" ht="21" customHeight="1">
      <c r="A22" s="25">
        <v>16</v>
      </c>
      <c r="B22" s="32"/>
      <c r="C22" s="32"/>
      <c r="D22" s="32"/>
      <c r="E22" s="24"/>
      <c r="F22" s="25">
        <f>B22*0</f>
        <v>0</v>
      </c>
      <c r="G22" s="25">
        <f t="shared" si="1"/>
        <v>0</v>
      </c>
      <c r="H22" s="25">
        <f>D22*2</f>
        <v>0</v>
      </c>
      <c r="I22" s="25">
        <f t="shared" si="3"/>
        <v>0</v>
      </c>
      <c r="J22" s="105">
        <f>I12+I17+I20+I25+I29</f>
        <v>0</v>
      </c>
      <c r="K22" s="108">
        <f>J22</f>
        <v>0</v>
      </c>
      <c r="M22" s="25">
        <v>16</v>
      </c>
      <c r="N22" s="32"/>
      <c r="O22" s="32"/>
      <c r="P22" s="32"/>
      <c r="Q22" s="24"/>
      <c r="R22" s="25">
        <f>N22*0</f>
        <v>0</v>
      </c>
      <c r="S22" s="25">
        <f t="shared" si="5"/>
        <v>0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/>
      <c r="AA22" s="32"/>
      <c r="AB22" s="32"/>
      <c r="AC22" s="24"/>
      <c r="AD22" s="25">
        <f>Z22*0</f>
        <v>0</v>
      </c>
      <c r="AE22" s="25">
        <f t="shared" si="9"/>
        <v>0</v>
      </c>
      <c r="AF22" s="25">
        <f>AB22*2</f>
        <v>0</v>
      </c>
      <c r="AG22" s="25">
        <f t="shared" si="11"/>
        <v>0</v>
      </c>
      <c r="AH22" s="105">
        <f>AG12+AG17+AG20+AG25+AG29</f>
        <v>0</v>
      </c>
      <c r="AI22" s="108">
        <f>AH22</f>
        <v>0</v>
      </c>
    </row>
    <row r="23" spans="1:35" ht="21" customHeight="1">
      <c r="A23" s="25">
        <v>17</v>
      </c>
      <c r="B23" s="32"/>
      <c r="C23" s="32"/>
      <c r="D23" s="32"/>
      <c r="E23" s="24"/>
      <c r="F23" s="25">
        <f>B23*2</f>
        <v>0</v>
      </c>
      <c r="G23" s="25">
        <f t="shared" si="1"/>
        <v>0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/>
      <c r="O23" s="32"/>
      <c r="P23" s="32"/>
      <c r="Q23" s="24"/>
      <c r="R23" s="25">
        <f>N23*2</f>
        <v>0</v>
      </c>
      <c r="S23" s="25">
        <f t="shared" si="5"/>
        <v>0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/>
      <c r="AA23" s="32"/>
      <c r="AB23" s="32"/>
      <c r="AC23" s="24"/>
      <c r="AD23" s="25">
        <f>Z23*2</f>
        <v>0</v>
      </c>
      <c r="AE23" s="25">
        <f t="shared" si="9"/>
        <v>0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/>
      <c r="C24" s="32"/>
      <c r="D24" s="32"/>
      <c r="E24" s="24"/>
      <c r="F24" s="25">
        <f>B24*2</f>
        <v>0</v>
      </c>
      <c r="G24" s="25">
        <f t="shared" si="1"/>
        <v>0</v>
      </c>
      <c r="H24" s="25">
        <f>D24*0</f>
        <v>0</v>
      </c>
      <c r="I24" s="25">
        <f t="shared" si="3"/>
        <v>0</v>
      </c>
      <c r="J24" s="24"/>
      <c r="K24" s="25"/>
      <c r="M24" s="25">
        <v>18</v>
      </c>
      <c r="N24" s="32"/>
      <c r="O24" s="32"/>
      <c r="P24" s="32"/>
      <c r="Q24" s="24"/>
      <c r="R24" s="25">
        <f>N24*2</f>
        <v>0</v>
      </c>
      <c r="S24" s="25">
        <f t="shared" si="5"/>
        <v>0</v>
      </c>
      <c r="T24" s="25">
        <f>P24*0</f>
        <v>0</v>
      </c>
      <c r="U24" s="25">
        <f t="shared" si="7"/>
        <v>0</v>
      </c>
      <c r="V24" s="24"/>
      <c r="W24" s="25"/>
      <c r="Y24" s="25">
        <v>18</v>
      </c>
      <c r="Z24" s="32"/>
      <c r="AA24" s="32"/>
      <c r="AB24" s="32"/>
      <c r="AC24" s="24"/>
      <c r="AD24" s="25">
        <f>Z24*2</f>
        <v>0</v>
      </c>
      <c r="AE24" s="25">
        <f t="shared" si="9"/>
        <v>0</v>
      </c>
      <c r="AF24" s="25">
        <f>AB24*0</f>
        <v>0</v>
      </c>
      <c r="AG24" s="25">
        <f t="shared" si="11"/>
        <v>0</v>
      </c>
      <c r="AH24" s="24"/>
      <c r="AI24" s="25"/>
    </row>
    <row r="25" spans="1:35" ht="21" customHeight="1">
      <c r="A25" s="25">
        <v>19</v>
      </c>
      <c r="B25" s="32"/>
      <c r="C25" s="32"/>
      <c r="D25" s="32"/>
      <c r="E25" s="24"/>
      <c r="F25" s="25">
        <f t="shared" ref="F25:F31" si="18">B25*0</f>
        <v>0</v>
      </c>
      <c r="G25" s="25">
        <f t="shared" si="1"/>
        <v>0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/>
      <c r="O25" s="32"/>
      <c r="P25" s="32"/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/>
      <c r="AA25" s="32"/>
      <c r="AB25" s="32"/>
      <c r="AC25" s="24"/>
      <c r="AD25" s="25">
        <f t="shared" ref="AD25:AD31" si="22">Z25*0</f>
        <v>0</v>
      </c>
      <c r="AE25" s="25">
        <f t="shared" si="9"/>
        <v>0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/>
      <c r="D26" s="32"/>
      <c r="E26" s="24"/>
      <c r="F26" s="25">
        <f t="shared" si="18"/>
        <v>0</v>
      </c>
      <c r="G26" s="25">
        <f t="shared" si="1"/>
        <v>0</v>
      </c>
      <c r="H26" s="25">
        <f t="shared" si="19"/>
        <v>0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/>
      <c r="P26" s="32"/>
      <c r="Q26" s="24"/>
      <c r="R26" s="25">
        <f t="shared" si="20"/>
        <v>0</v>
      </c>
      <c r="S26" s="25">
        <f t="shared" si="5"/>
        <v>0</v>
      </c>
      <c r="T26" s="25">
        <f t="shared" si="21"/>
        <v>0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/>
      <c r="AB26" s="32"/>
      <c r="AC26" s="24"/>
      <c r="AD26" s="25">
        <f t="shared" si="22"/>
        <v>0</v>
      </c>
      <c r="AE26" s="25">
        <f t="shared" si="9"/>
        <v>0</v>
      </c>
      <c r="AF26" s="25">
        <f t="shared" si="23"/>
        <v>0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/>
      <c r="D27" s="32"/>
      <c r="E27" s="24"/>
      <c r="F27" s="25">
        <f t="shared" si="18"/>
        <v>0</v>
      </c>
      <c r="G27" s="25">
        <f t="shared" si="1"/>
        <v>0</v>
      </c>
      <c r="H27" s="25">
        <f t="shared" si="19"/>
        <v>0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/>
      <c r="O27" s="32"/>
      <c r="P27" s="32"/>
      <c r="Q27" s="24"/>
      <c r="R27" s="25">
        <f t="shared" si="20"/>
        <v>0</v>
      </c>
      <c r="S27" s="25">
        <f t="shared" si="5"/>
        <v>0</v>
      </c>
      <c r="T27" s="25">
        <f t="shared" si="21"/>
        <v>0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/>
      <c r="AA27" s="32"/>
      <c r="AB27" s="32"/>
      <c r="AC27" s="24"/>
      <c r="AD27" s="25">
        <f t="shared" si="22"/>
        <v>0</v>
      </c>
      <c r="AE27" s="25">
        <f t="shared" si="9"/>
        <v>0</v>
      </c>
      <c r="AF27" s="25">
        <f t="shared" si="23"/>
        <v>0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/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/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/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/>
      <c r="C29" s="32"/>
      <c r="D29" s="32"/>
      <c r="E29" s="24"/>
      <c r="F29" s="25">
        <f t="shared" si="18"/>
        <v>0</v>
      </c>
      <c r="G29" s="25">
        <f t="shared" si="1"/>
        <v>0</v>
      </c>
      <c r="H29" s="25">
        <f t="shared" si="19"/>
        <v>0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/>
      <c r="P29" s="32"/>
      <c r="Q29" s="24"/>
      <c r="R29" s="25">
        <f t="shared" si="20"/>
        <v>0</v>
      </c>
      <c r="S29" s="25">
        <f t="shared" si="5"/>
        <v>0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/>
      <c r="AA29" s="32"/>
      <c r="AB29" s="32"/>
      <c r="AC29" s="24"/>
      <c r="AD29" s="25">
        <f t="shared" si="22"/>
        <v>0</v>
      </c>
      <c r="AE29" s="25">
        <f t="shared" si="9"/>
        <v>0</v>
      </c>
      <c r="AF29" s="25">
        <f t="shared" si="23"/>
        <v>0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/>
      <c r="C30" s="32"/>
      <c r="D30" s="32"/>
      <c r="E30" s="24"/>
      <c r="F30" s="25">
        <f t="shared" si="18"/>
        <v>0</v>
      </c>
      <c r="G30" s="25">
        <f t="shared" si="1"/>
        <v>0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/>
      <c r="O30" s="32"/>
      <c r="P30" s="32"/>
      <c r="Q30" s="24"/>
      <c r="R30" s="25">
        <f t="shared" si="20"/>
        <v>0</v>
      </c>
      <c r="S30" s="25">
        <f t="shared" si="5"/>
        <v>0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/>
      <c r="AA30" s="32"/>
      <c r="AB30" s="32"/>
      <c r="AC30" s="24"/>
      <c r="AD30" s="25">
        <f t="shared" si="22"/>
        <v>0</v>
      </c>
      <c r="AE30" s="25">
        <f t="shared" si="9"/>
        <v>0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/>
      <c r="D31" s="32"/>
      <c r="E31" s="24"/>
      <c r="F31" s="25">
        <f t="shared" si="18"/>
        <v>0</v>
      </c>
      <c r="G31" s="25">
        <f t="shared" si="1"/>
        <v>0</v>
      </c>
      <c r="H31" s="25">
        <f t="shared" si="19"/>
        <v>0</v>
      </c>
      <c r="I31" s="25">
        <f t="shared" si="3"/>
        <v>0</v>
      </c>
      <c r="J31" s="24"/>
      <c r="K31" s="108">
        <f>K7+K12+K17+K22</f>
        <v>0</v>
      </c>
      <c r="M31" s="25">
        <v>25</v>
      </c>
      <c r="N31" s="32"/>
      <c r="O31" s="32"/>
      <c r="P31" s="32"/>
      <c r="Q31" s="24"/>
      <c r="R31" s="25">
        <f t="shared" si="20"/>
        <v>0</v>
      </c>
      <c r="S31" s="25">
        <f t="shared" si="5"/>
        <v>0</v>
      </c>
      <c r="T31" s="25">
        <f t="shared" si="21"/>
        <v>0</v>
      </c>
      <c r="U31" s="25">
        <f t="shared" si="7"/>
        <v>0</v>
      </c>
      <c r="V31" s="24"/>
      <c r="W31" s="108">
        <f>W7+W12+W17+W22</f>
        <v>0</v>
      </c>
      <c r="Y31" s="25">
        <v>25</v>
      </c>
      <c r="Z31" s="32"/>
      <c r="AA31" s="32"/>
      <c r="AB31" s="32"/>
      <c r="AC31" s="24"/>
      <c r="AD31" s="25">
        <f t="shared" si="22"/>
        <v>0</v>
      </c>
      <c r="AE31" s="25">
        <f t="shared" si="9"/>
        <v>0</v>
      </c>
      <c r="AF31" s="25">
        <f t="shared" si="23"/>
        <v>0</v>
      </c>
      <c r="AG31" s="25">
        <f t="shared" si="11"/>
        <v>0</v>
      </c>
      <c r="AH31" s="24"/>
      <c r="AI31" s="108">
        <f>AI7+AI12+AI17+AI22</f>
        <v>0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7"/>
  </sheetPr>
  <dimension ref="A1:AI41"/>
  <sheetViews>
    <sheetView zoomScale="150" workbookViewId="0">
      <selection activeCell="AI3" sqref="AI3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>
        <f>รายชื่อ!B39</f>
        <v>0</v>
      </c>
      <c r="C3" s="110">
        <f>รายชื่อ!C39</f>
        <v>0</v>
      </c>
      <c r="D3" s="110">
        <f>รายชื่อ!D39</f>
        <v>0</v>
      </c>
      <c r="E3" s="60"/>
      <c r="F3" s="103"/>
      <c r="G3" s="165"/>
      <c r="H3" s="165"/>
      <c r="I3" s="165"/>
      <c r="J3" s="25"/>
      <c r="K3" s="106" t="s">
        <v>65</v>
      </c>
      <c r="M3" s="25" t="s">
        <v>85</v>
      </c>
      <c r="N3" s="110">
        <f>รายชื่อ!B39</f>
        <v>0</v>
      </c>
      <c r="O3" s="110">
        <f>รายชื่อ!C39</f>
        <v>0</v>
      </c>
      <c r="P3" s="110">
        <f>รายชื่อ!D39</f>
        <v>0</v>
      </c>
      <c r="Q3" s="60"/>
      <c r="R3" s="103"/>
      <c r="S3" s="165"/>
      <c r="T3" s="165"/>
      <c r="U3" s="165"/>
      <c r="V3" s="25"/>
      <c r="W3" s="106" t="s">
        <v>65</v>
      </c>
      <c r="Y3" s="25" t="s">
        <v>85</v>
      </c>
      <c r="Z3" s="110">
        <f>รายชื่อ!B39</f>
        <v>0</v>
      </c>
      <c r="AA3" s="110">
        <f>รายชื่อ!C39</f>
        <v>0</v>
      </c>
      <c r="AB3" s="110">
        <f>รายชื่อ!D39</f>
        <v>0</v>
      </c>
      <c r="AC3" s="60"/>
      <c r="AD3" s="103"/>
      <c r="AE3" s="165"/>
      <c r="AF3" s="165"/>
      <c r="AG3" s="165"/>
      <c r="AH3" s="25"/>
      <c r="AI3" s="106" t="s">
        <v>65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/>
      <c r="C7" s="32"/>
      <c r="D7" s="32"/>
      <c r="E7" s="24"/>
      <c r="F7" s="25">
        <f t="shared" ref="F7:F12" si="0">B7*0</f>
        <v>0</v>
      </c>
      <c r="G7" s="25">
        <f t="shared" ref="G7:G31" si="1">C7*1</f>
        <v>0</v>
      </c>
      <c r="H7" s="25">
        <f t="shared" ref="H7:H12" si="2">D7*2</f>
        <v>0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/>
      <c r="O7" s="32"/>
      <c r="P7" s="32"/>
      <c r="Q7" s="24"/>
      <c r="R7" s="25">
        <f t="shared" ref="R7:R12" si="4">N7*0</f>
        <v>0</v>
      </c>
      <c r="S7" s="25">
        <f t="shared" ref="S7:S31" si="5">O7*1</f>
        <v>0</v>
      </c>
      <c r="T7" s="25">
        <f t="shared" ref="T7:T12" si="6">P7*2</f>
        <v>0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/>
      <c r="AB7" s="32"/>
      <c r="AC7" s="24"/>
      <c r="AD7" s="25">
        <f t="shared" ref="AD7:AD12" si="8">Z7*0</f>
        <v>0</v>
      </c>
      <c r="AE7" s="25">
        <f t="shared" ref="AE7:AE31" si="9">AA7*1</f>
        <v>0</v>
      </c>
      <c r="AF7" s="25">
        <f t="shared" ref="AF7:AF12" si="10">AB7*2</f>
        <v>0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/>
      <c r="C8" s="32"/>
      <c r="D8" s="32"/>
      <c r="E8" s="24"/>
      <c r="F8" s="25">
        <f t="shared" si="0"/>
        <v>0</v>
      </c>
      <c r="G8" s="25">
        <f t="shared" si="1"/>
        <v>0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/>
      <c r="O8" s="32"/>
      <c r="P8" s="32"/>
      <c r="Q8" s="24"/>
      <c r="R8" s="25">
        <f t="shared" si="4"/>
        <v>0</v>
      </c>
      <c r="S8" s="25">
        <f t="shared" si="5"/>
        <v>0</v>
      </c>
      <c r="T8" s="25">
        <f t="shared" si="6"/>
        <v>0</v>
      </c>
      <c r="U8" s="25">
        <f t="shared" si="7"/>
        <v>0</v>
      </c>
      <c r="V8" s="24"/>
      <c r="W8" s="25"/>
      <c r="Y8" s="25">
        <v>2</v>
      </c>
      <c r="Z8" s="32"/>
      <c r="AA8" s="32"/>
      <c r="AB8" s="32"/>
      <c r="AC8" s="24"/>
      <c r="AD8" s="25">
        <f t="shared" si="8"/>
        <v>0</v>
      </c>
      <c r="AE8" s="25">
        <f t="shared" si="9"/>
        <v>0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/>
      <c r="C9" s="32"/>
      <c r="D9" s="32"/>
      <c r="E9" s="24"/>
      <c r="F9" s="25">
        <f t="shared" si="0"/>
        <v>0</v>
      </c>
      <c r="G9" s="25">
        <f t="shared" si="1"/>
        <v>0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/>
      <c r="O9" s="32"/>
      <c r="P9" s="32"/>
      <c r="Q9" s="24"/>
      <c r="R9" s="25">
        <f t="shared" si="4"/>
        <v>0</v>
      </c>
      <c r="S9" s="25">
        <f t="shared" si="5"/>
        <v>0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/>
      <c r="AA9" s="32"/>
      <c r="AB9" s="32"/>
      <c r="AC9" s="24"/>
      <c r="AD9" s="25">
        <f t="shared" si="8"/>
        <v>0</v>
      </c>
      <c r="AE9" s="25">
        <f t="shared" si="9"/>
        <v>0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/>
      <c r="D10" s="32"/>
      <c r="E10" s="24"/>
      <c r="F10" s="25">
        <f t="shared" si="0"/>
        <v>0</v>
      </c>
      <c r="G10" s="25">
        <f t="shared" si="1"/>
        <v>0</v>
      </c>
      <c r="H10" s="25">
        <f t="shared" si="2"/>
        <v>0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/>
      <c r="P10" s="32"/>
      <c r="Q10" s="24"/>
      <c r="R10" s="25">
        <f t="shared" si="4"/>
        <v>0</v>
      </c>
      <c r="S10" s="25">
        <f t="shared" si="5"/>
        <v>0</v>
      </c>
      <c r="T10" s="25">
        <f t="shared" si="6"/>
        <v>0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/>
      <c r="AB10" s="32"/>
      <c r="AC10" s="24"/>
      <c r="AD10" s="25">
        <f t="shared" si="8"/>
        <v>0</v>
      </c>
      <c r="AE10" s="25">
        <f t="shared" si="9"/>
        <v>0</v>
      </c>
      <c r="AF10" s="25">
        <f t="shared" si="10"/>
        <v>0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/>
      <c r="C11" s="32"/>
      <c r="D11" s="32"/>
      <c r="E11" s="24"/>
      <c r="F11" s="25">
        <f t="shared" si="0"/>
        <v>0</v>
      </c>
      <c r="G11" s="25">
        <f t="shared" si="1"/>
        <v>0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/>
      <c r="O11" s="32"/>
      <c r="P11" s="32"/>
      <c r="Q11" s="24"/>
      <c r="R11" s="25">
        <f t="shared" si="4"/>
        <v>0</v>
      </c>
      <c r="S11" s="25">
        <f t="shared" si="5"/>
        <v>0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/>
      <c r="AA11" s="32"/>
      <c r="AB11" s="32"/>
      <c r="AC11" s="24"/>
      <c r="AD11" s="25">
        <f t="shared" si="8"/>
        <v>0</v>
      </c>
      <c r="AE11" s="25">
        <f t="shared" si="9"/>
        <v>0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/>
      <c r="C12" s="32"/>
      <c r="D12" s="32"/>
      <c r="E12" s="24"/>
      <c r="F12" s="25">
        <f t="shared" si="0"/>
        <v>0</v>
      </c>
      <c r="G12" s="25">
        <f t="shared" si="1"/>
        <v>0</v>
      </c>
      <c r="H12" s="25">
        <f t="shared" si="2"/>
        <v>0</v>
      </c>
      <c r="I12" s="25">
        <f t="shared" si="3"/>
        <v>0</v>
      </c>
      <c r="J12" s="105">
        <f>I11+I13+I18+I24+I28</f>
        <v>0</v>
      </c>
      <c r="K12" s="108">
        <f>J12</f>
        <v>0</v>
      </c>
      <c r="M12" s="25">
        <v>6</v>
      </c>
      <c r="N12" s="32"/>
      <c r="O12" s="32"/>
      <c r="P12" s="32"/>
      <c r="Q12" s="24"/>
      <c r="R12" s="25">
        <f t="shared" si="4"/>
        <v>0</v>
      </c>
      <c r="S12" s="25">
        <f t="shared" si="5"/>
        <v>0</v>
      </c>
      <c r="T12" s="25">
        <f t="shared" si="6"/>
        <v>0</v>
      </c>
      <c r="U12" s="25">
        <f t="shared" si="7"/>
        <v>0</v>
      </c>
      <c r="V12" s="105">
        <f>U11+U13+U18+U24+U28</f>
        <v>0</v>
      </c>
      <c r="W12" s="108">
        <f>V12</f>
        <v>0</v>
      </c>
      <c r="Y12" s="25">
        <v>6</v>
      </c>
      <c r="Z12" s="32"/>
      <c r="AA12" s="32"/>
      <c r="AB12" s="32"/>
      <c r="AC12" s="24"/>
      <c r="AD12" s="25">
        <f t="shared" si="8"/>
        <v>0</v>
      </c>
      <c r="AE12" s="25">
        <f t="shared" si="9"/>
        <v>0</v>
      </c>
      <c r="AF12" s="25">
        <f t="shared" si="10"/>
        <v>0</v>
      </c>
      <c r="AG12" s="25">
        <f t="shared" si="11"/>
        <v>0</v>
      </c>
      <c r="AH12" s="105">
        <f>AG11+AG13+AG18+AG24+AG28</f>
        <v>0</v>
      </c>
      <c r="AI12" s="108">
        <f>AH12</f>
        <v>0</v>
      </c>
    </row>
    <row r="13" spans="1:35" ht="21" customHeight="1">
      <c r="A13" s="25">
        <v>7</v>
      </c>
      <c r="B13" s="32"/>
      <c r="C13" s="32"/>
      <c r="D13" s="32"/>
      <c r="E13" s="24"/>
      <c r="F13" s="25">
        <f>B13*2</f>
        <v>0</v>
      </c>
      <c r="G13" s="25">
        <f t="shared" si="1"/>
        <v>0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/>
      <c r="P13" s="32"/>
      <c r="Q13" s="24"/>
      <c r="R13" s="25">
        <f>N13*2</f>
        <v>0</v>
      </c>
      <c r="S13" s="25">
        <f t="shared" si="5"/>
        <v>0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/>
      <c r="AA13" s="32"/>
      <c r="AB13" s="32"/>
      <c r="AC13" s="24"/>
      <c r="AD13" s="25">
        <f>Z13*2</f>
        <v>0</v>
      </c>
      <c r="AE13" s="25">
        <f t="shared" si="9"/>
        <v>0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/>
      <c r="C14" s="32"/>
      <c r="D14" s="32"/>
      <c r="E14" s="24"/>
      <c r="F14" s="25">
        <f t="shared" ref="F14:F19" si="12">B14*0</f>
        <v>0</v>
      </c>
      <c r="G14" s="25">
        <f t="shared" si="1"/>
        <v>0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/>
      <c r="O14" s="32"/>
      <c r="P14" s="32"/>
      <c r="Q14" s="24"/>
      <c r="R14" s="25">
        <f t="shared" ref="R14:R19" si="14">N14*0</f>
        <v>0</v>
      </c>
      <c r="S14" s="25">
        <f t="shared" si="5"/>
        <v>0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/>
      <c r="AA14" s="32"/>
      <c r="AB14" s="32"/>
      <c r="AC14" s="24"/>
      <c r="AD14" s="25">
        <f t="shared" ref="AD14:AD19" si="16">Z14*0</f>
        <v>0</v>
      </c>
      <c r="AE14" s="25">
        <f t="shared" si="9"/>
        <v>0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/>
      <c r="D15" s="32"/>
      <c r="E15" s="24"/>
      <c r="F15" s="25">
        <f t="shared" si="12"/>
        <v>0</v>
      </c>
      <c r="G15" s="25">
        <f t="shared" si="1"/>
        <v>0</v>
      </c>
      <c r="H15" s="25">
        <f t="shared" si="13"/>
        <v>0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/>
      <c r="P15" s="32"/>
      <c r="Q15" s="24"/>
      <c r="R15" s="25">
        <f t="shared" si="14"/>
        <v>0</v>
      </c>
      <c r="S15" s="25">
        <f t="shared" si="5"/>
        <v>0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/>
      <c r="AA15" s="32"/>
      <c r="AB15" s="32"/>
      <c r="AC15" s="24"/>
      <c r="AD15" s="25">
        <f t="shared" si="16"/>
        <v>0</v>
      </c>
      <c r="AE15" s="25">
        <f t="shared" si="9"/>
        <v>0</v>
      </c>
      <c r="AF15" s="25">
        <f t="shared" si="17"/>
        <v>0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/>
      <c r="C16" s="32"/>
      <c r="D16" s="32"/>
      <c r="E16" s="24"/>
      <c r="F16" s="25">
        <f t="shared" si="12"/>
        <v>0</v>
      </c>
      <c r="G16" s="25">
        <f t="shared" si="1"/>
        <v>0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/>
      <c r="O16" s="32"/>
      <c r="P16" s="32"/>
      <c r="Q16" s="24"/>
      <c r="R16" s="25">
        <f t="shared" si="14"/>
        <v>0</v>
      </c>
      <c r="S16" s="25">
        <f t="shared" si="5"/>
        <v>0</v>
      </c>
      <c r="T16" s="25">
        <f t="shared" si="15"/>
        <v>0</v>
      </c>
      <c r="U16" s="25">
        <f t="shared" si="7"/>
        <v>0</v>
      </c>
      <c r="V16" s="24"/>
      <c r="W16" s="107" t="s">
        <v>99</v>
      </c>
      <c r="Y16" s="25">
        <v>10</v>
      </c>
      <c r="Z16" s="32"/>
      <c r="AA16" s="32"/>
      <c r="AB16" s="32"/>
      <c r="AC16" s="24"/>
      <c r="AD16" s="25">
        <f t="shared" si="16"/>
        <v>0</v>
      </c>
      <c r="AE16" s="25">
        <f t="shared" si="9"/>
        <v>0</v>
      </c>
      <c r="AF16" s="25">
        <f t="shared" si="17"/>
        <v>0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/>
      <c r="D17" s="32"/>
      <c r="E17" s="24"/>
      <c r="F17" s="25">
        <f t="shared" si="12"/>
        <v>0</v>
      </c>
      <c r="G17" s="25">
        <f t="shared" si="1"/>
        <v>0</v>
      </c>
      <c r="H17" s="25">
        <f t="shared" si="13"/>
        <v>0</v>
      </c>
      <c r="I17" s="25">
        <f t="shared" si="3"/>
        <v>0</v>
      </c>
      <c r="J17" s="105">
        <f>I8+I16+I21+I27+I31</f>
        <v>0</v>
      </c>
      <c r="K17" s="108">
        <f>J17</f>
        <v>0</v>
      </c>
      <c r="M17" s="25">
        <v>11</v>
      </c>
      <c r="N17" s="32"/>
      <c r="O17" s="32"/>
      <c r="P17" s="32"/>
      <c r="Q17" s="24"/>
      <c r="R17" s="25">
        <f t="shared" si="14"/>
        <v>0</v>
      </c>
      <c r="S17" s="25">
        <f t="shared" si="5"/>
        <v>0</v>
      </c>
      <c r="T17" s="25">
        <f t="shared" si="15"/>
        <v>0</v>
      </c>
      <c r="U17" s="25">
        <f t="shared" si="7"/>
        <v>0</v>
      </c>
      <c r="V17" s="105">
        <f>U8+U16+U21+U27+U31</f>
        <v>0</v>
      </c>
      <c r="W17" s="108">
        <f>V17</f>
        <v>0</v>
      </c>
      <c r="Y17" s="25">
        <v>11</v>
      </c>
      <c r="Z17" s="32"/>
      <c r="AA17" s="32"/>
      <c r="AB17" s="32"/>
      <c r="AC17" s="24"/>
      <c r="AD17" s="25">
        <f t="shared" si="16"/>
        <v>0</v>
      </c>
      <c r="AE17" s="25">
        <f t="shared" si="9"/>
        <v>0</v>
      </c>
      <c r="AF17" s="25">
        <f t="shared" si="17"/>
        <v>0</v>
      </c>
      <c r="AG17" s="25">
        <f t="shared" si="11"/>
        <v>0</v>
      </c>
      <c r="AH17" s="105">
        <f>AG8+AG16+AG21+AG27+AG31</f>
        <v>0</v>
      </c>
      <c r="AI17" s="108">
        <f>AH17</f>
        <v>0</v>
      </c>
    </row>
    <row r="18" spans="1:35" ht="21" customHeight="1">
      <c r="A18" s="25">
        <v>12</v>
      </c>
      <c r="B18" s="32"/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/>
      <c r="O18" s="32"/>
      <c r="P18" s="32"/>
      <c r="Q18" s="24"/>
      <c r="R18" s="25">
        <f t="shared" si="14"/>
        <v>0</v>
      </c>
      <c r="S18" s="25">
        <f t="shared" si="5"/>
        <v>0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/>
      <c r="AA18" s="32"/>
      <c r="AB18" s="32"/>
      <c r="AC18" s="24"/>
      <c r="AD18" s="25">
        <f t="shared" si="16"/>
        <v>0</v>
      </c>
      <c r="AE18" s="25">
        <f t="shared" si="9"/>
        <v>0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/>
      <c r="C19" s="32"/>
      <c r="D19" s="32"/>
      <c r="E19" s="24"/>
      <c r="F19" s="25">
        <f t="shared" si="12"/>
        <v>0</v>
      </c>
      <c r="G19" s="25">
        <f t="shared" si="1"/>
        <v>0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/>
      <c r="O19" s="32"/>
      <c r="P19" s="32"/>
      <c r="Q19" s="24"/>
      <c r="R19" s="25">
        <f t="shared" si="14"/>
        <v>0</v>
      </c>
      <c r="S19" s="25">
        <f t="shared" si="5"/>
        <v>0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/>
      <c r="AA19" s="32"/>
      <c r="AB19" s="32"/>
      <c r="AC19" s="24"/>
      <c r="AD19" s="25">
        <f t="shared" si="16"/>
        <v>0</v>
      </c>
      <c r="AE19" s="25">
        <f t="shared" si="9"/>
        <v>0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/>
      <c r="C20" s="32"/>
      <c r="D20" s="32"/>
      <c r="E20" s="24"/>
      <c r="F20" s="25">
        <f>B20*2</f>
        <v>0</v>
      </c>
      <c r="G20" s="25">
        <f t="shared" si="1"/>
        <v>0</v>
      </c>
      <c r="H20" s="25">
        <f>D20*0</f>
        <v>0</v>
      </c>
      <c r="I20" s="25">
        <f t="shared" si="3"/>
        <v>0</v>
      </c>
      <c r="J20" s="24"/>
      <c r="K20" s="107" t="s">
        <v>100</v>
      </c>
      <c r="M20" s="25">
        <v>14</v>
      </c>
      <c r="N20" s="32"/>
      <c r="O20" s="32"/>
      <c r="P20" s="32"/>
      <c r="Q20" s="24"/>
      <c r="R20" s="25">
        <f>N20*2</f>
        <v>0</v>
      </c>
      <c r="S20" s="25">
        <f t="shared" si="5"/>
        <v>0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/>
      <c r="AA20" s="32"/>
      <c r="AB20" s="32"/>
      <c r="AC20" s="24"/>
      <c r="AD20" s="25">
        <f>Z20*2</f>
        <v>0</v>
      </c>
      <c r="AE20" s="25">
        <f t="shared" si="9"/>
        <v>0</v>
      </c>
      <c r="AF20" s="25">
        <f>AB20*0</f>
        <v>0</v>
      </c>
      <c r="AG20" s="25">
        <f t="shared" si="11"/>
        <v>0</v>
      </c>
      <c r="AH20" s="24"/>
      <c r="AI20" s="107" t="s">
        <v>100</v>
      </c>
    </row>
    <row r="21" spans="1:35" ht="21" customHeight="1">
      <c r="A21" s="25">
        <v>15</v>
      </c>
      <c r="B21" s="32"/>
      <c r="C21" s="32"/>
      <c r="D21" s="32"/>
      <c r="E21" s="24"/>
      <c r="F21" s="25">
        <f>B21*2</f>
        <v>0</v>
      </c>
      <c r="G21" s="25">
        <f t="shared" si="1"/>
        <v>0</v>
      </c>
      <c r="H21" s="25">
        <f>D21*0</f>
        <v>0</v>
      </c>
      <c r="I21" s="25">
        <f t="shared" si="3"/>
        <v>0</v>
      </c>
      <c r="J21" s="24"/>
      <c r="K21" s="107" t="s">
        <v>101</v>
      </c>
      <c r="M21" s="25">
        <v>15</v>
      </c>
      <c r="N21" s="32"/>
      <c r="O21" s="32"/>
      <c r="P21" s="32"/>
      <c r="Q21" s="24"/>
      <c r="R21" s="25">
        <f>N21*2</f>
        <v>0</v>
      </c>
      <c r="S21" s="25">
        <f t="shared" si="5"/>
        <v>0</v>
      </c>
      <c r="T21" s="25">
        <f>P21*0</f>
        <v>0</v>
      </c>
      <c r="U21" s="25">
        <f t="shared" si="7"/>
        <v>0</v>
      </c>
      <c r="V21" s="24"/>
      <c r="W21" s="107" t="s">
        <v>101</v>
      </c>
      <c r="Y21" s="25">
        <v>15</v>
      </c>
      <c r="Z21" s="32"/>
      <c r="AA21" s="32"/>
      <c r="AB21" s="32"/>
      <c r="AC21" s="24"/>
      <c r="AD21" s="25">
        <f>Z21*2</f>
        <v>0</v>
      </c>
      <c r="AE21" s="25">
        <f t="shared" si="9"/>
        <v>0</v>
      </c>
      <c r="AF21" s="25">
        <f>AB21*0</f>
        <v>0</v>
      </c>
      <c r="AG21" s="25">
        <f t="shared" si="11"/>
        <v>0</v>
      </c>
      <c r="AH21" s="24"/>
      <c r="AI21" s="107" t="s">
        <v>101</v>
      </c>
    </row>
    <row r="22" spans="1:35" ht="21" customHeight="1">
      <c r="A22" s="25">
        <v>16</v>
      </c>
      <c r="B22" s="32"/>
      <c r="C22" s="32"/>
      <c r="D22" s="32"/>
      <c r="E22" s="24"/>
      <c r="F22" s="25">
        <f>B22*0</f>
        <v>0</v>
      </c>
      <c r="G22" s="25">
        <f t="shared" si="1"/>
        <v>0</v>
      </c>
      <c r="H22" s="25">
        <f>D22*2</f>
        <v>0</v>
      </c>
      <c r="I22" s="25">
        <f t="shared" si="3"/>
        <v>0</v>
      </c>
      <c r="J22" s="105">
        <f>I12+I17+I20+I25+I29</f>
        <v>0</v>
      </c>
      <c r="K22" s="108">
        <f>J22</f>
        <v>0</v>
      </c>
      <c r="M22" s="25">
        <v>16</v>
      </c>
      <c r="N22" s="32"/>
      <c r="O22" s="32"/>
      <c r="P22" s="32"/>
      <c r="Q22" s="24"/>
      <c r="R22" s="25">
        <f>N22*0</f>
        <v>0</v>
      </c>
      <c r="S22" s="25">
        <f t="shared" si="5"/>
        <v>0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/>
      <c r="AA22" s="32"/>
      <c r="AB22" s="32"/>
      <c r="AC22" s="24"/>
      <c r="AD22" s="25">
        <f>Z22*0</f>
        <v>0</v>
      </c>
      <c r="AE22" s="25">
        <f t="shared" si="9"/>
        <v>0</v>
      </c>
      <c r="AF22" s="25">
        <f>AB22*2</f>
        <v>0</v>
      </c>
      <c r="AG22" s="25">
        <f t="shared" si="11"/>
        <v>0</v>
      </c>
      <c r="AH22" s="105">
        <f>AG12+AG17+AG20+AG25+AG29</f>
        <v>0</v>
      </c>
      <c r="AI22" s="108">
        <f>AH22</f>
        <v>0</v>
      </c>
    </row>
    <row r="23" spans="1:35" ht="21" customHeight="1">
      <c r="A23" s="25">
        <v>17</v>
      </c>
      <c r="B23" s="32"/>
      <c r="C23" s="32"/>
      <c r="D23" s="32"/>
      <c r="E23" s="24"/>
      <c r="F23" s="25">
        <f>B23*2</f>
        <v>0</v>
      </c>
      <c r="G23" s="25">
        <f t="shared" si="1"/>
        <v>0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/>
      <c r="O23" s="32"/>
      <c r="P23" s="32"/>
      <c r="Q23" s="24"/>
      <c r="R23" s="25">
        <f>N23*2</f>
        <v>0</v>
      </c>
      <c r="S23" s="25">
        <f t="shared" si="5"/>
        <v>0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/>
      <c r="AA23" s="32"/>
      <c r="AB23" s="32"/>
      <c r="AC23" s="24"/>
      <c r="AD23" s="25">
        <f>Z23*2</f>
        <v>0</v>
      </c>
      <c r="AE23" s="25">
        <f t="shared" si="9"/>
        <v>0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/>
      <c r="C24" s="32"/>
      <c r="D24" s="32"/>
      <c r="E24" s="24"/>
      <c r="F24" s="25">
        <f>B24*2</f>
        <v>0</v>
      </c>
      <c r="G24" s="25">
        <f t="shared" si="1"/>
        <v>0</v>
      </c>
      <c r="H24" s="25">
        <f>D24*0</f>
        <v>0</v>
      </c>
      <c r="I24" s="25">
        <f t="shared" si="3"/>
        <v>0</v>
      </c>
      <c r="J24" s="24"/>
      <c r="K24" s="25"/>
      <c r="M24" s="25">
        <v>18</v>
      </c>
      <c r="N24" s="32"/>
      <c r="O24" s="32"/>
      <c r="P24" s="32"/>
      <c r="Q24" s="24"/>
      <c r="R24" s="25">
        <f>N24*2</f>
        <v>0</v>
      </c>
      <c r="S24" s="25">
        <f t="shared" si="5"/>
        <v>0</v>
      </c>
      <c r="T24" s="25">
        <f>P24*0</f>
        <v>0</v>
      </c>
      <c r="U24" s="25">
        <f t="shared" si="7"/>
        <v>0</v>
      </c>
      <c r="V24" s="24"/>
      <c r="W24" s="25"/>
      <c r="Y24" s="25">
        <v>18</v>
      </c>
      <c r="Z24" s="32"/>
      <c r="AA24" s="32"/>
      <c r="AB24" s="32"/>
      <c r="AC24" s="24"/>
      <c r="AD24" s="25">
        <f>Z24*2</f>
        <v>0</v>
      </c>
      <c r="AE24" s="25">
        <f t="shared" si="9"/>
        <v>0</v>
      </c>
      <c r="AF24" s="25">
        <f>AB24*0</f>
        <v>0</v>
      </c>
      <c r="AG24" s="25">
        <f t="shared" si="11"/>
        <v>0</v>
      </c>
      <c r="AH24" s="24"/>
      <c r="AI24" s="25"/>
    </row>
    <row r="25" spans="1:35" ht="21" customHeight="1">
      <c r="A25" s="25">
        <v>19</v>
      </c>
      <c r="B25" s="32"/>
      <c r="C25" s="32"/>
      <c r="D25" s="32"/>
      <c r="E25" s="24"/>
      <c r="F25" s="25">
        <f t="shared" ref="F25:F31" si="18">B25*0</f>
        <v>0</v>
      </c>
      <c r="G25" s="25">
        <f t="shared" si="1"/>
        <v>0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/>
      <c r="O25" s="32"/>
      <c r="P25" s="32"/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/>
      <c r="AA25" s="32"/>
      <c r="AB25" s="32"/>
      <c r="AC25" s="24"/>
      <c r="AD25" s="25">
        <f t="shared" ref="AD25:AD31" si="22">Z25*0</f>
        <v>0</v>
      </c>
      <c r="AE25" s="25">
        <f t="shared" si="9"/>
        <v>0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/>
      <c r="D26" s="32"/>
      <c r="E26" s="24"/>
      <c r="F26" s="25">
        <f t="shared" si="18"/>
        <v>0</v>
      </c>
      <c r="G26" s="25">
        <f t="shared" si="1"/>
        <v>0</v>
      </c>
      <c r="H26" s="25">
        <f t="shared" si="19"/>
        <v>0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/>
      <c r="P26" s="32"/>
      <c r="Q26" s="24"/>
      <c r="R26" s="25">
        <f t="shared" si="20"/>
        <v>0</v>
      </c>
      <c r="S26" s="25">
        <f t="shared" si="5"/>
        <v>0</v>
      </c>
      <c r="T26" s="25">
        <f t="shared" si="21"/>
        <v>0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/>
      <c r="AB26" s="32"/>
      <c r="AC26" s="24"/>
      <c r="AD26" s="25">
        <f t="shared" si="22"/>
        <v>0</v>
      </c>
      <c r="AE26" s="25">
        <f t="shared" si="9"/>
        <v>0</v>
      </c>
      <c r="AF26" s="25">
        <f t="shared" si="23"/>
        <v>0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/>
      <c r="D27" s="32"/>
      <c r="E27" s="24"/>
      <c r="F27" s="25">
        <f t="shared" si="18"/>
        <v>0</v>
      </c>
      <c r="G27" s="25">
        <f t="shared" si="1"/>
        <v>0</v>
      </c>
      <c r="H27" s="25">
        <f t="shared" si="19"/>
        <v>0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/>
      <c r="O27" s="32"/>
      <c r="P27" s="32"/>
      <c r="Q27" s="24"/>
      <c r="R27" s="25">
        <f t="shared" si="20"/>
        <v>0</v>
      </c>
      <c r="S27" s="25">
        <f t="shared" si="5"/>
        <v>0</v>
      </c>
      <c r="T27" s="25">
        <f t="shared" si="21"/>
        <v>0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/>
      <c r="AA27" s="32"/>
      <c r="AB27" s="32"/>
      <c r="AC27" s="24"/>
      <c r="AD27" s="25">
        <f t="shared" si="22"/>
        <v>0</v>
      </c>
      <c r="AE27" s="25">
        <f t="shared" si="9"/>
        <v>0</v>
      </c>
      <c r="AF27" s="25">
        <f t="shared" si="23"/>
        <v>0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/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/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/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/>
      <c r="C29" s="32"/>
      <c r="D29" s="32"/>
      <c r="E29" s="24"/>
      <c r="F29" s="25">
        <f t="shared" si="18"/>
        <v>0</v>
      </c>
      <c r="G29" s="25">
        <f t="shared" si="1"/>
        <v>0</v>
      </c>
      <c r="H29" s="25">
        <f t="shared" si="19"/>
        <v>0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/>
      <c r="P29" s="32"/>
      <c r="Q29" s="24"/>
      <c r="R29" s="25">
        <f t="shared" si="20"/>
        <v>0</v>
      </c>
      <c r="S29" s="25">
        <f t="shared" si="5"/>
        <v>0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/>
      <c r="AA29" s="32"/>
      <c r="AB29" s="32"/>
      <c r="AC29" s="24"/>
      <c r="AD29" s="25">
        <f t="shared" si="22"/>
        <v>0</v>
      </c>
      <c r="AE29" s="25">
        <f t="shared" si="9"/>
        <v>0</v>
      </c>
      <c r="AF29" s="25">
        <f t="shared" si="23"/>
        <v>0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/>
      <c r="C30" s="32"/>
      <c r="D30" s="32"/>
      <c r="E30" s="24"/>
      <c r="F30" s="25">
        <f t="shared" si="18"/>
        <v>0</v>
      </c>
      <c r="G30" s="25">
        <f t="shared" si="1"/>
        <v>0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/>
      <c r="O30" s="32"/>
      <c r="P30" s="32"/>
      <c r="Q30" s="24"/>
      <c r="R30" s="25">
        <f t="shared" si="20"/>
        <v>0</v>
      </c>
      <c r="S30" s="25">
        <f t="shared" si="5"/>
        <v>0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/>
      <c r="AA30" s="32"/>
      <c r="AB30" s="32"/>
      <c r="AC30" s="24"/>
      <c r="AD30" s="25">
        <f t="shared" si="22"/>
        <v>0</v>
      </c>
      <c r="AE30" s="25">
        <f t="shared" si="9"/>
        <v>0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/>
      <c r="D31" s="32"/>
      <c r="E31" s="24"/>
      <c r="F31" s="25">
        <f t="shared" si="18"/>
        <v>0</v>
      </c>
      <c r="G31" s="25">
        <f t="shared" si="1"/>
        <v>0</v>
      </c>
      <c r="H31" s="25">
        <f t="shared" si="19"/>
        <v>0</v>
      </c>
      <c r="I31" s="25">
        <f t="shared" si="3"/>
        <v>0</v>
      </c>
      <c r="J31" s="24"/>
      <c r="K31" s="108">
        <f>K7+K12+K17+K22</f>
        <v>0</v>
      </c>
      <c r="M31" s="25">
        <v>25</v>
      </c>
      <c r="N31" s="32"/>
      <c r="O31" s="32"/>
      <c r="P31" s="32"/>
      <c r="Q31" s="24"/>
      <c r="R31" s="25">
        <f t="shared" si="20"/>
        <v>0</v>
      </c>
      <c r="S31" s="25">
        <f t="shared" si="5"/>
        <v>0</v>
      </c>
      <c r="T31" s="25">
        <f t="shared" si="21"/>
        <v>0</v>
      </c>
      <c r="U31" s="25">
        <f t="shared" si="7"/>
        <v>0</v>
      </c>
      <c r="V31" s="24"/>
      <c r="W31" s="108">
        <f>W7+W12+W17+W22</f>
        <v>0</v>
      </c>
      <c r="Y31" s="25">
        <v>25</v>
      </c>
      <c r="Z31" s="32"/>
      <c r="AA31" s="32"/>
      <c r="AB31" s="32"/>
      <c r="AC31" s="24"/>
      <c r="AD31" s="25">
        <f t="shared" si="22"/>
        <v>0</v>
      </c>
      <c r="AE31" s="25">
        <f t="shared" si="9"/>
        <v>0</v>
      </c>
      <c r="AF31" s="25">
        <f t="shared" si="23"/>
        <v>0</v>
      </c>
      <c r="AG31" s="25">
        <f t="shared" si="11"/>
        <v>0</v>
      </c>
      <c r="AH31" s="24"/>
      <c r="AI31" s="108">
        <f>AI7+AI12+AI17+AI22</f>
        <v>0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7"/>
  </sheetPr>
  <dimension ref="A1:AI41"/>
  <sheetViews>
    <sheetView zoomScale="150" workbookViewId="0">
      <selection activeCell="AI3" sqref="AI3"/>
    </sheetView>
  </sheetViews>
  <sheetFormatPr defaultColWidth="10" defaultRowHeight="15" customHeight="1"/>
  <cols>
    <col min="2" max="2" width="8.7109375" customWidth="1"/>
    <col min="3" max="3" width="14.7109375" customWidth="1"/>
    <col min="4" max="4" width="14" customWidth="1"/>
    <col min="5" max="5" width="10.85546875" customWidth="1"/>
    <col min="6" max="10" width="10.85546875" hidden="1" customWidth="1"/>
    <col min="11" max="11" width="34" customWidth="1"/>
    <col min="18" max="22" width="0" hidden="1" customWidth="1"/>
    <col min="23" max="23" width="34" customWidth="1"/>
    <col min="30" max="34" width="0" hidden="1" customWidth="1"/>
    <col min="35" max="35" width="34" customWidth="1"/>
  </cols>
  <sheetData>
    <row r="1" spans="1:35" ht="21" customHeight="1">
      <c r="A1" s="162" t="s">
        <v>82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M1" s="162" t="s">
        <v>83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Y1" s="162" t="s">
        <v>84</v>
      </c>
      <c r="Z1" s="162"/>
      <c r="AA1" s="162"/>
      <c r="AB1" s="162"/>
      <c r="AC1" s="162"/>
      <c r="AD1" s="162"/>
      <c r="AE1" s="162"/>
      <c r="AF1" s="162"/>
      <c r="AG1" s="162"/>
      <c r="AH1" s="162"/>
      <c r="AI1" s="162"/>
    </row>
    <row r="2" spans="1:35" ht="21" customHeight="1">
      <c r="A2" s="164" t="str">
        <f>ข้อมูล!C7</f>
        <v>โรงเรียนเทศบาลท่าอิฐ อำเภอเมือง จังหวัดอุตรดิตถ์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M2" s="164" t="str">
        <f>ข้อมูล!C7</f>
        <v>โรงเรียนเทศบาลท่าอิฐ อำเภอเมือง จังหวัดอุตรดิตถ์</v>
      </c>
      <c r="N2" s="164"/>
      <c r="O2" s="164"/>
      <c r="P2" s="164"/>
      <c r="Q2" s="164"/>
      <c r="R2" s="164"/>
      <c r="S2" s="164"/>
      <c r="T2" s="164"/>
      <c r="U2" s="164"/>
      <c r="V2" s="164"/>
      <c r="W2" s="164"/>
      <c r="Y2" s="168" t="s">
        <v>78</v>
      </c>
      <c r="Z2" s="169"/>
      <c r="AA2" s="169"/>
      <c r="AB2" s="169"/>
      <c r="AC2" s="169"/>
      <c r="AD2" s="169"/>
      <c r="AE2" s="169"/>
      <c r="AF2" s="169"/>
      <c r="AG2" s="169"/>
      <c r="AH2" s="169"/>
      <c r="AI2" s="170"/>
    </row>
    <row r="3" spans="1:35" ht="24" customHeight="1">
      <c r="A3" s="25" t="s">
        <v>85</v>
      </c>
      <c r="B3" s="110">
        <f>รายชื่อ!B40</f>
        <v>0</v>
      </c>
      <c r="C3" s="110">
        <f>รายชื่อ!C40</f>
        <v>0</v>
      </c>
      <c r="D3" s="110">
        <f>รายชื่อ!D40</f>
        <v>0</v>
      </c>
      <c r="E3" s="60"/>
      <c r="F3" s="103"/>
      <c r="G3" s="165"/>
      <c r="H3" s="165"/>
      <c r="I3" s="165"/>
      <c r="J3" s="25"/>
      <c r="K3" s="106" t="s">
        <v>66</v>
      </c>
      <c r="M3" s="25" t="s">
        <v>85</v>
      </c>
      <c r="N3" s="110">
        <f>รายชื่อ!B40</f>
        <v>0</v>
      </c>
      <c r="O3" s="110">
        <f>รายชื่อ!C40</f>
        <v>0</v>
      </c>
      <c r="P3" s="110">
        <f>รายชื่อ!D40</f>
        <v>0</v>
      </c>
      <c r="Q3" s="60"/>
      <c r="R3" s="103"/>
      <c r="S3" s="165"/>
      <c r="T3" s="165"/>
      <c r="U3" s="165"/>
      <c r="V3" s="25"/>
      <c r="W3" s="106" t="s">
        <v>66</v>
      </c>
      <c r="Y3" s="25" t="s">
        <v>85</v>
      </c>
      <c r="Z3" s="110">
        <f>รายชื่อ!B40</f>
        <v>0</v>
      </c>
      <c r="AA3" s="110">
        <f>รายชื่อ!C40</f>
        <v>0</v>
      </c>
      <c r="AB3" s="110">
        <f>รายชื่อ!D40</f>
        <v>0</v>
      </c>
      <c r="AC3" s="60"/>
      <c r="AD3" s="103"/>
      <c r="AE3" s="165"/>
      <c r="AF3" s="165"/>
      <c r="AG3" s="165"/>
      <c r="AH3" s="25"/>
      <c r="AI3" s="106" t="s">
        <v>66</v>
      </c>
    </row>
    <row r="4" spans="1:35" ht="21" customHeight="1">
      <c r="A4" s="166" t="s">
        <v>86</v>
      </c>
      <c r="B4" s="166"/>
      <c r="C4" s="166"/>
      <c r="D4" s="166"/>
      <c r="E4" s="24"/>
      <c r="F4" s="25"/>
      <c r="G4" s="25"/>
      <c r="H4" s="24"/>
      <c r="I4" s="25"/>
      <c r="J4" s="24"/>
      <c r="K4" s="25"/>
      <c r="M4" s="166" t="s">
        <v>87</v>
      </c>
      <c r="N4" s="166"/>
      <c r="O4" s="166"/>
      <c r="P4" s="166"/>
      <c r="Q4" s="24"/>
      <c r="R4" s="25"/>
      <c r="S4" s="25"/>
      <c r="T4" s="24"/>
      <c r="U4" s="25"/>
      <c r="V4" s="24"/>
      <c r="W4" s="25"/>
      <c r="Y4" s="166" t="s">
        <v>88</v>
      </c>
      <c r="Z4" s="166"/>
      <c r="AA4" s="166"/>
      <c r="AB4" s="166"/>
      <c r="AC4" s="24"/>
      <c r="AD4" s="25"/>
      <c r="AE4" s="25"/>
      <c r="AF4" s="24"/>
      <c r="AG4" s="25"/>
      <c r="AH4" s="24"/>
      <c r="AI4" s="25"/>
    </row>
    <row r="5" spans="1:35" ht="21" customHeight="1">
      <c r="A5" s="167" t="s">
        <v>89</v>
      </c>
      <c r="B5" s="167"/>
      <c r="C5" s="167"/>
      <c r="D5" s="167"/>
      <c r="E5" s="24"/>
      <c r="F5" s="163" t="s">
        <v>90</v>
      </c>
      <c r="G5" s="163"/>
      <c r="H5" s="163"/>
      <c r="I5" s="163"/>
      <c r="J5" s="24"/>
      <c r="K5" s="107" t="s">
        <v>91</v>
      </c>
      <c r="M5" s="167" t="s">
        <v>92</v>
      </c>
      <c r="N5" s="167"/>
      <c r="O5" s="167"/>
      <c r="P5" s="167"/>
      <c r="Q5" s="24"/>
      <c r="R5" s="163" t="s">
        <v>90</v>
      </c>
      <c r="S5" s="163"/>
      <c r="T5" s="163"/>
      <c r="U5" s="163"/>
      <c r="V5" s="24"/>
      <c r="W5" s="107" t="s">
        <v>91</v>
      </c>
      <c r="Y5" s="167" t="s">
        <v>93</v>
      </c>
      <c r="Z5" s="167"/>
      <c r="AA5" s="167"/>
      <c r="AB5" s="167"/>
      <c r="AC5" s="24"/>
      <c r="AD5" s="163" t="s">
        <v>90</v>
      </c>
      <c r="AE5" s="163"/>
      <c r="AF5" s="163"/>
      <c r="AG5" s="163"/>
      <c r="AH5" s="24"/>
      <c r="AI5" s="107" t="s">
        <v>91</v>
      </c>
    </row>
    <row r="6" spans="1:35" ht="21" customHeight="1">
      <c r="A6" s="23" t="s">
        <v>10</v>
      </c>
      <c r="B6" s="23" t="s">
        <v>11</v>
      </c>
      <c r="C6" s="23" t="s">
        <v>12</v>
      </c>
      <c r="D6" s="23" t="s">
        <v>13</v>
      </c>
      <c r="E6" s="24"/>
      <c r="F6" s="25" t="s">
        <v>11</v>
      </c>
      <c r="G6" s="25" t="s">
        <v>12</v>
      </c>
      <c r="H6" s="25" t="s">
        <v>13</v>
      </c>
      <c r="I6" s="25" t="s">
        <v>94</v>
      </c>
      <c r="J6" s="24"/>
      <c r="K6" s="107" t="s">
        <v>95</v>
      </c>
      <c r="M6" s="23" t="s">
        <v>10</v>
      </c>
      <c r="N6" s="23" t="s">
        <v>11</v>
      </c>
      <c r="O6" s="23" t="s">
        <v>12</v>
      </c>
      <c r="P6" s="23" t="s">
        <v>13</v>
      </c>
      <c r="Q6" s="24"/>
      <c r="R6" s="25" t="s">
        <v>11</v>
      </c>
      <c r="S6" s="25" t="s">
        <v>12</v>
      </c>
      <c r="T6" s="25" t="s">
        <v>13</v>
      </c>
      <c r="U6" s="25" t="s">
        <v>94</v>
      </c>
      <c r="V6" s="24"/>
      <c r="W6" s="107" t="s">
        <v>95</v>
      </c>
      <c r="Y6" s="23" t="s">
        <v>10</v>
      </c>
      <c r="Z6" s="23" t="s">
        <v>11</v>
      </c>
      <c r="AA6" s="23" t="s">
        <v>12</v>
      </c>
      <c r="AB6" s="23" t="s">
        <v>13</v>
      </c>
      <c r="AC6" s="24"/>
      <c r="AD6" s="25" t="s">
        <v>11</v>
      </c>
      <c r="AE6" s="25" t="s">
        <v>12</v>
      </c>
      <c r="AF6" s="25" t="s">
        <v>13</v>
      </c>
      <c r="AG6" s="25" t="s">
        <v>94</v>
      </c>
      <c r="AH6" s="24"/>
      <c r="AI6" s="107" t="s">
        <v>95</v>
      </c>
    </row>
    <row r="7" spans="1:35" ht="21" customHeight="1">
      <c r="A7" s="25">
        <v>1</v>
      </c>
      <c r="B7" s="32"/>
      <c r="C7" s="32"/>
      <c r="D7" s="32"/>
      <c r="E7" s="24"/>
      <c r="F7" s="25">
        <f t="shared" ref="F7:F12" si="0">B7*0</f>
        <v>0</v>
      </c>
      <c r="G7" s="25">
        <f t="shared" ref="G7:G31" si="1">C7*1</f>
        <v>0</v>
      </c>
      <c r="H7" s="25">
        <f t="shared" ref="H7:H12" si="2">D7*2</f>
        <v>0</v>
      </c>
      <c r="I7" s="25">
        <f t="shared" ref="I7:I31" si="3">SUM(F7:F7)</f>
        <v>0</v>
      </c>
      <c r="J7" s="104">
        <f>I9+I14+I19+I22+I30</f>
        <v>0</v>
      </c>
      <c r="K7" s="108">
        <f>J7</f>
        <v>0</v>
      </c>
      <c r="M7" s="25">
        <v>1</v>
      </c>
      <c r="N7" s="32"/>
      <c r="O7" s="32"/>
      <c r="P7" s="32"/>
      <c r="Q7" s="24"/>
      <c r="R7" s="25">
        <f t="shared" ref="R7:R12" si="4">N7*0</f>
        <v>0</v>
      </c>
      <c r="S7" s="25">
        <f t="shared" ref="S7:S31" si="5">O7*1</f>
        <v>0</v>
      </c>
      <c r="T7" s="25">
        <f t="shared" ref="T7:T12" si="6">P7*2</f>
        <v>0</v>
      </c>
      <c r="U7" s="25">
        <f t="shared" ref="U7:U31" si="7">SUM(R7:R7)</f>
        <v>0</v>
      </c>
      <c r="V7" s="104">
        <f>U9+U14+U19+U22+U30</f>
        <v>0</v>
      </c>
      <c r="W7" s="108">
        <f>V7</f>
        <v>0</v>
      </c>
      <c r="Y7" s="25">
        <v>1</v>
      </c>
      <c r="Z7" s="32"/>
      <c r="AA7" s="32"/>
      <c r="AB7" s="32"/>
      <c r="AC7" s="24"/>
      <c r="AD7" s="25">
        <f t="shared" ref="AD7:AD12" si="8">Z7*0</f>
        <v>0</v>
      </c>
      <c r="AE7" s="25">
        <f t="shared" ref="AE7:AE31" si="9">AA7*1</f>
        <v>0</v>
      </c>
      <c r="AF7" s="25">
        <f t="shared" ref="AF7:AF12" si="10">AB7*2</f>
        <v>0</v>
      </c>
      <c r="AG7" s="25">
        <f t="shared" ref="AG7:AG31" si="11">SUM(AD7:AD7)</f>
        <v>0</v>
      </c>
      <c r="AH7" s="104">
        <f>AG9+AG14+AG19+AG22+AG30</f>
        <v>0</v>
      </c>
      <c r="AI7" s="108">
        <f>AH7</f>
        <v>0</v>
      </c>
    </row>
    <row r="8" spans="1:35" ht="21" customHeight="1">
      <c r="A8" s="25">
        <v>2</v>
      </c>
      <c r="B8" s="32"/>
      <c r="C8" s="32"/>
      <c r="D8" s="32"/>
      <c r="E8" s="24"/>
      <c r="F8" s="25">
        <f t="shared" si="0"/>
        <v>0</v>
      </c>
      <c r="G8" s="25">
        <f t="shared" si="1"/>
        <v>0</v>
      </c>
      <c r="H8" s="25">
        <f t="shared" si="2"/>
        <v>0</v>
      </c>
      <c r="I8" s="25">
        <f t="shared" si="3"/>
        <v>0</v>
      </c>
      <c r="J8" s="24"/>
      <c r="K8" s="25"/>
      <c r="M8" s="25">
        <v>2</v>
      </c>
      <c r="N8" s="32"/>
      <c r="O8" s="32"/>
      <c r="P8" s="32"/>
      <c r="Q8" s="24"/>
      <c r="R8" s="25">
        <f t="shared" si="4"/>
        <v>0</v>
      </c>
      <c r="S8" s="25">
        <f t="shared" si="5"/>
        <v>0</v>
      </c>
      <c r="T8" s="25">
        <f t="shared" si="6"/>
        <v>0</v>
      </c>
      <c r="U8" s="25">
        <f t="shared" si="7"/>
        <v>0</v>
      </c>
      <c r="V8" s="24"/>
      <c r="W8" s="25"/>
      <c r="Y8" s="25">
        <v>2</v>
      </c>
      <c r="Z8" s="32"/>
      <c r="AA8" s="32"/>
      <c r="AB8" s="32"/>
      <c r="AC8" s="24"/>
      <c r="AD8" s="25">
        <f t="shared" si="8"/>
        <v>0</v>
      </c>
      <c r="AE8" s="25">
        <f t="shared" si="9"/>
        <v>0</v>
      </c>
      <c r="AF8" s="25">
        <f t="shared" si="10"/>
        <v>0</v>
      </c>
      <c r="AG8" s="25">
        <f t="shared" si="11"/>
        <v>0</v>
      </c>
      <c r="AH8" s="24"/>
      <c r="AI8" s="25"/>
    </row>
    <row r="9" spans="1:35" ht="21" customHeight="1">
      <c r="A9" s="25">
        <v>3</v>
      </c>
      <c r="B9" s="32"/>
      <c r="C9" s="32"/>
      <c r="D9" s="32"/>
      <c r="E9" s="24"/>
      <c r="F9" s="25">
        <f t="shared" si="0"/>
        <v>0</v>
      </c>
      <c r="G9" s="25">
        <f t="shared" si="1"/>
        <v>0</v>
      </c>
      <c r="H9" s="25">
        <f t="shared" si="2"/>
        <v>0</v>
      </c>
      <c r="I9" s="25">
        <f t="shared" si="3"/>
        <v>0</v>
      </c>
      <c r="J9" s="24"/>
      <c r="K9" s="25"/>
      <c r="M9" s="25">
        <v>3</v>
      </c>
      <c r="N9" s="32"/>
      <c r="O9" s="32"/>
      <c r="P9" s="32"/>
      <c r="Q9" s="24"/>
      <c r="R9" s="25">
        <f t="shared" si="4"/>
        <v>0</v>
      </c>
      <c r="S9" s="25">
        <f t="shared" si="5"/>
        <v>0</v>
      </c>
      <c r="T9" s="25">
        <f t="shared" si="6"/>
        <v>0</v>
      </c>
      <c r="U9" s="25">
        <f t="shared" si="7"/>
        <v>0</v>
      </c>
      <c r="V9" s="24"/>
      <c r="W9" s="25"/>
      <c r="Y9" s="25">
        <v>3</v>
      </c>
      <c r="Z9" s="32"/>
      <c r="AA9" s="32"/>
      <c r="AB9" s="32"/>
      <c r="AC9" s="24"/>
      <c r="AD9" s="25">
        <f t="shared" si="8"/>
        <v>0</v>
      </c>
      <c r="AE9" s="25">
        <f t="shared" si="9"/>
        <v>0</v>
      </c>
      <c r="AF9" s="25">
        <f t="shared" si="10"/>
        <v>0</v>
      </c>
      <c r="AG9" s="25">
        <f t="shared" si="11"/>
        <v>0</v>
      </c>
      <c r="AH9" s="24"/>
      <c r="AI9" s="25"/>
    </row>
    <row r="10" spans="1:35" ht="21" customHeight="1">
      <c r="A10" s="25">
        <v>4</v>
      </c>
      <c r="B10" s="32"/>
      <c r="C10" s="32"/>
      <c r="D10" s="32"/>
      <c r="E10" s="24"/>
      <c r="F10" s="25">
        <f t="shared" si="0"/>
        <v>0</v>
      </c>
      <c r="G10" s="25">
        <f t="shared" si="1"/>
        <v>0</v>
      </c>
      <c r="H10" s="25">
        <f t="shared" si="2"/>
        <v>0</v>
      </c>
      <c r="I10" s="25">
        <f t="shared" si="3"/>
        <v>0</v>
      </c>
      <c r="J10" s="24"/>
      <c r="K10" s="107" t="s">
        <v>96</v>
      </c>
      <c r="M10" s="25">
        <v>4</v>
      </c>
      <c r="N10" s="32"/>
      <c r="O10" s="32"/>
      <c r="P10" s="32"/>
      <c r="Q10" s="24"/>
      <c r="R10" s="25">
        <f t="shared" si="4"/>
        <v>0</v>
      </c>
      <c r="S10" s="25">
        <f t="shared" si="5"/>
        <v>0</v>
      </c>
      <c r="T10" s="25">
        <f t="shared" si="6"/>
        <v>0</v>
      </c>
      <c r="U10" s="25">
        <f t="shared" si="7"/>
        <v>0</v>
      </c>
      <c r="V10" s="24"/>
      <c r="W10" s="107" t="s">
        <v>96</v>
      </c>
      <c r="Y10" s="25">
        <v>4</v>
      </c>
      <c r="Z10" s="32"/>
      <c r="AA10" s="32"/>
      <c r="AB10" s="32"/>
      <c r="AC10" s="24"/>
      <c r="AD10" s="25">
        <f t="shared" si="8"/>
        <v>0</v>
      </c>
      <c r="AE10" s="25">
        <f t="shared" si="9"/>
        <v>0</v>
      </c>
      <c r="AF10" s="25">
        <f t="shared" si="10"/>
        <v>0</v>
      </c>
      <c r="AG10" s="25">
        <f t="shared" si="11"/>
        <v>0</v>
      </c>
      <c r="AH10" s="24"/>
      <c r="AI10" s="107" t="s">
        <v>96</v>
      </c>
    </row>
    <row r="11" spans="1:35" ht="21" customHeight="1">
      <c r="A11" s="25">
        <v>5</v>
      </c>
      <c r="B11" s="32"/>
      <c r="C11" s="32"/>
      <c r="D11" s="32"/>
      <c r="E11" s="24"/>
      <c r="F11" s="25">
        <f t="shared" si="0"/>
        <v>0</v>
      </c>
      <c r="G11" s="25">
        <f t="shared" si="1"/>
        <v>0</v>
      </c>
      <c r="H11" s="25">
        <f t="shared" si="2"/>
        <v>0</v>
      </c>
      <c r="I11" s="25">
        <f t="shared" si="3"/>
        <v>0</v>
      </c>
      <c r="J11" s="24"/>
      <c r="K11" s="107" t="s">
        <v>97</v>
      </c>
      <c r="M11" s="25">
        <v>5</v>
      </c>
      <c r="N11" s="32"/>
      <c r="O11" s="32"/>
      <c r="P11" s="32"/>
      <c r="Q11" s="24"/>
      <c r="R11" s="25">
        <f t="shared" si="4"/>
        <v>0</v>
      </c>
      <c r="S11" s="25">
        <f t="shared" si="5"/>
        <v>0</v>
      </c>
      <c r="T11" s="25">
        <f t="shared" si="6"/>
        <v>0</v>
      </c>
      <c r="U11" s="25">
        <f t="shared" si="7"/>
        <v>0</v>
      </c>
      <c r="V11" s="24"/>
      <c r="W11" s="107" t="s">
        <v>97</v>
      </c>
      <c r="Y11" s="25">
        <v>5</v>
      </c>
      <c r="Z11" s="32"/>
      <c r="AA11" s="32"/>
      <c r="AB11" s="32"/>
      <c r="AC11" s="24"/>
      <c r="AD11" s="25">
        <f t="shared" si="8"/>
        <v>0</v>
      </c>
      <c r="AE11" s="25">
        <f t="shared" si="9"/>
        <v>0</v>
      </c>
      <c r="AF11" s="25">
        <f t="shared" si="10"/>
        <v>0</v>
      </c>
      <c r="AG11" s="25">
        <f t="shared" si="11"/>
        <v>0</v>
      </c>
      <c r="AH11" s="24"/>
      <c r="AI11" s="107" t="s">
        <v>97</v>
      </c>
    </row>
    <row r="12" spans="1:35" ht="21" customHeight="1">
      <c r="A12" s="25">
        <v>6</v>
      </c>
      <c r="B12" s="32"/>
      <c r="C12" s="32"/>
      <c r="D12" s="32"/>
      <c r="E12" s="24"/>
      <c r="F12" s="25">
        <f t="shared" si="0"/>
        <v>0</v>
      </c>
      <c r="G12" s="25">
        <f t="shared" si="1"/>
        <v>0</v>
      </c>
      <c r="H12" s="25">
        <f t="shared" si="2"/>
        <v>0</v>
      </c>
      <c r="I12" s="25">
        <f t="shared" si="3"/>
        <v>0</v>
      </c>
      <c r="J12" s="105">
        <f>I11+I13+I18+I24+I28</f>
        <v>0</v>
      </c>
      <c r="K12" s="108">
        <f>J12</f>
        <v>0</v>
      </c>
      <c r="M12" s="25">
        <v>6</v>
      </c>
      <c r="N12" s="32"/>
      <c r="O12" s="32"/>
      <c r="P12" s="32"/>
      <c r="Q12" s="24"/>
      <c r="R12" s="25">
        <f t="shared" si="4"/>
        <v>0</v>
      </c>
      <c r="S12" s="25">
        <f t="shared" si="5"/>
        <v>0</v>
      </c>
      <c r="T12" s="25">
        <f t="shared" si="6"/>
        <v>0</v>
      </c>
      <c r="U12" s="25">
        <f t="shared" si="7"/>
        <v>0</v>
      </c>
      <c r="V12" s="105">
        <f>U11+U13+U18+U24+U28</f>
        <v>0</v>
      </c>
      <c r="W12" s="108">
        <f>V12</f>
        <v>0</v>
      </c>
      <c r="Y12" s="25">
        <v>6</v>
      </c>
      <c r="Z12" s="32"/>
      <c r="AA12" s="32"/>
      <c r="AB12" s="32"/>
      <c r="AC12" s="24"/>
      <c r="AD12" s="25">
        <f t="shared" si="8"/>
        <v>0</v>
      </c>
      <c r="AE12" s="25">
        <f t="shared" si="9"/>
        <v>0</v>
      </c>
      <c r="AF12" s="25">
        <f t="shared" si="10"/>
        <v>0</v>
      </c>
      <c r="AG12" s="25">
        <f t="shared" si="11"/>
        <v>0</v>
      </c>
      <c r="AH12" s="105">
        <f>AG11+AG13+AG18+AG24+AG28</f>
        <v>0</v>
      </c>
      <c r="AI12" s="108">
        <f>AH12</f>
        <v>0</v>
      </c>
    </row>
    <row r="13" spans="1:35" ht="21" customHeight="1">
      <c r="A13" s="25">
        <v>7</v>
      </c>
      <c r="B13" s="32"/>
      <c r="C13" s="32"/>
      <c r="D13" s="32"/>
      <c r="E13" s="24"/>
      <c r="F13" s="25">
        <f>B13*2</f>
        <v>0</v>
      </c>
      <c r="G13" s="25">
        <f t="shared" si="1"/>
        <v>0</v>
      </c>
      <c r="H13" s="25">
        <f>D13*0</f>
        <v>0</v>
      </c>
      <c r="I13" s="25">
        <f t="shared" si="3"/>
        <v>0</v>
      </c>
      <c r="J13" s="24"/>
      <c r="K13" s="25"/>
      <c r="M13" s="25">
        <v>7</v>
      </c>
      <c r="N13" s="32"/>
      <c r="O13" s="32"/>
      <c r="P13" s="32"/>
      <c r="Q13" s="24"/>
      <c r="R13" s="25">
        <f>N13*2</f>
        <v>0</v>
      </c>
      <c r="S13" s="25">
        <f t="shared" si="5"/>
        <v>0</v>
      </c>
      <c r="T13" s="25">
        <f>P13*0</f>
        <v>0</v>
      </c>
      <c r="U13" s="25">
        <f t="shared" si="7"/>
        <v>0</v>
      </c>
      <c r="V13" s="24"/>
      <c r="W13" s="25"/>
      <c r="Y13" s="25">
        <v>7</v>
      </c>
      <c r="Z13" s="32"/>
      <c r="AA13" s="32"/>
      <c r="AB13" s="32"/>
      <c r="AC13" s="24"/>
      <c r="AD13" s="25">
        <f>Z13*2</f>
        <v>0</v>
      </c>
      <c r="AE13" s="25">
        <f t="shared" si="9"/>
        <v>0</v>
      </c>
      <c r="AF13" s="25">
        <f>AB13*0</f>
        <v>0</v>
      </c>
      <c r="AG13" s="25">
        <f t="shared" si="11"/>
        <v>0</v>
      </c>
      <c r="AH13" s="24"/>
      <c r="AI13" s="25"/>
    </row>
    <row r="14" spans="1:35" ht="21" customHeight="1">
      <c r="A14" s="25">
        <v>8</v>
      </c>
      <c r="B14" s="32"/>
      <c r="C14" s="32"/>
      <c r="D14" s="32"/>
      <c r="E14" s="24"/>
      <c r="F14" s="25">
        <f t="shared" ref="F14:F19" si="12">B14*0</f>
        <v>0</v>
      </c>
      <c r="G14" s="25">
        <f t="shared" si="1"/>
        <v>0</v>
      </c>
      <c r="H14" s="25">
        <f t="shared" ref="H14:H19" si="13">D14*2</f>
        <v>0</v>
      </c>
      <c r="I14" s="25">
        <f t="shared" si="3"/>
        <v>0</v>
      </c>
      <c r="J14" s="24"/>
      <c r="K14" s="25"/>
      <c r="M14" s="25">
        <v>8</v>
      </c>
      <c r="N14" s="32"/>
      <c r="O14" s="32"/>
      <c r="P14" s="32"/>
      <c r="Q14" s="24"/>
      <c r="R14" s="25">
        <f t="shared" ref="R14:R19" si="14">N14*0</f>
        <v>0</v>
      </c>
      <c r="S14" s="25">
        <f t="shared" si="5"/>
        <v>0</v>
      </c>
      <c r="T14" s="25">
        <f t="shared" ref="T14:T19" si="15">P14*2</f>
        <v>0</v>
      </c>
      <c r="U14" s="25">
        <f t="shared" si="7"/>
        <v>0</v>
      </c>
      <c r="V14" s="24"/>
      <c r="W14" s="25"/>
      <c r="Y14" s="25">
        <v>8</v>
      </c>
      <c r="Z14" s="32"/>
      <c r="AA14" s="32"/>
      <c r="AB14" s="32"/>
      <c r="AC14" s="24"/>
      <c r="AD14" s="25">
        <f t="shared" ref="AD14:AD19" si="16">Z14*0</f>
        <v>0</v>
      </c>
      <c r="AE14" s="25">
        <f t="shared" si="9"/>
        <v>0</v>
      </c>
      <c r="AF14" s="25">
        <f t="shared" ref="AF14:AF19" si="17">AB14*2</f>
        <v>0</v>
      </c>
      <c r="AG14" s="25">
        <f t="shared" si="11"/>
        <v>0</v>
      </c>
      <c r="AH14" s="24"/>
      <c r="AI14" s="25"/>
    </row>
    <row r="15" spans="1:35" ht="21" customHeight="1">
      <c r="A15" s="25">
        <v>9</v>
      </c>
      <c r="B15" s="32"/>
      <c r="C15" s="32"/>
      <c r="D15" s="32"/>
      <c r="E15" s="24"/>
      <c r="F15" s="25">
        <f t="shared" si="12"/>
        <v>0</v>
      </c>
      <c r="G15" s="25">
        <f t="shared" si="1"/>
        <v>0</v>
      </c>
      <c r="H15" s="25">
        <f t="shared" si="13"/>
        <v>0</v>
      </c>
      <c r="I15" s="25">
        <f t="shared" si="3"/>
        <v>0</v>
      </c>
      <c r="J15" s="24"/>
      <c r="K15" s="107" t="s">
        <v>98</v>
      </c>
      <c r="M15" s="25">
        <v>9</v>
      </c>
      <c r="N15" s="32"/>
      <c r="O15" s="32"/>
      <c r="P15" s="32"/>
      <c r="Q15" s="24"/>
      <c r="R15" s="25">
        <f t="shared" si="14"/>
        <v>0</v>
      </c>
      <c r="S15" s="25">
        <f t="shared" si="5"/>
        <v>0</v>
      </c>
      <c r="T15" s="25">
        <f t="shared" si="15"/>
        <v>0</v>
      </c>
      <c r="U15" s="25">
        <f t="shared" si="7"/>
        <v>0</v>
      </c>
      <c r="V15" s="24"/>
      <c r="W15" s="107" t="s">
        <v>98</v>
      </c>
      <c r="Y15" s="25">
        <v>9</v>
      </c>
      <c r="Z15" s="32"/>
      <c r="AA15" s="32"/>
      <c r="AB15" s="32"/>
      <c r="AC15" s="24"/>
      <c r="AD15" s="25">
        <f t="shared" si="16"/>
        <v>0</v>
      </c>
      <c r="AE15" s="25">
        <f t="shared" si="9"/>
        <v>0</v>
      </c>
      <c r="AF15" s="25">
        <f t="shared" si="17"/>
        <v>0</v>
      </c>
      <c r="AG15" s="25">
        <f t="shared" si="11"/>
        <v>0</v>
      </c>
      <c r="AH15" s="24"/>
      <c r="AI15" s="107" t="s">
        <v>98</v>
      </c>
    </row>
    <row r="16" spans="1:35" ht="21" customHeight="1">
      <c r="A16" s="25">
        <v>10</v>
      </c>
      <c r="B16" s="32"/>
      <c r="C16" s="32"/>
      <c r="D16" s="32"/>
      <c r="E16" s="24"/>
      <c r="F16" s="25">
        <f t="shared" si="12"/>
        <v>0</v>
      </c>
      <c r="G16" s="25">
        <f t="shared" si="1"/>
        <v>0</v>
      </c>
      <c r="H16" s="25">
        <f t="shared" si="13"/>
        <v>0</v>
      </c>
      <c r="I16" s="25">
        <f t="shared" si="3"/>
        <v>0</v>
      </c>
      <c r="J16" s="24"/>
      <c r="K16" s="107" t="s">
        <v>99</v>
      </c>
      <c r="M16" s="25">
        <v>10</v>
      </c>
      <c r="N16" s="32"/>
      <c r="O16" s="32"/>
      <c r="P16" s="32"/>
      <c r="Q16" s="24"/>
      <c r="R16" s="25">
        <f t="shared" si="14"/>
        <v>0</v>
      </c>
      <c r="S16" s="25">
        <f t="shared" si="5"/>
        <v>0</v>
      </c>
      <c r="T16" s="25">
        <f t="shared" si="15"/>
        <v>0</v>
      </c>
      <c r="U16" s="25">
        <f t="shared" si="7"/>
        <v>0</v>
      </c>
      <c r="V16" s="24"/>
      <c r="W16" s="107" t="s">
        <v>99</v>
      </c>
      <c r="Y16" s="25">
        <v>10</v>
      </c>
      <c r="Z16" s="32"/>
      <c r="AA16" s="32"/>
      <c r="AB16" s="32"/>
      <c r="AC16" s="24"/>
      <c r="AD16" s="25">
        <f t="shared" si="16"/>
        <v>0</v>
      </c>
      <c r="AE16" s="25">
        <f t="shared" si="9"/>
        <v>0</v>
      </c>
      <c r="AF16" s="25">
        <f t="shared" si="17"/>
        <v>0</v>
      </c>
      <c r="AG16" s="25">
        <f t="shared" si="11"/>
        <v>0</v>
      </c>
      <c r="AH16" s="24"/>
      <c r="AI16" s="107" t="s">
        <v>99</v>
      </c>
    </row>
    <row r="17" spans="1:35" ht="21" customHeight="1">
      <c r="A17" s="25">
        <v>11</v>
      </c>
      <c r="B17" s="32"/>
      <c r="C17" s="32"/>
      <c r="D17" s="32"/>
      <c r="E17" s="24"/>
      <c r="F17" s="25">
        <f t="shared" si="12"/>
        <v>0</v>
      </c>
      <c r="G17" s="25">
        <f t="shared" si="1"/>
        <v>0</v>
      </c>
      <c r="H17" s="25">
        <f t="shared" si="13"/>
        <v>0</v>
      </c>
      <c r="I17" s="25">
        <f t="shared" si="3"/>
        <v>0</v>
      </c>
      <c r="J17" s="105">
        <f>I8+I16+I21+I27+I31</f>
        <v>0</v>
      </c>
      <c r="K17" s="108">
        <f>J17</f>
        <v>0</v>
      </c>
      <c r="M17" s="25">
        <v>11</v>
      </c>
      <c r="N17" s="32"/>
      <c r="O17" s="32"/>
      <c r="P17" s="32"/>
      <c r="Q17" s="24"/>
      <c r="R17" s="25">
        <f t="shared" si="14"/>
        <v>0</v>
      </c>
      <c r="S17" s="25">
        <f t="shared" si="5"/>
        <v>0</v>
      </c>
      <c r="T17" s="25">
        <f t="shared" si="15"/>
        <v>0</v>
      </c>
      <c r="U17" s="25">
        <f t="shared" si="7"/>
        <v>0</v>
      </c>
      <c r="V17" s="105">
        <f>U8+U16+U21+U27+U31</f>
        <v>0</v>
      </c>
      <c r="W17" s="108">
        <f>V17</f>
        <v>0</v>
      </c>
      <c r="Y17" s="25">
        <v>11</v>
      </c>
      <c r="Z17" s="32"/>
      <c r="AA17" s="32"/>
      <c r="AB17" s="32"/>
      <c r="AC17" s="24"/>
      <c r="AD17" s="25">
        <f t="shared" si="16"/>
        <v>0</v>
      </c>
      <c r="AE17" s="25">
        <f t="shared" si="9"/>
        <v>0</v>
      </c>
      <c r="AF17" s="25">
        <f t="shared" si="17"/>
        <v>0</v>
      </c>
      <c r="AG17" s="25">
        <f t="shared" si="11"/>
        <v>0</v>
      </c>
      <c r="AH17" s="105">
        <f>AG8+AG16+AG21+AG27+AG31</f>
        <v>0</v>
      </c>
      <c r="AI17" s="108">
        <f>AH17</f>
        <v>0</v>
      </c>
    </row>
    <row r="18" spans="1:35" ht="21" customHeight="1">
      <c r="A18" s="25">
        <v>12</v>
      </c>
      <c r="B18" s="32"/>
      <c r="C18" s="32"/>
      <c r="D18" s="32"/>
      <c r="E18" s="24"/>
      <c r="F18" s="25">
        <f t="shared" si="12"/>
        <v>0</v>
      </c>
      <c r="G18" s="25">
        <f t="shared" si="1"/>
        <v>0</v>
      </c>
      <c r="H18" s="25">
        <f t="shared" si="13"/>
        <v>0</v>
      </c>
      <c r="I18" s="25">
        <f t="shared" si="3"/>
        <v>0</v>
      </c>
      <c r="J18" s="24"/>
      <c r="K18" s="25"/>
      <c r="M18" s="25">
        <v>12</v>
      </c>
      <c r="N18" s="32"/>
      <c r="O18" s="32"/>
      <c r="P18" s="32"/>
      <c r="Q18" s="24"/>
      <c r="R18" s="25">
        <f t="shared" si="14"/>
        <v>0</v>
      </c>
      <c r="S18" s="25">
        <f t="shared" si="5"/>
        <v>0</v>
      </c>
      <c r="T18" s="25">
        <f t="shared" si="15"/>
        <v>0</v>
      </c>
      <c r="U18" s="25">
        <f t="shared" si="7"/>
        <v>0</v>
      </c>
      <c r="V18" s="24"/>
      <c r="W18" s="25"/>
      <c r="Y18" s="25">
        <v>12</v>
      </c>
      <c r="Z18" s="32"/>
      <c r="AA18" s="32"/>
      <c r="AB18" s="32"/>
      <c r="AC18" s="24"/>
      <c r="AD18" s="25">
        <f t="shared" si="16"/>
        <v>0</v>
      </c>
      <c r="AE18" s="25">
        <f t="shared" si="9"/>
        <v>0</v>
      </c>
      <c r="AF18" s="25">
        <f t="shared" si="17"/>
        <v>0</v>
      </c>
      <c r="AG18" s="25">
        <f t="shared" si="11"/>
        <v>0</v>
      </c>
      <c r="AH18" s="24"/>
      <c r="AI18" s="25"/>
    </row>
    <row r="19" spans="1:35" ht="21" customHeight="1">
      <c r="A19" s="25">
        <v>13</v>
      </c>
      <c r="B19" s="32"/>
      <c r="C19" s="32"/>
      <c r="D19" s="32"/>
      <c r="E19" s="24"/>
      <c r="F19" s="25">
        <f t="shared" si="12"/>
        <v>0</v>
      </c>
      <c r="G19" s="25">
        <f t="shared" si="1"/>
        <v>0</v>
      </c>
      <c r="H19" s="25">
        <f t="shared" si="13"/>
        <v>0</v>
      </c>
      <c r="I19" s="25">
        <f t="shared" si="3"/>
        <v>0</v>
      </c>
      <c r="J19" s="24"/>
      <c r="K19" s="25"/>
      <c r="M19" s="25">
        <v>13</v>
      </c>
      <c r="N19" s="32"/>
      <c r="O19" s="32"/>
      <c r="P19" s="32"/>
      <c r="Q19" s="24"/>
      <c r="R19" s="25">
        <f t="shared" si="14"/>
        <v>0</v>
      </c>
      <c r="S19" s="25">
        <f t="shared" si="5"/>
        <v>0</v>
      </c>
      <c r="T19" s="25">
        <f t="shared" si="15"/>
        <v>0</v>
      </c>
      <c r="U19" s="25">
        <f t="shared" si="7"/>
        <v>0</v>
      </c>
      <c r="V19" s="24"/>
      <c r="W19" s="25"/>
      <c r="Y19" s="25">
        <v>13</v>
      </c>
      <c r="Z19" s="32"/>
      <c r="AA19" s="32"/>
      <c r="AB19" s="32"/>
      <c r="AC19" s="24"/>
      <c r="AD19" s="25">
        <f t="shared" si="16"/>
        <v>0</v>
      </c>
      <c r="AE19" s="25">
        <f t="shared" si="9"/>
        <v>0</v>
      </c>
      <c r="AF19" s="25">
        <f t="shared" si="17"/>
        <v>0</v>
      </c>
      <c r="AG19" s="25">
        <f t="shared" si="11"/>
        <v>0</v>
      </c>
      <c r="AH19" s="24"/>
      <c r="AI19" s="25"/>
    </row>
    <row r="20" spans="1:35" ht="21" customHeight="1">
      <c r="A20" s="25">
        <v>14</v>
      </c>
      <c r="B20" s="32"/>
      <c r="C20" s="32"/>
      <c r="D20" s="32"/>
      <c r="E20" s="24"/>
      <c r="F20" s="25">
        <f>B20*2</f>
        <v>0</v>
      </c>
      <c r="G20" s="25">
        <f t="shared" si="1"/>
        <v>0</v>
      </c>
      <c r="H20" s="25">
        <f>D20*0</f>
        <v>0</v>
      </c>
      <c r="I20" s="25">
        <f t="shared" si="3"/>
        <v>0</v>
      </c>
      <c r="J20" s="24"/>
      <c r="K20" s="107" t="s">
        <v>100</v>
      </c>
      <c r="M20" s="25">
        <v>14</v>
      </c>
      <c r="N20" s="32"/>
      <c r="O20" s="32"/>
      <c r="P20" s="32"/>
      <c r="Q20" s="24"/>
      <c r="R20" s="25">
        <f>N20*2</f>
        <v>0</v>
      </c>
      <c r="S20" s="25">
        <f t="shared" si="5"/>
        <v>0</v>
      </c>
      <c r="T20" s="25">
        <f>P20*0</f>
        <v>0</v>
      </c>
      <c r="U20" s="25">
        <f t="shared" si="7"/>
        <v>0</v>
      </c>
      <c r="V20" s="24"/>
      <c r="W20" s="107" t="s">
        <v>100</v>
      </c>
      <c r="Y20" s="25">
        <v>14</v>
      </c>
      <c r="Z20" s="32"/>
      <c r="AA20" s="32"/>
      <c r="AB20" s="32"/>
      <c r="AC20" s="24"/>
      <c r="AD20" s="25">
        <f>Z20*2</f>
        <v>0</v>
      </c>
      <c r="AE20" s="25">
        <f t="shared" si="9"/>
        <v>0</v>
      </c>
      <c r="AF20" s="25">
        <f>AB20*0</f>
        <v>0</v>
      </c>
      <c r="AG20" s="25">
        <f t="shared" si="11"/>
        <v>0</v>
      </c>
      <c r="AH20" s="24"/>
      <c r="AI20" s="107" t="s">
        <v>100</v>
      </c>
    </row>
    <row r="21" spans="1:35" ht="21" customHeight="1">
      <c r="A21" s="25">
        <v>15</v>
      </c>
      <c r="B21" s="32"/>
      <c r="C21" s="32"/>
      <c r="D21" s="32"/>
      <c r="E21" s="24"/>
      <c r="F21" s="25">
        <f>B21*2</f>
        <v>0</v>
      </c>
      <c r="G21" s="25">
        <f t="shared" si="1"/>
        <v>0</v>
      </c>
      <c r="H21" s="25">
        <f>D21*0</f>
        <v>0</v>
      </c>
      <c r="I21" s="25">
        <f t="shared" si="3"/>
        <v>0</v>
      </c>
      <c r="J21" s="24"/>
      <c r="K21" s="107" t="s">
        <v>101</v>
      </c>
      <c r="M21" s="25">
        <v>15</v>
      </c>
      <c r="N21" s="32"/>
      <c r="O21" s="32"/>
      <c r="P21" s="32"/>
      <c r="Q21" s="24"/>
      <c r="R21" s="25">
        <f>N21*2</f>
        <v>0</v>
      </c>
      <c r="S21" s="25">
        <f t="shared" si="5"/>
        <v>0</v>
      </c>
      <c r="T21" s="25">
        <f>P21*0</f>
        <v>0</v>
      </c>
      <c r="U21" s="25">
        <f t="shared" si="7"/>
        <v>0</v>
      </c>
      <c r="V21" s="24"/>
      <c r="W21" s="107" t="s">
        <v>101</v>
      </c>
      <c r="Y21" s="25">
        <v>15</v>
      </c>
      <c r="Z21" s="32"/>
      <c r="AA21" s="32"/>
      <c r="AB21" s="32"/>
      <c r="AC21" s="24"/>
      <c r="AD21" s="25">
        <f>Z21*2</f>
        <v>0</v>
      </c>
      <c r="AE21" s="25">
        <f t="shared" si="9"/>
        <v>0</v>
      </c>
      <c r="AF21" s="25">
        <f>AB21*0</f>
        <v>0</v>
      </c>
      <c r="AG21" s="25">
        <f t="shared" si="11"/>
        <v>0</v>
      </c>
      <c r="AH21" s="24"/>
      <c r="AI21" s="107" t="s">
        <v>101</v>
      </c>
    </row>
    <row r="22" spans="1:35" ht="21" customHeight="1">
      <c r="A22" s="25">
        <v>16</v>
      </c>
      <c r="B22" s="32"/>
      <c r="C22" s="32"/>
      <c r="D22" s="32"/>
      <c r="E22" s="24"/>
      <c r="F22" s="25">
        <f>B22*0</f>
        <v>0</v>
      </c>
      <c r="G22" s="25">
        <f t="shared" si="1"/>
        <v>0</v>
      </c>
      <c r="H22" s="25">
        <f>D22*2</f>
        <v>0</v>
      </c>
      <c r="I22" s="25">
        <f t="shared" si="3"/>
        <v>0</v>
      </c>
      <c r="J22" s="105">
        <f>I12+I17+I20+I25+I29</f>
        <v>0</v>
      </c>
      <c r="K22" s="108">
        <f>J22</f>
        <v>0</v>
      </c>
      <c r="M22" s="25">
        <v>16</v>
      </c>
      <c r="N22" s="32"/>
      <c r="O22" s="32"/>
      <c r="P22" s="32"/>
      <c r="Q22" s="24"/>
      <c r="R22" s="25">
        <f>N22*0</f>
        <v>0</v>
      </c>
      <c r="S22" s="25">
        <f t="shared" si="5"/>
        <v>0</v>
      </c>
      <c r="T22" s="25">
        <f>P22*2</f>
        <v>0</v>
      </c>
      <c r="U22" s="25">
        <f t="shared" si="7"/>
        <v>0</v>
      </c>
      <c r="V22" s="105">
        <f>U12+U17+U20+U25+U29</f>
        <v>0</v>
      </c>
      <c r="W22" s="108">
        <f>V22</f>
        <v>0</v>
      </c>
      <c r="Y22" s="25">
        <v>16</v>
      </c>
      <c r="Z22" s="32"/>
      <c r="AA22" s="32"/>
      <c r="AB22" s="32"/>
      <c r="AC22" s="24"/>
      <c r="AD22" s="25">
        <f>Z22*0</f>
        <v>0</v>
      </c>
      <c r="AE22" s="25">
        <f t="shared" si="9"/>
        <v>0</v>
      </c>
      <c r="AF22" s="25">
        <f>AB22*2</f>
        <v>0</v>
      </c>
      <c r="AG22" s="25">
        <f t="shared" si="11"/>
        <v>0</v>
      </c>
      <c r="AH22" s="105">
        <f>AG12+AG17+AG20+AG25+AG29</f>
        <v>0</v>
      </c>
      <c r="AI22" s="108">
        <f>AH22</f>
        <v>0</v>
      </c>
    </row>
    <row r="23" spans="1:35" ht="21" customHeight="1">
      <c r="A23" s="25">
        <v>17</v>
      </c>
      <c r="B23" s="32"/>
      <c r="C23" s="32"/>
      <c r="D23" s="32"/>
      <c r="E23" s="24"/>
      <c r="F23" s="25">
        <f>B23*2</f>
        <v>0</v>
      </c>
      <c r="G23" s="25">
        <f t="shared" si="1"/>
        <v>0</v>
      </c>
      <c r="H23" s="25">
        <f>D23*0</f>
        <v>0</v>
      </c>
      <c r="I23" s="25">
        <f t="shared" si="3"/>
        <v>0</v>
      </c>
      <c r="J23" s="24"/>
      <c r="K23" s="25"/>
      <c r="M23" s="25">
        <v>17</v>
      </c>
      <c r="N23" s="32"/>
      <c r="O23" s="32"/>
      <c r="P23" s="32"/>
      <c r="Q23" s="24"/>
      <c r="R23" s="25">
        <f>N23*2</f>
        <v>0</v>
      </c>
      <c r="S23" s="25">
        <f t="shared" si="5"/>
        <v>0</v>
      </c>
      <c r="T23" s="25">
        <f>P23*0</f>
        <v>0</v>
      </c>
      <c r="U23" s="25">
        <f t="shared" si="7"/>
        <v>0</v>
      </c>
      <c r="V23" s="24"/>
      <c r="W23" s="25"/>
      <c r="Y23" s="25">
        <v>17</v>
      </c>
      <c r="Z23" s="32"/>
      <c r="AA23" s="32"/>
      <c r="AB23" s="32"/>
      <c r="AC23" s="24"/>
      <c r="AD23" s="25">
        <f>Z23*2</f>
        <v>0</v>
      </c>
      <c r="AE23" s="25">
        <f t="shared" si="9"/>
        <v>0</v>
      </c>
      <c r="AF23" s="25">
        <f>AB23*0</f>
        <v>0</v>
      </c>
      <c r="AG23" s="25">
        <f t="shared" si="11"/>
        <v>0</v>
      </c>
      <c r="AH23" s="24"/>
      <c r="AI23" s="25"/>
    </row>
    <row r="24" spans="1:35" ht="21" customHeight="1">
      <c r="A24" s="25">
        <v>18</v>
      </c>
      <c r="B24" s="32"/>
      <c r="C24" s="32"/>
      <c r="D24" s="32"/>
      <c r="E24" s="24"/>
      <c r="F24" s="25">
        <f>B24*2</f>
        <v>0</v>
      </c>
      <c r="G24" s="25">
        <f t="shared" si="1"/>
        <v>0</v>
      </c>
      <c r="H24" s="25">
        <f>D24*0</f>
        <v>0</v>
      </c>
      <c r="I24" s="25">
        <f t="shared" si="3"/>
        <v>0</v>
      </c>
      <c r="J24" s="24"/>
      <c r="K24" s="25"/>
      <c r="M24" s="25">
        <v>18</v>
      </c>
      <c r="N24" s="32"/>
      <c r="O24" s="32"/>
      <c r="P24" s="32"/>
      <c r="Q24" s="24"/>
      <c r="R24" s="25">
        <f>N24*2</f>
        <v>0</v>
      </c>
      <c r="S24" s="25">
        <f t="shared" si="5"/>
        <v>0</v>
      </c>
      <c r="T24" s="25">
        <f>P24*0</f>
        <v>0</v>
      </c>
      <c r="U24" s="25">
        <f t="shared" si="7"/>
        <v>0</v>
      </c>
      <c r="V24" s="24"/>
      <c r="W24" s="25"/>
      <c r="Y24" s="25">
        <v>18</v>
      </c>
      <c r="Z24" s="32"/>
      <c r="AA24" s="32"/>
      <c r="AB24" s="32"/>
      <c r="AC24" s="24"/>
      <c r="AD24" s="25">
        <f>Z24*2</f>
        <v>0</v>
      </c>
      <c r="AE24" s="25">
        <f t="shared" si="9"/>
        <v>0</v>
      </c>
      <c r="AF24" s="25">
        <f>AB24*0</f>
        <v>0</v>
      </c>
      <c r="AG24" s="25">
        <f t="shared" si="11"/>
        <v>0</v>
      </c>
      <c r="AH24" s="24"/>
      <c r="AI24" s="25"/>
    </row>
    <row r="25" spans="1:35" ht="21" customHeight="1">
      <c r="A25" s="25">
        <v>19</v>
      </c>
      <c r="B25" s="32"/>
      <c r="C25" s="32"/>
      <c r="D25" s="32"/>
      <c r="E25" s="24"/>
      <c r="F25" s="25">
        <f t="shared" ref="F25:F31" si="18">B25*0</f>
        <v>0</v>
      </c>
      <c r="G25" s="25">
        <f t="shared" si="1"/>
        <v>0</v>
      </c>
      <c r="H25" s="25">
        <f t="shared" ref="H25:H31" si="19">D25*2</f>
        <v>0</v>
      </c>
      <c r="I25" s="25">
        <f t="shared" si="3"/>
        <v>0</v>
      </c>
      <c r="J25" s="24"/>
      <c r="K25" s="107" t="s">
        <v>102</v>
      </c>
      <c r="M25" s="25">
        <v>19</v>
      </c>
      <c r="N25" s="32"/>
      <c r="O25" s="32"/>
      <c r="P25" s="32"/>
      <c r="Q25" s="24"/>
      <c r="R25" s="25">
        <f t="shared" ref="R25:R31" si="20">N25*0</f>
        <v>0</v>
      </c>
      <c r="S25" s="25">
        <f t="shared" si="5"/>
        <v>0</v>
      </c>
      <c r="T25" s="25">
        <f t="shared" ref="T25:T31" si="21">P25*2</f>
        <v>0</v>
      </c>
      <c r="U25" s="25">
        <f t="shared" si="7"/>
        <v>0</v>
      </c>
      <c r="V25" s="24"/>
      <c r="W25" s="107" t="s">
        <v>102</v>
      </c>
      <c r="Y25" s="25">
        <v>19</v>
      </c>
      <c r="Z25" s="32"/>
      <c r="AA25" s="32"/>
      <c r="AB25" s="32"/>
      <c r="AC25" s="24"/>
      <c r="AD25" s="25">
        <f t="shared" ref="AD25:AD31" si="22">Z25*0</f>
        <v>0</v>
      </c>
      <c r="AE25" s="25">
        <f t="shared" si="9"/>
        <v>0</v>
      </c>
      <c r="AF25" s="25">
        <f t="shared" ref="AF25:AF31" si="23">AB25*2</f>
        <v>0</v>
      </c>
      <c r="AG25" s="25">
        <f t="shared" si="11"/>
        <v>0</v>
      </c>
      <c r="AH25" s="24"/>
      <c r="AI25" s="107" t="s">
        <v>102</v>
      </c>
    </row>
    <row r="26" spans="1:35" ht="21" customHeight="1">
      <c r="A26" s="25">
        <v>20</v>
      </c>
      <c r="B26" s="32"/>
      <c r="C26" s="32"/>
      <c r="D26" s="32"/>
      <c r="E26" s="24"/>
      <c r="F26" s="25">
        <f t="shared" si="18"/>
        <v>0</v>
      </c>
      <c r="G26" s="25">
        <f t="shared" si="1"/>
        <v>0</v>
      </c>
      <c r="H26" s="25">
        <f t="shared" si="19"/>
        <v>0</v>
      </c>
      <c r="I26" s="25">
        <f t="shared" si="3"/>
        <v>0</v>
      </c>
      <c r="J26" s="24"/>
      <c r="K26" s="107" t="s">
        <v>103</v>
      </c>
      <c r="M26" s="25">
        <v>20</v>
      </c>
      <c r="N26" s="32"/>
      <c r="O26" s="32"/>
      <c r="P26" s="32"/>
      <c r="Q26" s="24"/>
      <c r="R26" s="25">
        <f t="shared" si="20"/>
        <v>0</v>
      </c>
      <c r="S26" s="25">
        <f t="shared" si="5"/>
        <v>0</v>
      </c>
      <c r="T26" s="25">
        <f t="shared" si="21"/>
        <v>0</v>
      </c>
      <c r="U26" s="25">
        <f t="shared" si="7"/>
        <v>0</v>
      </c>
      <c r="V26" s="24"/>
      <c r="W26" s="107" t="s">
        <v>103</v>
      </c>
      <c r="Y26" s="25">
        <v>20</v>
      </c>
      <c r="Z26" s="32"/>
      <c r="AA26" s="32"/>
      <c r="AB26" s="32"/>
      <c r="AC26" s="24"/>
      <c r="AD26" s="25">
        <f t="shared" si="22"/>
        <v>0</v>
      </c>
      <c r="AE26" s="25">
        <f t="shared" si="9"/>
        <v>0</v>
      </c>
      <c r="AF26" s="25">
        <f t="shared" si="23"/>
        <v>0</v>
      </c>
      <c r="AG26" s="25">
        <f t="shared" si="11"/>
        <v>0</v>
      </c>
      <c r="AH26" s="24"/>
      <c r="AI26" s="107" t="s">
        <v>103</v>
      </c>
    </row>
    <row r="27" spans="1:35" ht="21" customHeight="1">
      <c r="A27" s="25">
        <v>21</v>
      </c>
      <c r="B27" s="32"/>
      <c r="C27" s="32"/>
      <c r="D27" s="32"/>
      <c r="E27" s="24"/>
      <c r="F27" s="25">
        <f t="shared" si="18"/>
        <v>0</v>
      </c>
      <c r="G27" s="25">
        <f t="shared" si="1"/>
        <v>0</v>
      </c>
      <c r="H27" s="25">
        <f t="shared" si="19"/>
        <v>0</v>
      </c>
      <c r="I27" s="25">
        <f t="shared" si="3"/>
        <v>0</v>
      </c>
      <c r="J27" s="105">
        <f>I7+I10+I15+I23+I26</f>
        <v>0</v>
      </c>
      <c r="K27" s="108">
        <f>J27</f>
        <v>0</v>
      </c>
      <c r="M27" s="25">
        <v>21</v>
      </c>
      <c r="N27" s="32"/>
      <c r="O27" s="32"/>
      <c r="P27" s="32"/>
      <c r="Q27" s="24"/>
      <c r="R27" s="25">
        <f t="shared" si="20"/>
        <v>0</v>
      </c>
      <c r="S27" s="25">
        <f t="shared" si="5"/>
        <v>0</v>
      </c>
      <c r="T27" s="25">
        <f t="shared" si="21"/>
        <v>0</v>
      </c>
      <c r="U27" s="25">
        <f t="shared" si="7"/>
        <v>0</v>
      </c>
      <c r="V27" s="105">
        <f>U7+U10+U15+U23+U26</f>
        <v>0</v>
      </c>
      <c r="W27" s="108">
        <f>V27</f>
        <v>0</v>
      </c>
      <c r="Y27" s="25">
        <v>21</v>
      </c>
      <c r="Z27" s="32"/>
      <c r="AA27" s="32"/>
      <c r="AB27" s="32"/>
      <c r="AC27" s="24"/>
      <c r="AD27" s="25">
        <f t="shared" si="22"/>
        <v>0</v>
      </c>
      <c r="AE27" s="25">
        <f t="shared" si="9"/>
        <v>0</v>
      </c>
      <c r="AF27" s="25">
        <f t="shared" si="23"/>
        <v>0</v>
      </c>
      <c r="AG27" s="25">
        <f t="shared" si="11"/>
        <v>0</v>
      </c>
      <c r="AH27" s="105">
        <f>AG7+AG10+AG15+AG23+AG26</f>
        <v>0</v>
      </c>
      <c r="AI27" s="108">
        <f>AH27</f>
        <v>0</v>
      </c>
    </row>
    <row r="28" spans="1:35" ht="21" customHeight="1">
      <c r="A28" s="25">
        <v>22</v>
      </c>
      <c r="B28" s="32"/>
      <c r="C28" s="32"/>
      <c r="D28" s="32"/>
      <c r="E28" s="24"/>
      <c r="F28" s="25">
        <f t="shared" si="18"/>
        <v>0</v>
      </c>
      <c r="G28" s="25">
        <f t="shared" si="1"/>
        <v>0</v>
      </c>
      <c r="H28" s="25">
        <f t="shared" si="19"/>
        <v>0</v>
      </c>
      <c r="I28" s="25">
        <f t="shared" si="3"/>
        <v>0</v>
      </c>
      <c r="J28" s="24"/>
      <c r="K28" s="25"/>
      <c r="M28" s="25">
        <v>22</v>
      </c>
      <c r="N28" s="32"/>
      <c r="O28" s="32"/>
      <c r="P28" s="32"/>
      <c r="Q28" s="24"/>
      <c r="R28" s="25">
        <f t="shared" si="20"/>
        <v>0</v>
      </c>
      <c r="S28" s="25">
        <f t="shared" si="5"/>
        <v>0</v>
      </c>
      <c r="T28" s="25">
        <f t="shared" si="21"/>
        <v>0</v>
      </c>
      <c r="U28" s="25">
        <f t="shared" si="7"/>
        <v>0</v>
      </c>
      <c r="V28" s="24"/>
      <c r="W28" s="25"/>
      <c r="Y28" s="25">
        <v>22</v>
      </c>
      <c r="Z28" s="32"/>
      <c r="AA28" s="32"/>
      <c r="AB28" s="32"/>
      <c r="AC28" s="24"/>
      <c r="AD28" s="25">
        <f t="shared" si="22"/>
        <v>0</v>
      </c>
      <c r="AE28" s="25">
        <f t="shared" si="9"/>
        <v>0</v>
      </c>
      <c r="AF28" s="25">
        <f t="shared" si="23"/>
        <v>0</v>
      </c>
      <c r="AG28" s="25">
        <f t="shared" si="11"/>
        <v>0</v>
      </c>
      <c r="AH28" s="24"/>
      <c r="AI28" s="25"/>
    </row>
    <row r="29" spans="1:35" ht="21" customHeight="1">
      <c r="A29" s="25">
        <v>23</v>
      </c>
      <c r="B29" s="32"/>
      <c r="C29" s="32"/>
      <c r="D29" s="32"/>
      <c r="E29" s="24"/>
      <c r="F29" s="25">
        <f t="shared" si="18"/>
        <v>0</v>
      </c>
      <c r="G29" s="25">
        <f t="shared" si="1"/>
        <v>0</v>
      </c>
      <c r="H29" s="25">
        <f t="shared" si="19"/>
        <v>0</v>
      </c>
      <c r="I29" s="25">
        <f t="shared" si="3"/>
        <v>0</v>
      </c>
      <c r="J29" s="24"/>
      <c r="K29" s="107" t="s">
        <v>104</v>
      </c>
      <c r="M29" s="25">
        <v>23</v>
      </c>
      <c r="N29" s="32"/>
      <c r="O29" s="32"/>
      <c r="P29" s="32"/>
      <c r="Q29" s="24"/>
      <c r="R29" s="25">
        <f t="shared" si="20"/>
        <v>0</v>
      </c>
      <c r="S29" s="25">
        <f t="shared" si="5"/>
        <v>0</v>
      </c>
      <c r="T29" s="25">
        <f t="shared" si="21"/>
        <v>0</v>
      </c>
      <c r="U29" s="25">
        <f t="shared" si="7"/>
        <v>0</v>
      </c>
      <c r="V29" s="24"/>
      <c r="W29" s="107" t="s">
        <v>104</v>
      </c>
      <c r="Y29" s="25">
        <v>23</v>
      </c>
      <c r="Z29" s="32"/>
      <c r="AA29" s="32"/>
      <c r="AB29" s="32"/>
      <c r="AC29" s="24"/>
      <c r="AD29" s="25">
        <f t="shared" si="22"/>
        <v>0</v>
      </c>
      <c r="AE29" s="25">
        <f t="shared" si="9"/>
        <v>0</v>
      </c>
      <c r="AF29" s="25">
        <f t="shared" si="23"/>
        <v>0</v>
      </c>
      <c r="AG29" s="25">
        <f t="shared" si="11"/>
        <v>0</v>
      </c>
      <c r="AH29" s="24"/>
      <c r="AI29" s="107" t="s">
        <v>104</v>
      </c>
    </row>
    <row r="30" spans="1:35" ht="21" customHeight="1">
      <c r="A30" s="25">
        <v>24</v>
      </c>
      <c r="B30" s="32"/>
      <c r="C30" s="32"/>
      <c r="D30" s="32"/>
      <c r="E30" s="24"/>
      <c r="F30" s="25">
        <f t="shared" si="18"/>
        <v>0</v>
      </c>
      <c r="G30" s="25">
        <f t="shared" si="1"/>
        <v>0</v>
      </c>
      <c r="H30" s="25">
        <f t="shared" si="19"/>
        <v>0</v>
      </c>
      <c r="I30" s="25">
        <f t="shared" si="3"/>
        <v>0</v>
      </c>
      <c r="J30" s="24"/>
      <c r="K30" s="107" t="s">
        <v>105</v>
      </c>
      <c r="M30" s="25">
        <v>24</v>
      </c>
      <c r="N30" s="32"/>
      <c r="O30" s="32"/>
      <c r="P30" s="32"/>
      <c r="Q30" s="24"/>
      <c r="R30" s="25">
        <f t="shared" si="20"/>
        <v>0</v>
      </c>
      <c r="S30" s="25">
        <f t="shared" si="5"/>
        <v>0</v>
      </c>
      <c r="T30" s="25">
        <f t="shared" si="21"/>
        <v>0</v>
      </c>
      <c r="U30" s="25">
        <f t="shared" si="7"/>
        <v>0</v>
      </c>
      <c r="V30" s="24"/>
      <c r="W30" s="107" t="s">
        <v>105</v>
      </c>
      <c r="Y30" s="25">
        <v>24</v>
      </c>
      <c r="Z30" s="32"/>
      <c r="AA30" s="32"/>
      <c r="AB30" s="32"/>
      <c r="AC30" s="24"/>
      <c r="AD30" s="25">
        <f t="shared" si="22"/>
        <v>0</v>
      </c>
      <c r="AE30" s="25">
        <f t="shared" si="9"/>
        <v>0</v>
      </c>
      <c r="AF30" s="25">
        <f t="shared" si="23"/>
        <v>0</v>
      </c>
      <c r="AG30" s="25">
        <f t="shared" si="11"/>
        <v>0</v>
      </c>
      <c r="AH30" s="24"/>
      <c r="AI30" s="107" t="s">
        <v>105</v>
      </c>
    </row>
    <row r="31" spans="1:35" ht="21" customHeight="1">
      <c r="A31" s="25">
        <v>25</v>
      </c>
      <c r="B31" s="32"/>
      <c r="C31" s="32"/>
      <c r="D31" s="32"/>
      <c r="E31" s="24"/>
      <c r="F31" s="25">
        <f t="shared" si="18"/>
        <v>0</v>
      </c>
      <c r="G31" s="25">
        <f t="shared" si="1"/>
        <v>0</v>
      </c>
      <c r="H31" s="25">
        <f t="shared" si="19"/>
        <v>0</v>
      </c>
      <c r="I31" s="25">
        <f t="shared" si="3"/>
        <v>0</v>
      </c>
      <c r="J31" s="24"/>
      <c r="K31" s="108">
        <f>K7+K12+K17+K22</f>
        <v>0</v>
      </c>
      <c r="M31" s="25">
        <v>25</v>
      </c>
      <c r="N31" s="32"/>
      <c r="O31" s="32"/>
      <c r="P31" s="32"/>
      <c r="Q31" s="24"/>
      <c r="R31" s="25">
        <f t="shared" si="20"/>
        <v>0</v>
      </c>
      <c r="S31" s="25">
        <f t="shared" si="5"/>
        <v>0</v>
      </c>
      <c r="T31" s="25">
        <f t="shared" si="21"/>
        <v>0</v>
      </c>
      <c r="U31" s="25">
        <f t="shared" si="7"/>
        <v>0</v>
      </c>
      <c r="V31" s="24"/>
      <c r="W31" s="108">
        <f>W7+W12+W17+W22</f>
        <v>0</v>
      </c>
      <c r="Y31" s="25">
        <v>25</v>
      </c>
      <c r="Z31" s="32"/>
      <c r="AA31" s="32"/>
      <c r="AB31" s="32"/>
      <c r="AC31" s="24"/>
      <c r="AD31" s="25">
        <f t="shared" si="22"/>
        <v>0</v>
      </c>
      <c r="AE31" s="25">
        <f t="shared" si="9"/>
        <v>0</v>
      </c>
      <c r="AF31" s="25">
        <f t="shared" si="23"/>
        <v>0</v>
      </c>
      <c r="AG31" s="25">
        <f t="shared" si="11"/>
        <v>0</v>
      </c>
      <c r="AH31" s="24"/>
      <c r="AI31" s="108">
        <f>AI7+AI12+AI17+AI22</f>
        <v>0</v>
      </c>
    </row>
    <row r="32" spans="1:35" ht="21" customHeight="1">
      <c r="A32" s="23" t="s">
        <v>106</v>
      </c>
      <c r="B32" s="162" t="s">
        <v>107</v>
      </c>
      <c r="C32" s="162"/>
      <c r="D32" s="162"/>
      <c r="E32" s="162"/>
      <c r="F32" s="162"/>
      <c r="G32" s="162"/>
      <c r="H32" s="162"/>
      <c r="I32" s="162"/>
      <c r="J32" s="162"/>
      <c r="K32" s="162"/>
      <c r="M32" s="23" t="s">
        <v>106</v>
      </c>
      <c r="N32" s="162" t="s">
        <v>107</v>
      </c>
      <c r="O32" s="162"/>
      <c r="P32" s="162"/>
      <c r="Q32" s="162"/>
      <c r="R32" s="162"/>
      <c r="S32" s="162"/>
      <c r="T32" s="162"/>
      <c r="U32" s="162"/>
      <c r="V32" s="162"/>
      <c r="W32" s="162"/>
      <c r="Y32" s="23" t="s">
        <v>106</v>
      </c>
      <c r="Z32" s="162" t="s">
        <v>107</v>
      </c>
      <c r="AA32" s="162"/>
      <c r="AB32" s="162"/>
      <c r="AC32" s="162"/>
      <c r="AD32" s="162"/>
      <c r="AE32" s="162"/>
      <c r="AF32" s="162"/>
      <c r="AG32" s="162"/>
      <c r="AH32" s="162"/>
      <c r="AI32" s="162"/>
    </row>
    <row r="33" spans="1:35" ht="21" customHeight="1">
      <c r="A33" s="23" t="s">
        <v>108</v>
      </c>
      <c r="B33" s="23" t="s">
        <v>109</v>
      </c>
      <c r="C33" s="23" t="s">
        <v>110</v>
      </c>
      <c r="D33" s="23" t="s">
        <v>111</v>
      </c>
      <c r="E33" s="23" t="s">
        <v>112</v>
      </c>
      <c r="F33" s="25" t="s">
        <v>113</v>
      </c>
      <c r="G33" s="25" t="s">
        <v>114</v>
      </c>
      <c r="H33" s="23" t="s">
        <v>115</v>
      </c>
      <c r="I33" s="25" t="s">
        <v>94</v>
      </c>
      <c r="J33" s="24"/>
      <c r="K33" s="109" t="s">
        <v>116</v>
      </c>
      <c r="M33" s="23" t="s">
        <v>108</v>
      </c>
      <c r="N33" s="23" t="s">
        <v>109</v>
      </c>
      <c r="O33" s="23" t="s">
        <v>110</v>
      </c>
      <c r="P33" s="23" t="s">
        <v>111</v>
      </c>
      <c r="Q33" s="23" t="s">
        <v>112</v>
      </c>
      <c r="R33" s="25" t="s">
        <v>113</v>
      </c>
      <c r="S33" s="25" t="s">
        <v>114</v>
      </c>
      <c r="T33" s="23" t="s">
        <v>115</v>
      </c>
      <c r="U33" s="25" t="s">
        <v>94</v>
      </c>
      <c r="V33" s="24"/>
      <c r="W33" s="109" t="s">
        <v>116</v>
      </c>
      <c r="Y33" s="23" t="s">
        <v>108</v>
      </c>
      <c r="Z33" s="23" t="s">
        <v>109</v>
      </c>
      <c r="AA33" s="23" t="s">
        <v>110</v>
      </c>
      <c r="AB33" s="23" t="s">
        <v>111</v>
      </c>
      <c r="AC33" s="23" t="s">
        <v>112</v>
      </c>
      <c r="AD33" s="25" t="s">
        <v>113</v>
      </c>
      <c r="AE33" s="25" t="s">
        <v>114</v>
      </c>
      <c r="AF33" s="23" t="s">
        <v>115</v>
      </c>
      <c r="AG33" s="25" t="s">
        <v>94</v>
      </c>
      <c r="AH33" s="24"/>
      <c r="AI33" s="109" t="s">
        <v>116</v>
      </c>
    </row>
    <row r="34" spans="1:35" ht="21" customHeight="1">
      <c r="A34" s="26" t="s">
        <v>117</v>
      </c>
      <c r="B34" s="32"/>
      <c r="C34" s="32"/>
      <c r="D34" s="32"/>
      <c r="E34" s="33"/>
      <c r="F34" s="25">
        <f t="shared" ref="F34:F41" si="24">C34*0</f>
        <v>0</v>
      </c>
      <c r="G34" s="25">
        <f t="shared" ref="G34:G41" si="25">D34*1</f>
        <v>0</v>
      </c>
      <c r="H34" s="25">
        <f t="shared" ref="H34:H41" si="26">E34*2</f>
        <v>0</v>
      </c>
      <c r="I34" s="25">
        <f t="shared" ref="I34:I41" si="27">SUM(F34:F34)</f>
        <v>0</v>
      </c>
      <c r="J34" s="24"/>
      <c r="K34" s="107" t="s">
        <v>118</v>
      </c>
      <c r="M34" s="26" t="s">
        <v>117</v>
      </c>
      <c r="N34" s="32"/>
      <c r="O34" s="32"/>
      <c r="P34" s="32"/>
      <c r="Q34" s="33"/>
      <c r="R34" s="25">
        <f t="shared" ref="R34:R41" si="28">O34*0</f>
        <v>0</v>
      </c>
      <c r="S34" s="25">
        <f t="shared" ref="S34:S41" si="29">P34*1</f>
        <v>0</v>
      </c>
      <c r="T34" s="25">
        <f t="shared" ref="T34:T41" si="30">Q34*2</f>
        <v>0</v>
      </c>
      <c r="U34" s="25">
        <f t="shared" ref="U34:U41" si="31">SUM(R34:R34)</f>
        <v>0</v>
      </c>
      <c r="V34" s="24"/>
      <c r="W34" s="107" t="s">
        <v>118</v>
      </c>
      <c r="Y34" s="26" t="s">
        <v>117</v>
      </c>
      <c r="Z34" s="32"/>
      <c r="AA34" s="32"/>
      <c r="AB34" s="32"/>
      <c r="AC34" s="33"/>
      <c r="AD34" s="25">
        <f t="shared" ref="AD34:AD41" si="32">AA34*0</f>
        <v>0</v>
      </c>
      <c r="AE34" s="25">
        <f t="shared" ref="AE34:AE41" si="33">AB34*1</f>
        <v>0</v>
      </c>
      <c r="AF34" s="25">
        <f t="shared" ref="AF34:AF41" si="34">AC34*2</f>
        <v>0</v>
      </c>
      <c r="AG34" s="25">
        <f t="shared" ref="AG34:AG41" si="35">SUM(AD34:AD34)</f>
        <v>0</v>
      </c>
      <c r="AH34" s="24"/>
      <c r="AI34" s="107" t="s">
        <v>118</v>
      </c>
    </row>
    <row r="35" spans="1:35" ht="21" customHeight="1">
      <c r="A35" s="26" t="s">
        <v>119</v>
      </c>
      <c r="B35" s="32"/>
      <c r="C35" s="32"/>
      <c r="D35" s="32"/>
      <c r="E35" s="33"/>
      <c r="F35" s="25">
        <f t="shared" si="24"/>
        <v>0</v>
      </c>
      <c r="G35" s="25">
        <f t="shared" si="25"/>
        <v>0</v>
      </c>
      <c r="H35" s="25">
        <f t="shared" si="26"/>
        <v>0</v>
      </c>
      <c r="I35" s="25">
        <f t="shared" si="27"/>
        <v>0</v>
      </c>
      <c r="J35" s="25">
        <f>I34+I35+I36+I37+I38+I39+I40+I41</f>
        <v>0</v>
      </c>
      <c r="K35" s="107" t="s">
        <v>120</v>
      </c>
      <c r="M35" s="26" t="s">
        <v>119</v>
      </c>
      <c r="N35" s="32"/>
      <c r="O35" s="32"/>
      <c r="P35" s="32"/>
      <c r="Q35" s="33"/>
      <c r="R35" s="25">
        <f t="shared" si="28"/>
        <v>0</v>
      </c>
      <c r="S35" s="25">
        <f t="shared" si="29"/>
        <v>0</v>
      </c>
      <c r="T35" s="25">
        <f t="shared" si="30"/>
        <v>0</v>
      </c>
      <c r="U35" s="25">
        <f t="shared" si="31"/>
        <v>0</v>
      </c>
      <c r="V35" s="25">
        <f>U34+U35+U36+U37+U38+U39+U40+U41</f>
        <v>0</v>
      </c>
      <c r="W35" s="107" t="s">
        <v>120</v>
      </c>
      <c r="Y35" s="26" t="s">
        <v>119</v>
      </c>
      <c r="Z35" s="32"/>
      <c r="AA35" s="32"/>
      <c r="AB35" s="32"/>
      <c r="AC35" s="33"/>
      <c r="AD35" s="25">
        <f t="shared" si="32"/>
        <v>0</v>
      </c>
      <c r="AE35" s="25">
        <f t="shared" si="33"/>
        <v>0</v>
      </c>
      <c r="AF35" s="25">
        <f t="shared" si="34"/>
        <v>0</v>
      </c>
      <c r="AG35" s="25">
        <f t="shared" si="35"/>
        <v>0</v>
      </c>
      <c r="AH35" s="25">
        <f>AG34+AG35+AG36+AG37+AG38+AG39+AG40+AG41</f>
        <v>0</v>
      </c>
      <c r="AI35" s="107" t="s">
        <v>120</v>
      </c>
    </row>
    <row r="36" spans="1:35" ht="21" customHeight="1">
      <c r="A36" s="26" t="s">
        <v>121</v>
      </c>
      <c r="B36" s="32"/>
      <c r="C36" s="32"/>
      <c r="D36" s="32"/>
      <c r="E36" s="33"/>
      <c r="F36" s="25">
        <f t="shared" si="24"/>
        <v>0</v>
      </c>
      <c r="G36" s="25">
        <f t="shared" si="25"/>
        <v>0</v>
      </c>
      <c r="H36" s="25">
        <f t="shared" si="26"/>
        <v>0</v>
      </c>
      <c r="I36" s="25">
        <f t="shared" si="27"/>
        <v>0</v>
      </c>
      <c r="J36" s="24"/>
      <c r="K36" s="107"/>
      <c r="M36" s="26" t="s">
        <v>121</v>
      </c>
      <c r="N36" s="32"/>
      <c r="O36" s="32"/>
      <c r="P36" s="32"/>
      <c r="Q36" s="33"/>
      <c r="R36" s="25">
        <f t="shared" si="28"/>
        <v>0</v>
      </c>
      <c r="S36" s="25">
        <f t="shared" si="29"/>
        <v>0</v>
      </c>
      <c r="T36" s="25">
        <f t="shared" si="30"/>
        <v>0</v>
      </c>
      <c r="U36" s="25">
        <f t="shared" si="31"/>
        <v>0</v>
      </c>
      <c r="V36" s="24"/>
      <c r="W36" s="107"/>
      <c r="Y36" s="26" t="s">
        <v>121</v>
      </c>
      <c r="Z36" s="32"/>
      <c r="AA36" s="32"/>
      <c r="AB36" s="32"/>
      <c r="AC36" s="33"/>
      <c r="AD36" s="25">
        <f t="shared" si="32"/>
        <v>0</v>
      </c>
      <c r="AE36" s="25">
        <f t="shared" si="33"/>
        <v>0</v>
      </c>
      <c r="AF36" s="25">
        <f t="shared" si="34"/>
        <v>0</v>
      </c>
      <c r="AG36" s="25">
        <f t="shared" si="35"/>
        <v>0</v>
      </c>
      <c r="AH36" s="24"/>
      <c r="AI36" s="107"/>
    </row>
    <row r="37" spans="1:35" ht="21" customHeight="1">
      <c r="A37" s="26" t="s">
        <v>122</v>
      </c>
      <c r="B37" s="32"/>
      <c r="C37" s="32"/>
      <c r="D37" s="32"/>
      <c r="E37" s="33"/>
      <c r="F37" s="25">
        <f t="shared" si="24"/>
        <v>0</v>
      </c>
      <c r="G37" s="25">
        <f t="shared" si="25"/>
        <v>0</v>
      </c>
      <c r="H37" s="25">
        <f t="shared" si="26"/>
        <v>0</v>
      </c>
      <c r="I37" s="25">
        <f t="shared" si="27"/>
        <v>0</v>
      </c>
      <c r="J37" s="24"/>
      <c r="K37" s="108">
        <f>J35</f>
        <v>0</v>
      </c>
      <c r="M37" s="26" t="s">
        <v>122</v>
      </c>
      <c r="N37" s="32"/>
      <c r="O37" s="32"/>
      <c r="P37" s="32"/>
      <c r="Q37" s="33"/>
      <c r="R37" s="25">
        <f t="shared" si="28"/>
        <v>0</v>
      </c>
      <c r="S37" s="25">
        <f t="shared" si="29"/>
        <v>0</v>
      </c>
      <c r="T37" s="25">
        <f t="shared" si="30"/>
        <v>0</v>
      </c>
      <c r="U37" s="25">
        <f t="shared" si="31"/>
        <v>0</v>
      </c>
      <c r="V37" s="24"/>
      <c r="W37" s="108">
        <f>V35</f>
        <v>0</v>
      </c>
      <c r="Y37" s="26" t="s">
        <v>122</v>
      </c>
      <c r="Z37" s="32"/>
      <c r="AA37" s="32"/>
      <c r="AB37" s="32"/>
      <c r="AC37" s="33"/>
      <c r="AD37" s="25">
        <f t="shared" si="32"/>
        <v>0</v>
      </c>
      <c r="AE37" s="25">
        <f t="shared" si="33"/>
        <v>0</v>
      </c>
      <c r="AF37" s="25">
        <f t="shared" si="34"/>
        <v>0</v>
      </c>
      <c r="AG37" s="25">
        <f t="shared" si="35"/>
        <v>0</v>
      </c>
      <c r="AH37" s="24"/>
      <c r="AI37" s="108">
        <f>AH35</f>
        <v>0</v>
      </c>
    </row>
    <row r="38" spans="1:35" ht="21" customHeight="1">
      <c r="A38" s="26" t="s">
        <v>123</v>
      </c>
      <c r="B38" s="32"/>
      <c r="C38" s="32"/>
      <c r="D38" s="32"/>
      <c r="E38" s="33"/>
      <c r="F38" s="25">
        <f t="shared" si="24"/>
        <v>0</v>
      </c>
      <c r="G38" s="25">
        <f t="shared" si="25"/>
        <v>0</v>
      </c>
      <c r="H38" s="25">
        <f t="shared" si="26"/>
        <v>0</v>
      </c>
      <c r="I38" s="25">
        <f t="shared" si="27"/>
        <v>0</v>
      </c>
      <c r="J38" s="24"/>
      <c r="K38" s="25"/>
      <c r="M38" s="26" t="s">
        <v>123</v>
      </c>
      <c r="N38" s="32"/>
      <c r="O38" s="32"/>
      <c r="P38" s="32"/>
      <c r="Q38" s="33"/>
      <c r="R38" s="25">
        <f t="shared" si="28"/>
        <v>0</v>
      </c>
      <c r="S38" s="25">
        <f t="shared" si="29"/>
        <v>0</v>
      </c>
      <c r="T38" s="25">
        <f t="shared" si="30"/>
        <v>0</v>
      </c>
      <c r="U38" s="25">
        <f t="shared" si="31"/>
        <v>0</v>
      </c>
      <c r="V38" s="24"/>
      <c r="W38" s="25"/>
      <c r="Y38" s="26" t="s">
        <v>123</v>
      </c>
      <c r="Z38" s="32"/>
      <c r="AA38" s="32"/>
      <c r="AB38" s="32"/>
      <c r="AC38" s="33"/>
      <c r="AD38" s="25">
        <f t="shared" si="32"/>
        <v>0</v>
      </c>
      <c r="AE38" s="25">
        <f t="shared" si="33"/>
        <v>0</v>
      </c>
      <c r="AF38" s="25">
        <f t="shared" si="34"/>
        <v>0</v>
      </c>
      <c r="AG38" s="25">
        <f t="shared" si="35"/>
        <v>0</v>
      </c>
      <c r="AH38" s="24"/>
      <c r="AI38" s="25"/>
    </row>
    <row r="39" spans="1:35" ht="21" customHeight="1">
      <c r="A39" s="26" t="s">
        <v>124</v>
      </c>
      <c r="B39" s="32"/>
      <c r="C39" s="32"/>
      <c r="D39" s="32"/>
      <c r="E39" s="33"/>
      <c r="F39" s="25">
        <f t="shared" si="24"/>
        <v>0</v>
      </c>
      <c r="G39" s="25">
        <f t="shared" si="25"/>
        <v>0</v>
      </c>
      <c r="H39" s="25">
        <f t="shared" si="26"/>
        <v>0</v>
      </c>
      <c r="I39" s="25">
        <f t="shared" si="27"/>
        <v>0</v>
      </c>
      <c r="J39" s="24"/>
      <c r="K39" s="25"/>
      <c r="M39" s="26" t="s">
        <v>124</v>
      </c>
      <c r="N39" s="32"/>
      <c r="O39" s="32"/>
      <c r="P39" s="32"/>
      <c r="Q39" s="33"/>
      <c r="R39" s="25">
        <f t="shared" si="28"/>
        <v>0</v>
      </c>
      <c r="S39" s="25">
        <f t="shared" si="29"/>
        <v>0</v>
      </c>
      <c r="T39" s="25">
        <f t="shared" si="30"/>
        <v>0</v>
      </c>
      <c r="U39" s="25">
        <f t="shared" si="31"/>
        <v>0</v>
      </c>
      <c r="V39" s="24"/>
      <c r="W39" s="25"/>
      <c r="Y39" s="26" t="s">
        <v>124</v>
      </c>
      <c r="Z39" s="32"/>
      <c r="AA39" s="32"/>
      <c r="AB39" s="32"/>
      <c r="AC39" s="33"/>
      <c r="AD39" s="25">
        <f t="shared" si="32"/>
        <v>0</v>
      </c>
      <c r="AE39" s="25">
        <f t="shared" si="33"/>
        <v>0</v>
      </c>
      <c r="AF39" s="25">
        <f t="shared" si="34"/>
        <v>0</v>
      </c>
      <c r="AG39" s="25">
        <f t="shared" si="35"/>
        <v>0</v>
      </c>
      <c r="AH39" s="24"/>
      <c r="AI39" s="25"/>
    </row>
    <row r="40" spans="1:35" ht="21" customHeight="1">
      <c r="A40" s="26" t="s">
        <v>125</v>
      </c>
      <c r="B40" s="32"/>
      <c r="C40" s="32"/>
      <c r="D40" s="32"/>
      <c r="E40" s="33"/>
      <c r="F40" s="25">
        <f t="shared" si="24"/>
        <v>0</v>
      </c>
      <c r="G40" s="25">
        <f t="shared" si="25"/>
        <v>0</v>
      </c>
      <c r="H40" s="25">
        <f t="shared" si="26"/>
        <v>0</v>
      </c>
      <c r="I40" s="25">
        <f t="shared" si="27"/>
        <v>0</v>
      </c>
      <c r="J40" s="24"/>
      <c r="K40" s="25"/>
      <c r="M40" s="26" t="s">
        <v>125</v>
      </c>
      <c r="N40" s="32"/>
      <c r="O40" s="32"/>
      <c r="P40" s="32"/>
      <c r="Q40" s="33"/>
      <c r="R40" s="25">
        <f t="shared" si="28"/>
        <v>0</v>
      </c>
      <c r="S40" s="25">
        <f t="shared" si="29"/>
        <v>0</v>
      </c>
      <c r="T40" s="25">
        <f t="shared" si="30"/>
        <v>0</v>
      </c>
      <c r="U40" s="25">
        <f t="shared" si="31"/>
        <v>0</v>
      </c>
      <c r="V40" s="24"/>
      <c r="W40" s="25"/>
      <c r="Y40" s="26" t="s">
        <v>125</v>
      </c>
      <c r="Z40" s="32"/>
      <c r="AA40" s="32"/>
      <c r="AB40" s="32"/>
      <c r="AC40" s="33"/>
      <c r="AD40" s="25">
        <f t="shared" si="32"/>
        <v>0</v>
      </c>
      <c r="AE40" s="25">
        <f t="shared" si="33"/>
        <v>0</v>
      </c>
      <c r="AF40" s="25">
        <f t="shared" si="34"/>
        <v>0</v>
      </c>
      <c r="AG40" s="25">
        <f t="shared" si="35"/>
        <v>0</v>
      </c>
      <c r="AH40" s="24"/>
      <c r="AI40" s="25"/>
    </row>
    <row r="41" spans="1:35" ht="21" customHeight="1">
      <c r="A41" s="26" t="s">
        <v>126</v>
      </c>
      <c r="B41" s="32"/>
      <c r="C41" s="32"/>
      <c r="D41" s="32"/>
      <c r="E41" s="33"/>
      <c r="F41" s="25">
        <f t="shared" si="24"/>
        <v>0</v>
      </c>
      <c r="G41" s="25">
        <f t="shared" si="25"/>
        <v>0</v>
      </c>
      <c r="H41" s="25">
        <f t="shared" si="26"/>
        <v>0</v>
      </c>
      <c r="I41" s="25">
        <f t="shared" si="27"/>
        <v>0</v>
      </c>
      <c r="J41" s="24"/>
      <c r="K41" s="25"/>
      <c r="M41" s="26" t="s">
        <v>126</v>
      </c>
      <c r="N41" s="32"/>
      <c r="O41" s="32"/>
      <c r="P41" s="32"/>
      <c r="Q41" s="33"/>
      <c r="R41" s="25">
        <f t="shared" si="28"/>
        <v>0</v>
      </c>
      <c r="S41" s="25">
        <f t="shared" si="29"/>
        <v>0</v>
      </c>
      <c r="T41" s="25">
        <f t="shared" si="30"/>
        <v>0</v>
      </c>
      <c r="U41" s="25">
        <f t="shared" si="31"/>
        <v>0</v>
      </c>
      <c r="V41" s="24"/>
      <c r="W41" s="25"/>
      <c r="Y41" s="26" t="s">
        <v>126</v>
      </c>
      <c r="Z41" s="32"/>
      <c r="AA41" s="32"/>
      <c r="AB41" s="32"/>
      <c r="AC41" s="33"/>
      <c r="AD41" s="25">
        <f t="shared" si="32"/>
        <v>0</v>
      </c>
      <c r="AE41" s="25">
        <f t="shared" si="33"/>
        <v>0</v>
      </c>
      <c r="AF41" s="25">
        <f t="shared" si="34"/>
        <v>0</v>
      </c>
      <c r="AG41" s="25">
        <f t="shared" si="35"/>
        <v>0</v>
      </c>
      <c r="AH41" s="24"/>
      <c r="AI41" s="25"/>
    </row>
  </sheetData>
  <mergeCells count="21">
    <mergeCell ref="B32:K32"/>
    <mergeCell ref="N32:W32"/>
    <mergeCell ref="Z32:AI32"/>
    <mergeCell ref="A5:D5"/>
    <mergeCell ref="F5:I5"/>
    <mergeCell ref="M5:P5"/>
    <mergeCell ref="R5:U5"/>
    <mergeCell ref="Y5:AB5"/>
    <mergeCell ref="AD5:AG5"/>
    <mergeCell ref="G3:I3"/>
    <mergeCell ref="S3:U3"/>
    <mergeCell ref="AE3:AG3"/>
    <mergeCell ref="A4:D4"/>
    <mergeCell ref="M4:P4"/>
    <mergeCell ref="Y4:AB4"/>
    <mergeCell ref="A1:K1"/>
    <mergeCell ref="M1:W1"/>
    <mergeCell ref="Y1:AI1"/>
    <mergeCell ref="A2:K2"/>
    <mergeCell ref="M2:W2"/>
    <mergeCell ref="Y2:AI2"/>
  </mergeCells>
  <pageMargins left="0.7" right="0.7" top="0.75" bottom="0.75" header="0.3" footer="0.3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FF0000"/>
  </sheetPr>
  <dimension ref="A1:R65526"/>
  <sheetViews>
    <sheetView view="pageBreakPreview" topLeftCell="A25" zoomScale="120" workbookViewId="0">
      <selection activeCell="F7" sqref="F7"/>
    </sheetView>
  </sheetViews>
  <sheetFormatPr defaultColWidth="9.140625" defaultRowHeight="24" customHeight="1"/>
  <cols>
    <col min="1" max="1" width="4.7109375" style="1" customWidth="1"/>
    <col min="2" max="2" width="6.85546875" style="1" customWidth="1"/>
    <col min="3" max="3" width="10" style="1" customWidth="1"/>
    <col min="4" max="4" width="24.28515625" style="62" customWidth="1"/>
    <col min="5" max="5" width="3.7109375" style="64" customWidth="1"/>
    <col min="6" max="6" width="9.140625" style="1"/>
    <col min="7" max="7" width="3.140625" style="64" customWidth="1"/>
    <col min="8" max="8" width="9" style="1" customWidth="1"/>
    <col min="9" max="9" width="3" style="64" customWidth="1"/>
    <col min="10" max="10" width="9.85546875" style="1" customWidth="1"/>
    <col min="11" max="11" width="3.7109375" style="64" customWidth="1"/>
    <col min="12" max="12" width="9" style="1" customWidth="1"/>
    <col min="13" max="13" width="3" style="64" customWidth="1"/>
    <col min="14" max="14" width="9.7109375" style="1" customWidth="1"/>
    <col min="15" max="15" width="3" style="64" customWidth="1"/>
    <col min="16" max="16" width="11" style="1" customWidth="1"/>
    <col min="17" max="17" width="3" style="64" customWidth="1"/>
    <col min="18" max="18" width="12.85546875" style="1" customWidth="1"/>
  </cols>
  <sheetData>
    <row r="1" spans="1:18" s="46" customFormat="1" ht="24" customHeight="1">
      <c r="A1" s="44"/>
      <c r="B1" s="44"/>
      <c r="C1" s="44"/>
      <c r="D1" s="45"/>
      <c r="E1" s="179" t="s">
        <v>127</v>
      </c>
      <c r="F1" s="179"/>
      <c r="G1" s="179"/>
      <c r="H1" s="179"/>
      <c r="I1" s="179"/>
      <c r="J1" s="179"/>
      <c r="K1" s="179"/>
      <c r="L1" s="179"/>
      <c r="M1" s="179"/>
      <c r="N1" s="179"/>
      <c r="O1" s="179"/>
    </row>
    <row r="2" spans="1:18" s="46" customFormat="1" ht="24" customHeight="1">
      <c r="A2" s="182" t="str">
        <f>ข้อมูล!C7</f>
        <v>โรงเรียนเทศบาลท่าอิฐ อำเภอเมือง จังหวัดอุตรดิตถ์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</row>
    <row r="3" spans="1:18" s="46" customFormat="1" ht="24" customHeight="1">
      <c r="A3" s="179" t="str">
        <f>ข้อมูล!C1</f>
        <v>ชั้นประถมศึกษาปีที่</v>
      </c>
      <c r="B3" s="179"/>
      <c r="C3" s="179"/>
      <c r="D3" s="179"/>
      <c r="E3" s="48"/>
      <c r="F3" s="49" t="str">
        <f>ข้อมูล!C2</f>
        <v>6/3</v>
      </c>
      <c r="G3" s="44"/>
      <c r="H3" s="50" t="s">
        <v>128</v>
      </c>
      <c r="I3" s="171" t="str">
        <f>ข้อมูล!C5</f>
        <v>นางสาวพอใจ  สุขหา</v>
      </c>
      <c r="J3" s="171"/>
      <c r="K3" s="171"/>
      <c r="L3" s="171"/>
      <c r="M3" s="171"/>
      <c r="N3" s="171"/>
      <c r="O3" s="171"/>
      <c r="P3" s="172" t="s">
        <v>129</v>
      </c>
      <c r="Q3" s="172"/>
      <c r="R3" s="51">
        <f>ข้อมูล!C4</f>
        <v>2568</v>
      </c>
    </row>
    <row r="4" spans="1:18" s="46" customFormat="1" ht="24" customHeight="1">
      <c r="A4" s="47"/>
      <c r="B4" s="47"/>
      <c r="C4" s="47"/>
      <c r="D4" s="47"/>
      <c r="E4" s="48"/>
      <c r="F4" s="52"/>
      <c r="G4" s="44"/>
      <c r="H4" s="44"/>
      <c r="I4" s="171" t="str">
        <f>ข้อมูล!C6</f>
        <v>นางสาวพอใจ  สุขหา</v>
      </c>
      <c r="J4" s="171"/>
      <c r="K4" s="171"/>
      <c r="L4" s="171"/>
      <c r="M4" s="171"/>
      <c r="N4" s="171"/>
      <c r="O4" s="171"/>
      <c r="R4" s="52"/>
    </row>
    <row r="5" spans="1:18" ht="24" customHeight="1">
      <c r="A5" s="183" t="s">
        <v>130</v>
      </c>
      <c r="B5" s="173" t="s">
        <v>131</v>
      </c>
      <c r="C5" s="174"/>
      <c r="D5" s="175"/>
      <c r="E5" s="185" t="s">
        <v>117</v>
      </c>
      <c r="F5" s="185"/>
      <c r="G5" s="186" t="s">
        <v>132</v>
      </c>
      <c r="H5" s="187"/>
      <c r="I5" s="186" t="s">
        <v>133</v>
      </c>
      <c r="J5" s="187"/>
      <c r="K5" s="186" t="s">
        <v>134</v>
      </c>
      <c r="L5" s="187"/>
      <c r="M5" s="188" t="s">
        <v>135</v>
      </c>
      <c r="N5" s="189"/>
      <c r="O5" s="180" t="s">
        <v>136</v>
      </c>
      <c r="P5" s="181"/>
      <c r="Q5" s="190" t="s">
        <v>137</v>
      </c>
      <c r="R5" s="191"/>
    </row>
    <row r="6" spans="1:18" ht="63" customHeight="1">
      <c r="A6" s="184"/>
      <c r="B6" s="176"/>
      <c r="C6" s="177"/>
      <c r="D6" s="178"/>
      <c r="E6" s="53" t="s">
        <v>138</v>
      </c>
      <c r="F6" s="54" t="s">
        <v>139</v>
      </c>
      <c r="G6" s="55" t="s">
        <v>138</v>
      </c>
      <c r="H6" s="54" t="s">
        <v>139</v>
      </c>
      <c r="I6" s="55" t="s">
        <v>138</v>
      </c>
      <c r="J6" s="54" t="s">
        <v>139</v>
      </c>
      <c r="K6" s="55" t="s">
        <v>138</v>
      </c>
      <c r="L6" s="54" t="s">
        <v>139</v>
      </c>
      <c r="M6" s="55" t="s">
        <v>138</v>
      </c>
      <c r="N6" s="56" t="s">
        <v>139</v>
      </c>
      <c r="O6" s="53" t="s">
        <v>138</v>
      </c>
      <c r="P6" s="57" t="s">
        <v>139</v>
      </c>
      <c r="Q6" s="55" t="s">
        <v>138</v>
      </c>
      <c r="R6" s="54" t="s">
        <v>139</v>
      </c>
    </row>
    <row r="7" spans="1:18" ht="24" customHeight="1">
      <c r="A7" s="101">
        <v>1</v>
      </c>
      <c r="B7" s="100" t="str">
        <f>รายชื่อ!B1</f>
        <v>เด็กชาย</v>
      </c>
      <c r="C7" s="112" t="str">
        <f>รายชื่อ!C1</f>
        <v>ณฐวัฒน์</v>
      </c>
      <c r="D7" s="113" t="str">
        <f>รายชื่อ!D1</f>
        <v>ขวัญมุข</v>
      </c>
      <c r="E7" s="132">
        <f>'01'!K7</f>
        <v>0</v>
      </c>
      <c r="F7" s="59" t="str">
        <f t="shared" ref="F7:F46" si="0">IF(E7&gt;5,"เสี่ยง/มีปัญหา","ปกติ")</f>
        <v>ปกติ</v>
      </c>
      <c r="G7" s="132">
        <f>'01'!K12</f>
        <v>4</v>
      </c>
      <c r="H7" s="59" t="str">
        <f t="shared" ref="H7:H46" si="1">IF(G7&gt;4,"เสี่ยง/มีปัญหา","ปกติ")</f>
        <v>ปกติ</v>
      </c>
      <c r="I7" s="132">
        <f>'01'!K17</f>
        <v>0</v>
      </c>
      <c r="J7" s="59" t="str">
        <f t="shared" ref="J7:J46" si="2">IF(I7&gt;5,"เสี่ยง/มีปัญหา","ปกติ")</f>
        <v>ปกติ</v>
      </c>
      <c r="K7" s="58">
        <f>'01'!K22</f>
        <v>0</v>
      </c>
      <c r="L7" s="59" t="str">
        <f t="shared" ref="L7:L46" si="3">IF(K7&gt;3,"เสี่ยง/มีปัญหา","ปกติ")</f>
        <v>ปกติ</v>
      </c>
      <c r="M7" s="58">
        <f t="shared" ref="M7:M46" si="4">E7+G7+I7+K7</f>
        <v>4</v>
      </c>
      <c r="N7" s="59" t="str">
        <f t="shared" ref="N7:N46" si="5">IF(M7&gt;16,"เสี่ยง/มีปัญหา","ปกติ")</f>
        <v>ปกติ</v>
      </c>
      <c r="O7" s="132">
        <f>'01'!K27</f>
        <v>0</v>
      </c>
      <c r="P7" s="60" t="str">
        <f t="shared" ref="P7:P46" si="6">IF(O7&gt;3,"มีจุดแข็ง","ไม่มีจุดแข็ง")</f>
        <v>ไม่มีจุดแข็ง</v>
      </c>
      <c r="Q7" s="58">
        <f>'01'!K37</f>
        <v>0</v>
      </c>
      <c r="R7" s="60" t="str">
        <f t="shared" ref="R7:R46" si="7">IF(Q7&gt;0,"เสี่ยง/มีปัญหา","ปกติ")</f>
        <v>ปกติ</v>
      </c>
    </row>
    <row r="8" spans="1:18" ht="24" customHeight="1">
      <c r="A8" s="101">
        <v>2</v>
      </c>
      <c r="B8" s="100" t="str">
        <f>รายชื่อ!B2</f>
        <v>เด็กชาย</v>
      </c>
      <c r="C8" s="112" t="str">
        <f>รายชื่อ!C2</f>
        <v>นพธรรศ</v>
      </c>
      <c r="D8" s="113" t="str">
        <f>รายชื่อ!D2</f>
        <v>ปั่นจีด</v>
      </c>
      <c r="E8" s="132">
        <f>'02'!K7</f>
        <v>0</v>
      </c>
      <c r="F8" s="59" t="str">
        <f t="shared" si="0"/>
        <v>ปกติ</v>
      </c>
      <c r="G8" s="132">
        <f>'02'!K12</f>
        <v>2</v>
      </c>
      <c r="H8" s="59" t="str">
        <f t="shared" si="1"/>
        <v>ปกติ</v>
      </c>
      <c r="I8" s="134">
        <f>'02'!K17</f>
        <v>0</v>
      </c>
      <c r="J8" s="59" t="str">
        <f t="shared" si="2"/>
        <v>ปกติ</v>
      </c>
      <c r="K8" s="134">
        <f>'02'!K22</f>
        <v>2</v>
      </c>
      <c r="L8" s="59" t="str">
        <f t="shared" si="3"/>
        <v>ปกติ</v>
      </c>
      <c r="M8" s="58">
        <f t="shared" si="4"/>
        <v>4</v>
      </c>
      <c r="N8" s="59" t="str">
        <f t="shared" si="5"/>
        <v>ปกติ</v>
      </c>
      <c r="O8" s="134">
        <f>'02'!K27</f>
        <v>2</v>
      </c>
      <c r="P8" s="60" t="str">
        <f t="shared" si="6"/>
        <v>ไม่มีจุดแข็ง</v>
      </c>
      <c r="Q8" s="134">
        <f>'02'!K37</f>
        <v>0</v>
      </c>
      <c r="R8" s="60" t="str">
        <f t="shared" si="7"/>
        <v>ปกติ</v>
      </c>
    </row>
    <row r="9" spans="1:18" ht="24" customHeight="1">
      <c r="A9" s="101">
        <v>3</v>
      </c>
      <c r="B9" s="100" t="str">
        <f>รายชื่อ!B3</f>
        <v>เด็กชาย</v>
      </c>
      <c r="C9" s="112" t="str">
        <f>รายชื่อ!C3</f>
        <v>นภัทร</v>
      </c>
      <c r="D9" s="113" t="str">
        <f>รายชื่อ!D3</f>
        <v>เอมเทศ</v>
      </c>
      <c r="E9" s="134">
        <f>'03'!K7</f>
        <v>0</v>
      </c>
      <c r="F9" s="59" t="str">
        <f t="shared" si="0"/>
        <v>ปกติ</v>
      </c>
      <c r="G9" s="132">
        <f>'03'!K12</f>
        <v>2</v>
      </c>
      <c r="H9" s="59" t="str">
        <f t="shared" si="1"/>
        <v>ปกติ</v>
      </c>
      <c r="I9" s="134">
        <f>'03'!K17</f>
        <v>2</v>
      </c>
      <c r="J9" s="59" t="str">
        <f t="shared" si="2"/>
        <v>ปกติ</v>
      </c>
      <c r="K9" s="134">
        <f>'03'!K22</f>
        <v>0</v>
      </c>
      <c r="L9" s="59" t="str">
        <f t="shared" si="3"/>
        <v>ปกติ</v>
      </c>
      <c r="M9" s="58">
        <f t="shared" si="4"/>
        <v>4</v>
      </c>
      <c r="N9" s="59" t="str">
        <f t="shared" si="5"/>
        <v>ปกติ</v>
      </c>
      <c r="O9" s="134">
        <f>'03'!K27</f>
        <v>0</v>
      </c>
      <c r="P9" s="60" t="str">
        <f t="shared" si="6"/>
        <v>ไม่มีจุดแข็ง</v>
      </c>
      <c r="Q9" s="134">
        <f>'03'!K37</f>
        <v>0</v>
      </c>
      <c r="R9" s="60" t="str">
        <f t="shared" si="7"/>
        <v>ปกติ</v>
      </c>
    </row>
    <row r="10" spans="1:18" ht="24" customHeight="1">
      <c r="A10" s="101">
        <v>4</v>
      </c>
      <c r="B10" s="100" t="str">
        <f>รายชื่อ!B4</f>
        <v>เด็กชาย</v>
      </c>
      <c r="C10" s="112" t="str">
        <f>รายชื่อ!C4</f>
        <v>ภูมิพัฒน์</v>
      </c>
      <c r="D10" s="113" t="str">
        <f>รายชื่อ!D4</f>
        <v>เต็งวิลัย</v>
      </c>
      <c r="E10" s="134">
        <f>'04'!K7</f>
        <v>0</v>
      </c>
      <c r="F10" s="59" t="str">
        <f t="shared" si="0"/>
        <v>ปกติ</v>
      </c>
      <c r="G10" s="132">
        <f>'04'!K12</f>
        <v>2</v>
      </c>
      <c r="H10" s="59" t="str">
        <f t="shared" si="1"/>
        <v>ปกติ</v>
      </c>
      <c r="I10" s="134">
        <f>'04'!K17</f>
        <v>0</v>
      </c>
      <c r="J10" s="59" t="str">
        <f t="shared" si="2"/>
        <v>ปกติ</v>
      </c>
      <c r="K10" s="134">
        <f>'04'!K22</f>
        <v>0</v>
      </c>
      <c r="L10" s="59" t="str">
        <f t="shared" si="3"/>
        <v>ปกติ</v>
      </c>
      <c r="M10" s="58">
        <f t="shared" si="4"/>
        <v>2</v>
      </c>
      <c r="N10" s="59" t="str">
        <f t="shared" si="5"/>
        <v>ปกติ</v>
      </c>
      <c r="O10" s="134">
        <f>'04'!K27</f>
        <v>0</v>
      </c>
      <c r="P10" s="60" t="str">
        <f t="shared" si="6"/>
        <v>ไม่มีจุดแข็ง</v>
      </c>
      <c r="Q10" s="134">
        <f>'04'!K37</f>
        <v>0</v>
      </c>
      <c r="R10" s="60" t="str">
        <f t="shared" si="7"/>
        <v>ปกติ</v>
      </c>
    </row>
    <row r="11" spans="1:18" ht="24" customHeight="1">
      <c r="A11" s="101">
        <v>5</v>
      </c>
      <c r="B11" s="100" t="str">
        <f>รายชื่อ!B5</f>
        <v>เด็กชาย</v>
      </c>
      <c r="C11" s="112" t="str">
        <f>รายชื่อ!C5</f>
        <v>ฑิติพัฒน์</v>
      </c>
      <c r="D11" s="113" t="str">
        <f>รายชื่อ!D5</f>
        <v>เชตุทอง</v>
      </c>
      <c r="E11" s="134">
        <f>'05'!K7</f>
        <v>0</v>
      </c>
      <c r="F11" s="59" t="str">
        <f t="shared" si="0"/>
        <v>ปกติ</v>
      </c>
      <c r="G11" s="132">
        <f>'05'!K12</f>
        <v>2</v>
      </c>
      <c r="H11" s="59" t="str">
        <f t="shared" si="1"/>
        <v>ปกติ</v>
      </c>
      <c r="I11" s="134">
        <f>'05'!K17</f>
        <v>2</v>
      </c>
      <c r="J11" s="59" t="str">
        <f t="shared" si="2"/>
        <v>ปกติ</v>
      </c>
      <c r="K11" s="134">
        <f>'05'!K22</f>
        <v>0</v>
      </c>
      <c r="L11" s="59" t="str">
        <f t="shared" si="3"/>
        <v>ปกติ</v>
      </c>
      <c r="M11" s="58">
        <f t="shared" si="4"/>
        <v>4</v>
      </c>
      <c r="N11" s="59" t="str">
        <f t="shared" si="5"/>
        <v>ปกติ</v>
      </c>
      <c r="O11" s="134">
        <f>'05'!K27</f>
        <v>0</v>
      </c>
      <c r="P11" s="60" t="str">
        <f t="shared" si="6"/>
        <v>ไม่มีจุดแข็ง</v>
      </c>
      <c r="Q11" s="134">
        <f>'05'!K37</f>
        <v>0</v>
      </c>
      <c r="R11" s="60" t="str">
        <f t="shared" si="7"/>
        <v>ปกติ</v>
      </c>
    </row>
    <row r="12" spans="1:18" ht="24" customHeight="1">
      <c r="A12" s="101">
        <v>6</v>
      </c>
      <c r="B12" s="100" t="str">
        <f>รายชื่อ!B6</f>
        <v>เด็กชาย</v>
      </c>
      <c r="C12" s="112" t="str">
        <f>รายชื่อ!C6</f>
        <v>กฤษณพล</v>
      </c>
      <c r="D12" s="113" t="str">
        <f>รายชื่อ!D6</f>
        <v>สมศรี</v>
      </c>
      <c r="E12" s="134">
        <f>'06'!K7</f>
        <v>0</v>
      </c>
      <c r="F12" s="59" t="str">
        <f t="shared" si="0"/>
        <v>ปกติ</v>
      </c>
      <c r="G12" s="132">
        <f>'06'!K12</f>
        <v>0</v>
      </c>
      <c r="H12" s="59" t="str">
        <f t="shared" si="1"/>
        <v>ปกติ</v>
      </c>
      <c r="I12" s="134">
        <f>'06'!K17</f>
        <v>0</v>
      </c>
      <c r="J12" s="59" t="str">
        <f t="shared" si="2"/>
        <v>ปกติ</v>
      </c>
      <c r="K12" s="134">
        <f>'06'!K22</f>
        <v>0</v>
      </c>
      <c r="L12" s="59" t="str">
        <f t="shared" si="3"/>
        <v>ปกติ</v>
      </c>
      <c r="M12" s="58">
        <f t="shared" si="4"/>
        <v>0</v>
      </c>
      <c r="N12" s="59" t="str">
        <f t="shared" si="5"/>
        <v>ปกติ</v>
      </c>
      <c r="O12" s="134">
        <f>'06'!K27</f>
        <v>0</v>
      </c>
      <c r="P12" s="60" t="str">
        <f t="shared" si="6"/>
        <v>ไม่มีจุดแข็ง</v>
      </c>
      <c r="Q12" s="134">
        <f>'06'!K37</f>
        <v>0</v>
      </c>
      <c r="R12" s="60" t="str">
        <f t="shared" si="7"/>
        <v>ปกติ</v>
      </c>
    </row>
    <row r="13" spans="1:18" ht="24" customHeight="1">
      <c r="A13" s="101">
        <v>7</v>
      </c>
      <c r="B13" s="100" t="str">
        <f>รายชื่อ!B7</f>
        <v>เด็กชาย</v>
      </c>
      <c r="C13" s="112" t="str">
        <f>รายชื่อ!C7</f>
        <v>จักรภัทร</v>
      </c>
      <c r="D13" s="113" t="str">
        <f>รายชื่อ!D7</f>
        <v>วิเศษสุวรรณภูมิ</v>
      </c>
      <c r="E13" s="134">
        <f>'07'!K7</f>
        <v>0</v>
      </c>
      <c r="F13" s="59" t="str">
        <f t="shared" si="0"/>
        <v>ปกติ</v>
      </c>
      <c r="G13" s="132">
        <f>'07'!K12</f>
        <v>2</v>
      </c>
      <c r="H13" s="59" t="str">
        <f t="shared" si="1"/>
        <v>ปกติ</v>
      </c>
      <c r="I13" s="134">
        <f>'07'!K17</f>
        <v>2</v>
      </c>
      <c r="J13" s="59" t="str">
        <f t="shared" si="2"/>
        <v>ปกติ</v>
      </c>
      <c r="K13" s="134">
        <f>'07'!K22</f>
        <v>0</v>
      </c>
      <c r="L13" s="59" t="str">
        <f t="shared" si="3"/>
        <v>ปกติ</v>
      </c>
      <c r="M13" s="58">
        <f t="shared" si="4"/>
        <v>4</v>
      </c>
      <c r="N13" s="59" t="str">
        <f t="shared" si="5"/>
        <v>ปกติ</v>
      </c>
      <c r="O13" s="134">
        <f>'07'!K27</f>
        <v>0</v>
      </c>
      <c r="P13" s="60" t="str">
        <f t="shared" si="6"/>
        <v>ไม่มีจุดแข็ง</v>
      </c>
      <c r="Q13" s="134">
        <f>'07'!K37</f>
        <v>0</v>
      </c>
      <c r="R13" s="60" t="str">
        <f t="shared" si="7"/>
        <v>ปกติ</v>
      </c>
    </row>
    <row r="14" spans="1:18" ht="24" customHeight="1">
      <c r="A14" s="101">
        <v>8</v>
      </c>
      <c r="B14" s="100" t="str">
        <f>รายชื่อ!B8</f>
        <v>เด็กชาย</v>
      </c>
      <c r="C14" s="112" t="str">
        <f>รายชื่อ!C8</f>
        <v>จิรายุ</v>
      </c>
      <c r="D14" s="113" t="str">
        <f>รายชื่อ!D8</f>
        <v>บุญเนตร</v>
      </c>
      <c r="E14" s="134">
        <f>'08'!K7</f>
        <v>0</v>
      </c>
      <c r="F14" s="59" t="str">
        <f t="shared" si="0"/>
        <v>ปกติ</v>
      </c>
      <c r="G14" s="132">
        <f>'08'!K12</f>
        <v>2</v>
      </c>
      <c r="H14" s="59" t="str">
        <f t="shared" si="1"/>
        <v>ปกติ</v>
      </c>
      <c r="I14" s="134">
        <f>'08'!K17</f>
        <v>2</v>
      </c>
      <c r="J14" s="59" t="str">
        <f t="shared" si="2"/>
        <v>ปกติ</v>
      </c>
      <c r="K14" s="134">
        <f>'08'!K22</f>
        <v>2</v>
      </c>
      <c r="L14" s="59" t="str">
        <f t="shared" si="3"/>
        <v>ปกติ</v>
      </c>
      <c r="M14" s="58">
        <f t="shared" si="4"/>
        <v>6</v>
      </c>
      <c r="N14" s="59" t="str">
        <f t="shared" si="5"/>
        <v>ปกติ</v>
      </c>
      <c r="O14" s="134">
        <f>'08'!K27</f>
        <v>0</v>
      </c>
      <c r="P14" s="60" t="str">
        <f t="shared" si="6"/>
        <v>ไม่มีจุดแข็ง</v>
      </c>
      <c r="Q14" s="134">
        <f>'08'!K37</f>
        <v>0</v>
      </c>
      <c r="R14" s="60" t="str">
        <f t="shared" si="7"/>
        <v>ปกติ</v>
      </c>
    </row>
    <row r="15" spans="1:18" ht="24" customHeight="1">
      <c r="A15" s="101">
        <v>9</v>
      </c>
      <c r="B15" s="100" t="str">
        <f>รายชื่อ!B9</f>
        <v>เด็กชาย</v>
      </c>
      <c r="C15" s="112" t="str">
        <f>รายชื่อ!C9</f>
        <v>สรศักดิ์</v>
      </c>
      <c r="D15" s="113" t="str">
        <f>รายชื่อ!D9</f>
        <v>เกิดสา</v>
      </c>
      <c r="E15" s="134">
        <f>'09'!K7</f>
        <v>0</v>
      </c>
      <c r="F15" s="59" t="str">
        <f t="shared" si="0"/>
        <v>ปกติ</v>
      </c>
      <c r="G15" s="132">
        <f>'09'!K12</f>
        <v>2</v>
      </c>
      <c r="H15" s="59" t="str">
        <f t="shared" si="1"/>
        <v>ปกติ</v>
      </c>
      <c r="I15" s="134">
        <f>'09'!K17</f>
        <v>2</v>
      </c>
      <c r="J15" s="59" t="str">
        <f t="shared" si="2"/>
        <v>ปกติ</v>
      </c>
      <c r="K15" s="134">
        <f>'09'!K22</f>
        <v>0</v>
      </c>
      <c r="L15" s="59" t="str">
        <f t="shared" si="3"/>
        <v>ปกติ</v>
      </c>
      <c r="M15" s="58">
        <f t="shared" si="4"/>
        <v>4</v>
      </c>
      <c r="N15" s="59" t="str">
        <f t="shared" si="5"/>
        <v>ปกติ</v>
      </c>
      <c r="O15" s="134">
        <f>'09'!K27</f>
        <v>0</v>
      </c>
      <c r="P15" s="60" t="str">
        <f t="shared" si="6"/>
        <v>ไม่มีจุดแข็ง</v>
      </c>
      <c r="Q15" s="134">
        <f>'09'!K37</f>
        <v>0</v>
      </c>
      <c r="R15" s="60" t="str">
        <f t="shared" si="7"/>
        <v>ปกติ</v>
      </c>
    </row>
    <row r="16" spans="1:18" ht="24" customHeight="1">
      <c r="A16" s="101">
        <v>10</v>
      </c>
      <c r="B16" s="100" t="str">
        <f>รายชื่อ!B10</f>
        <v>เด็กชาย</v>
      </c>
      <c r="C16" s="112" t="str">
        <f>รายชื่อ!C10</f>
        <v>ธีรภัทร</v>
      </c>
      <c r="D16" s="113" t="str">
        <f>รายชื่อ!D10</f>
        <v>ทวีชัยการ</v>
      </c>
      <c r="E16" s="134">
        <f>'10'!K7</f>
        <v>0</v>
      </c>
      <c r="F16" s="59" t="str">
        <f t="shared" si="0"/>
        <v>ปกติ</v>
      </c>
      <c r="G16" s="132">
        <f>'10'!K12</f>
        <v>2</v>
      </c>
      <c r="H16" s="59" t="str">
        <f t="shared" si="1"/>
        <v>ปกติ</v>
      </c>
      <c r="I16" s="134">
        <f>'10'!K17</f>
        <v>2</v>
      </c>
      <c r="J16" s="59" t="str">
        <f t="shared" si="2"/>
        <v>ปกติ</v>
      </c>
      <c r="K16" s="134">
        <f>'10'!K22</f>
        <v>0</v>
      </c>
      <c r="L16" s="59" t="str">
        <f t="shared" si="3"/>
        <v>ปกติ</v>
      </c>
      <c r="M16" s="58">
        <f t="shared" si="4"/>
        <v>4</v>
      </c>
      <c r="N16" s="59" t="str">
        <f t="shared" si="5"/>
        <v>ปกติ</v>
      </c>
      <c r="O16" s="134">
        <f>'10'!K27</f>
        <v>0</v>
      </c>
      <c r="P16" s="60" t="str">
        <f t="shared" si="6"/>
        <v>ไม่มีจุดแข็ง</v>
      </c>
      <c r="Q16" s="134">
        <f>'10'!K37</f>
        <v>0</v>
      </c>
      <c r="R16" s="60" t="str">
        <f t="shared" si="7"/>
        <v>ปกติ</v>
      </c>
    </row>
    <row r="17" spans="1:18" ht="24" customHeight="1">
      <c r="A17" s="101">
        <v>11</v>
      </c>
      <c r="B17" s="100" t="str">
        <f>รายชื่อ!B11</f>
        <v>เด็กชาย</v>
      </c>
      <c r="C17" s="112" t="str">
        <f>รายชื่อ!C11</f>
        <v>นัธทวัฒน์</v>
      </c>
      <c r="D17" s="113" t="str">
        <f>รายชื่อ!D11</f>
        <v>เหล่าจันอัน</v>
      </c>
      <c r="E17" s="134">
        <f>'11'!K7</f>
        <v>0</v>
      </c>
      <c r="F17" s="59" t="str">
        <f t="shared" si="0"/>
        <v>ปกติ</v>
      </c>
      <c r="G17" s="132">
        <f>'11'!K12</f>
        <v>2</v>
      </c>
      <c r="H17" s="59" t="str">
        <f t="shared" si="1"/>
        <v>ปกติ</v>
      </c>
      <c r="I17" s="134">
        <f>'11'!K17</f>
        <v>2</v>
      </c>
      <c r="J17" s="59" t="str">
        <f t="shared" si="2"/>
        <v>ปกติ</v>
      </c>
      <c r="K17" s="134">
        <f>'11'!K22</f>
        <v>0</v>
      </c>
      <c r="L17" s="59" t="str">
        <f t="shared" si="3"/>
        <v>ปกติ</v>
      </c>
      <c r="M17" s="58">
        <f t="shared" si="4"/>
        <v>4</v>
      </c>
      <c r="N17" s="59" t="str">
        <f t="shared" si="5"/>
        <v>ปกติ</v>
      </c>
      <c r="O17" s="134">
        <f>'11'!K27</f>
        <v>0</v>
      </c>
      <c r="P17" s="60" t="str">
        <f t="shared" si="6"/>
        <v>ไม่มีจุดแข็ง</v>
      </c>
      <c r="Q17" s="134">
        <f>'11'!K37</f>
        <v>0</v>
      </c>
      <c r="R17" s="60" t="str">
        <f t="shared" si="7"/>
        <v>ปกติ</v>
      </c>
    </row>
    <row r="18" spans="1:18" ht="24" customHeight="1">
      <c r="A18" s="101">
        <v>12</v>
      </c>
      <c r="B18" s="100" t="str">
        <f>รายชื่อ!B12</f>
        <v>เด็กชาย</v>
      </c>
      <c r="C18" s="112" t="str">
        <f>รายชื่อ!C12</f>
        <v>พงศพัศ</v>
      </c>
      <c r="D18" s="113" t="str">
        <f>รายชื่อ!D12</f>
        <v>เกื้อเกตุ</v>
      </c>
      <c r="E18" s="134">
        <f>'12'!K7</f>
        <v>0</v>
      </c>
      <c r="F18" s="59" t="str">
        <f t="shared" si="0"/>
        <v>ปกติ</v>
      </c>
      <c r="G18" s="132">
        <f>'12'!K12</f>
        <v>2</v>
      </c>
      <c r="H18" s="59" t="str">
        <f t="shared" si="1"/>
        <v>ปกติ</v>
      </c>
      <c r="I18" s="134">
        <f>'12'!K17</f>
        <v>2</v>
      </c>
      <c r="J18" s="59" t="str">
        <f t="shared" si="2"/>
        <v>ปกติ</v>
      </c>
      <c r="K18" s="134">
        <f>'12'!K22</f>
        <v>0</v>
      </c>
      <c r="L18" s="59" t="str">
        <f t="shared" si="3"/>
        <v>ปกติ</v>
      </c>
      <c r="M18" s="58">
        <f t="shared" si="4"/>
        <v>4</v>
      </c>
      <c r="N18" s="59" t="str">
        <f t="shared" si="5"/>
        <v>ปกติ</v>
      </c>
      <c r="O18" s="134">
        <f>'12'!K27</f>
        <v>0</v>
      </c>
      <c r="P18" s="60" t="str">
        <f t="shared" si="6"/>
        <v>ไม่มีจุดแข็ง</v>
      </c>
      <c r="Q18" s="134">
        <f>'12'!K37</f>
        <v>0</v>
      </c>
      <c r="R18" s="60" t="str">
        <f t="shared" si="7"/>
        <v>ปกติ</v>
      </c>
    </row>
    <row r="19" spans="1:18" ht="24" customHeight="1">
      <c r="A19" s="101">
        <v>13</v>
      </c>
      <c r="B19" s="100" t="str">
        <f>รายชื่อ!B13</f>
        <v>เด็กชาย</v>
      </c>
      <c r="C19" s="112" t="str">
        <f>รายชื่อ!C13</f>
        <v>ณัฐภัทร</v>
      </c>
      <c r="D19" s="113" t="str">
        <f>รายชื่อ!D13</f>
        <v>องอาจ</v>
      </c>
      <c r="E19" s="134">
        <f>'13'!K7</f>
        <v>0</v>
      </c>
      <c r="F19" s="59" t="str">
        <f t="shared" si="0"/>
        <v>ปกติ</v>
      </c>
      <c r="G19" s="132">
        <f>'13'!K12</f>
        <v>0</v>
      </c>
      <c r="H19" s="59" t="str">
        <f t="shared" si="1"/>
        <v>ปกติ</v>
      </c>
      <c r="I19" s="134">
        <f>'13'!K17</f>
        <v>0</v>
      </c>
      <c r="J19" s="59" t="str">
        <f t="shared" si="2"/>
        <v>ปกติ</v>
      </c>
      <c r="K19" s="134">
        <f>'13'!K22</f>
        <v>0</v>
      </c>
      <c r="L19" s="59" t="str">
        <f t="shared" si="3"/>
        <v>ปกติ</v>
      </c>
      <c r="M19" s="58">
        <f t="shared" si="4"/>
        <v>0</v>
      </c>
      <c r="N19" s="59" t="str">
        <f t="shared" si="5"/>
        <v>ปกติ</v>
      </c>
      <c r="O19" s="134">
        <f>'13'!K27</f>
        <v>0</v>
      </c>
      <c r="P19" s="60" t="str">
        <f t="shared" si="6"/>
        <v>ไม่มีจุดแข็ง</v>
      </c>
      <c r="Q19" s="134">
        <f>'13'!K37</f>
        <v>0</v>
      </c>
      <c r="R19" s="60" t="str">
        <f t="shared" si="7"/>
        <v>ปกติ</v>
      </c>
    </row>
    <row r="20" spans="1:18" ht="24" customHeight="1">
      <c r="A20" s="101">
        <v>14</v>
      </c>
      <c r="B20" s="100" t="str">
        <f>รายชื่อ!B14</f>
        <v>เด็กชาย</v>
      </c>
      <c r="C20" s="112" t="str">
        <f>รายชื่อ!C14</f>
        <v>วิศรุตย์</v>
      </c>
      <c r="D20" s="113" t="str">
        <f>รายชื่อ!D14</f>
        <v>เถื่อนทับ</v>
      </c>
      <c r="E20" s="134">
        <f>'14'!K7</f>
        <v>0</v>
      </c>
      <c r="F20" s="59" t="str">
        <f t="shared" si="0"/>
        <v>ปกติ</v>
      </c>
      <c r="G20" s="132">
        <f>'14'!K12</f>
        <v>2</v>
      </c>
      <c r="H20" s="59" t="str">
        <f t="shared" si="1"/>
        <v>ปกติ</v>
      </c>
      <c r="I20" s="134">
        <f>'14'!K17</f>
        <v>2</v>
      </c>
      <c r="J20" s="59" t="str">
        <f t="shared" si="2"/>
        <v>ปกติ</v>
      </c>
      <c r="K20" s="134">
        <f>'14'!K22</f>
        <v>2</v>
      </c>
      <c r="L20" s="59" t="str">
        <f t="shared" si="3"/>
        <v>ปกติ</v>
      </c>
      <c r="M20" s="58">
        <f t="shared" si="4"/>
        <v>6</v>
      </c>
      <c r="N20" s="59" t="str">
        <f t="shared" si="5"/>
        <v>ปกติ</v>
      </c>
      <c r="O20" s="134">
        <f>'14'!K27</f>
        <v>0</v>
      </c>
      <c r="P20" s="60" t="str">
        <f t="shared" si="6"/>
        <v>ไม่มีจุดแข็ง</v>
      </c>
      <c r="Q20" s="134">
        <f>'14'!K37</f>
        <v>0</v>
      </c>
      <c r="R20" s="60" t="str">
        <f t="shared" si="7"/>
        <v>ปกติ</v>
      </c>
    </row>
    <row r="21" spans="1:18" ht="24" customHeight="1">
      <c r="A21" s="101">
        <v>15</v>
      </c>
      <c r="B21" s="100" t="str">
        <f>รายชื่อ!B15</f>
        <v>เด็กชาย</v>
      </c>
      <c r="C21" s="112" t="str">
        <f>รายชื่อ!C15</f>
        <v>ชนันธร</v>
      </c>
      <c r="D21" s="113" t="str">
        <f>รายชื่อ!D15</f>
        <v>อุดเลิศ</v>
      </c>
      <c r="E21" s="134">
        <f>'15'!K7</f>
        <v>0</v>
      </c>
      <c r="F21" s="59" t="str">
        <f t="shared" si="0"/>
        <v>ปกติ</v>
      </c>
      <c r="G21" s="132">
        <f>'15'!K12</f>
        <v>2</v>
      </c>
      <c r="H21" s="59" t="str">
        <f t="shared" si="1"/>
        <v>ปกติ</v>
      </c>
      <c r="I21" s="134">
        <f>'15'!K17</f>
        <v>2</v>
      </c>
      <c r="J21" s="59" t="str">
        <f t="shared" si="2"/>
        <v>ปกติ</v>
      </c>
      <c r="K21" s="134">
        <f>'15'!K22</f>
        <v>0</v>
      </c>
      <c r="L21" s="59" t="str">
        <f t="shared" si="3"/>
        <v>ปกติ</v>
      </c>
      <c r="M21" s="58">
        <f t="shared" si="4"/>
        <v>4</v>
      </c>
      <c r="N21" s="59" t="str">
        <f t="shared" si="5"/>
        <v>ปกติ</v>
      </c>
      <c r="O21" s="134">
        <f>'15'!K27</f>
        <v>0</v>
      </c>
      <c r="P21" s="60" t="str">
        <f t="shared" si="6"/>
        <v>ไม่มีจุดแข็ง</v>
      </c>
      <c r="Q21" s="134">
        <f>'15'!K37</f>
        <v>0</v>
      </c>
      <c r="R21" s="60" t="str">
        <f t="shared" si="7"/>
        <v>ปกติ</v>
      </c>
    </row>
    <row r="22" spans="1:18" ht="24" customHeight="1">
      <c r="A22" s="101">
        <v>16</v>
      </c>
      <c r="B22" s="100" t="str">
        <f>รายชื่อ!B16</f>
        <v>เด็กหญิง</v>
      </c>
      <c r="C22" s="112" t="str">
        <f>รายชื่อ!C16</f>
        <v>นันท์นภัส</v>
      </c>
      <c r="D22" s="113" t="str">
        <f>รายชื่อ!D16</f>
        <v>พัฒน์เชาวฤทธิ์</v>
      </c>
      <c r="E22" s="134">
        <f>'16'!K7</f>
        <v>0</v>
      </c>
      <c r="F22" s="59" t="str">
        <f t="shared" si="0"/>
        <v>ปกติ</v>
      </c>
      <c r="G22" s="132">
        <f>'16'!K12</f>
        <v>2</v>
      </c>
      <c r="H22" s="59" t="str">
        <f t="shared" si="1"/>
        <v>ปกติ</v>
      </c>
      <c r="I22" s="134">
        <f>'16'!K17</f>
        <v>2</v>
      </c>
      <c r="J22" s="59" t="str">
        <f t="shared" si="2"/>
        <v>ปกติ</v>
      </c>
      <c r="K22" s="134">
        <f>'16'!K22</f>
        <v>0</v>
      </c>
      <c r="L22" s="59" t="str">
        <f t="shared" si="3"/>
        <v>ปกติ</v>
      </c>
      <c r="M22" s="58">
        <f t="shared" si="4"/>
        <v>4</v>
      </c>
      <c r="N22" s="59" t="str">
        <f t="shared" si="5"/>
        <v>ปกติ</v>
      </c>
      <c r="O22" s="134">
        <f>'16'!K27</f>
        <v>0</v>
      </c>
      <c r="P22" s="60" t="str">
        <f t="shared" si="6"/>
        <v>ไม่มีจุดแข็ง</v>
      </c>
      <c r="Q22" s="134">
        <f>'16'!K37</f>
        <v>0</v>
      </c>
      <c r="R22" s="60" t="str">
        <f t="shared" si="7"/>
        <v>ปกติ</v>
      </c>
    </row>
    <row r="23" spans="1:18" ht="24" customHeight="1">
      <c r="A23" s="101">
        <v>17</v>
      </c>
      <c r="B23" s="100" t="str">
        <f>รายชื่อ!B17</f>
        <v>เด็กหญิง</v>
      </c>
      <c r="C23" s="112" t="str">
        <f>รายชื่อ!C17</f>
        <v>ชัยมากา</v>
      </c>
      <c r="D23" s="113" t="str">
        <f>รายชื่อ!D17</f>
        <v>อีเคชูกวู</v>
      </c>
      <c r="E23" s="132">
        <f>'17'!K7</f>
        <v>0</v>
      </c>
      <c r="F23" s="59" t="str">
        <f t="shared" si="0"/>
        <v>ปกติ</v>
      </c>
      <c r="G23" s="132">
        <f>'17'!K12</f>
        <v>4</v>
      </c>
      <c r="H23" s="59" t="str">
        <f t="shared" si="1"/>
        <v>ปกติ</v>
      </c>
      <c r="I23" s="134">
        <f>'17'!K17</f>
        <v>2</v>
      </c>
      <c r="J23" s="59" t="str">
        <f t="shared" si="2"/>
        <v>ปกติ</v>
      </c>
      <c r="K23" s="134">
        <f>'17'!K22</f>
        <v>2</v>
      </c>
      <c r="L23" s="59" t="str">
        <f t="shared" si="3"/>
        <v>ปกติ</v>
      </c>
      <c r="M23" s="58">
        <f t="shared" si="4"/>
        <v>8</v>
      </c>
      <c r="N23" s="59" t="str">
        <f t="shared" si="5"/>
        <v>ปกติ</v>
      </c>
      <c r="O23" s="134">
        <f>'17'!K27</f>
        <v>2</v>
      </c>
      <c r="P23" s="60" t="str">
        <f t="shared" si="6"/>
        <v>ไม่มีจุดแข็ง</v>
      </c>
      <c r="Q23" s="134">
        <f>'17'!K37</f>
        <v>0</v>
      </c>
      <c r="R23" s="60" t="str">
        <f t="shared" si="7"/>
        <v>ปกติ</v>
      </c>
    </row>
    <row r="24" spans="1:18" ht="24" customHeight="1">
      <c r="A24" s="101">
        <v>18</v>
      </c>
      <c r="B24" s="100" t="str">
        <f>รายชื่อ!B18</f>
        <v>เด็กหญิง</v>
      </c>
      <c r="C24" s="112" t="str">
        <f>รายชื่อ!C18</f>
        <v>ภาสินี</v>
      </c>
      <c r="D24" s="113" t="str">
        <f>รายชื่อ!D18</f>
        <v>ภู่ดัด</v>
      </c>
      <c r="E24" s="132">
        <f>'18'!K7</f>
        <v>0</v>
      </c>
      <c r="F24" s="59" t="str">
        <f t="shared" si="0"/>
        <v>ปกติ</v>
      </c>
      <c r="G24" s="132">
        <f>'18'!K12</f>
        <v>2</v>
      </c>
      <c r="H24" s="59" t="str">
        <f t="shared" si="1"/>
        <v>ปกติ</v>
      </c>
      <c r="I24" s="134">
        <f>'18'!K17</f>
        <v>0</v>
      </c>
      <c r="J24" s="59" t="str">
        <f t="shared" si="2"/>
        <v>ปกติ</v>
      </c>
      <c r="K24" s="134">
        <f>'18'!K22</f>
        <v>0</v>
      </c>
      <c r="L24" s="59" t="str">
        <f t="shared" si="3"/>
        <v>ปกติ</v>
      </c>
      <c r="M24" s="58">
        <f t="shared" si="4"/>
        <v>2</v>
      </c>
      <c r="N24" s="59" t="str">
        <f t="shared" si="5"/>
        <v>ปกติ</v>
      </c>
      <c r="O24" s="134">
        <f>'18'!K27</f>
        <v>0</v>
      </c>
      <c r="P24" s="60" t="str">
        <f t="shared" si="6"/>
        <v>ไม่มีจุดแข็ง</v>
      </c>
      <c r="Q24" s="134">
        <f>'18'!K37</f>
        <v>0</v>
      </c>
      <c r="R24" s="60" t="str">
        <f t="shared" si="7"/>
        <v>ปกติ</v>
      </c>
    </row>
    <row r="25" spans="1:18" ht="24" customHeight="1">
      <c r="A25" s="101">
        <v>19</v>
      </c>
      <c r="B25" s="100" t="str">
        <f>รายชื่อ!B19</f>
        <v>เด็กหญิง</v>
      </c>
      <c r="C25" s="112" t="str">
        <f>รายชื่อ!C19</f>
        <v>ณัฐณิชา</v>
      </c>
      <c r="D25" s="113" t="str">
        <f>รายชื่อ!D19</f>
        <v>เจริญเรือง</v>
      </c>
      <c r="E25" s="132">
        <f>'19'!K7</f>
        <v>0</v>
      </c>
      <c r="F25" s="59" t="str">
        <f t="shared" si="0"/>
        <v>ปกติ</v>
      </c>
      <c r="G25" s="132">
        <f>'19'!K12</f>
        <v>2</v>
      </c>
      <c r="H25" s="59" t="str">
        <f t="shared" si="1"/>
        <v>ปกติ</v>
      </c>
      <c r="I25" s="134">
        <f>'19'!K17</f>
        <v>2</v>
      </c>
      <c r="J25" s="59" t="str">
        <f t="shared" si="2"/>
        <v>ปกติ</v>
      </c>
      <c r="K25" s="134">
        <f>'19'!K22</f>
        <v>0</v>
      </c>
      <c r="L25" s="59" t="str">
        <f t="shared" si="3"/>
        <v>ปกติ</v>
      </c>
      <c r="M25" s="58">
        <f t="shared" si="4"/>
        <v>4</v>
      </c>
      <c r="N25" s="59" t="str">
        <f t="shared" si="5"/>
        <v>ปกติ</v>
      </c>
      <c r="O25" s="134">
        <f>'19'!K27</f>
        <v>0</v>
      </c>
      <c r="P25" s="60" t="str">
        <f t="shared" si="6"/>
        <v>ไม่มีจุดแข็ง</v>
      </c>
      <c r="Q25" s="134">
        <f>'19'!K37</f>
        <v>0</v>
      </c>
      <c r="R25" s="60" t="str">
        <f t="shared" si="7"/>
        <v>ปกติ</v>
      </c>
    </row>
    <row r="26" spans="1:18" ht="24" customHeight="1">
      <c r="A26" s="101">
        <v>20</v>
      </c>
      <c r="B26" s="100" t="str">
        <f>รายชื่อ!B20</f>
        <v>เด็กหญิง</v>
      </c>
      <c r="C26" s="112" t="str">
        <f>รายชื่อ!C20</f>
        <v>ธนัญภรณ์</v>
      </c>
      <c r="D26" s="113" t="str">
        <f>รายชื่อ!D20</f>
        <v>คำปลิว</v>
      </c>
      <c r="E26" s="132">
        <f>'20'!K7</f>
        <v>0</v>
      </c>
      <c r="F26" s="59" t="str">
        <f t="shared" si="0"/>
        <v>ปกติ</v>
      </c>
      <c r="G26" s="132">
        <f>'20'!K12</f>
        <v>0</v>
      </c>
      <c r="H26" s="59" t="str">
        <f t="shared" si="1"/>
        <v>ปกติ</v>
      </c>
      <c r="I26" s="134">
        <f>'20'!K17</f>
        <v>2</v>
      </c>
      <c r="J26" s="59" t="str">
        <f t="shared" si="2"/>
        <v>ปกติ</v>
      </c>
      <c r="K26" s="134">
        <f>'20'!K22</f>
        <v>0</v>
      </c>
      <c r="L26" s="59" t="str">
        <f t="shared" si="3"/>
        <v>ปกติ</v>
      </c>
      <c r="M26" s="58">
        <f t="shared" si="4"/>
        <v>2</v>
      </c>
      <c r="N26" s="59" t="str">
        <f t="shared" si="5"/>
        <v>ปกติ</v>
      </c>
      <c r="O26" s="134">
        <f>'20'!K27</f>
        <v>0</v>
      </c>
      <c r="P26" s="60" t="str">
        <f t="shared" si="6"/>
        <v>ไม่มีจุดแข็ง</v>
      </c>
      <c r="Q26" s="134">
        <f>'20'!K37</f>
        <v>0</v>
      </c>
      <c r="R26" s="60" t="str">
        <f t="shared" si="7"/>
        <v>ปกติ</v>
      </c>
    </row>
    <row r="27" spans="1:18" ht="24" customHeight="1">
      <c r="A27" s="101">
        <v>21</v>
      </c>
      <c r="B27" s="100" t="str">
        <f>รายชื่อ!B21</f>
        <v>เด็กหญิง</v>
      </c>
      <c r="C27" s="112" t="str">
        <f>รายชื่อ!C21</f>
        <v>กัญญารัตน์</v>
      </c>
      <c r="D27" s="113" t="str">
        <f>รายชื่อ!D21</f>
        <v>ผาเจริญ</v>
      </c>
      <c r="E27" s="132">
        <f>'21'!K7</f>
        <v>0</v>
      </c>
      <c r="F27" s="59" t="str">
        <f t="shared" si="0"/>
        <v>ปกติ</v>
      </c>
      <c r="G27" s="132">
        <f>'21'!K12</f>
        <v>2</v>
      </c>
      <c r="H27" s="59" t="str">
        <f t="shared" si="1"/>
        <v>ปกติ</v>
      </c>
      <c r="I27" s="134">
        <f>'21'!K17</f>
        <v>2</v>
      </c>
      <c r="J27" s="59" t="str">
        <f t="shared" si="2"/>
        <v>ปกติ</v>
      </c>
      <c r="K27" s="134">
        <f>'21'!K22</f>
        <v>0</v>
      </c>
      <c r="L27" s="59" t="str">
        <f t="shared" si="3"/>
        <v>ปกติ</v>
      </c>
      <c r="M27" s="58">
        <f t="shared" si="4"/>
        <v>4</v>
      </c>
      <c r="N27" s="59" t="str">
        <f t="shared" si="5"/>
        <v>ปกติ</v>
      </c>
      <c r="O27" s="134">
        <f>'21'!K27</f>
        <v>0</v>
      </c>
      <c r="P27" s="60" t="str">
        <f t="shared" si="6"/>
        <v>ไม่มีจุดแข็ง</v>
      </c>
      <c r="Q27" s="134">
        <f>'21'!K37</f>
        <v>0</v>
      </c>
      <c r="R27" s="60" t="str">
        <f t="shared" si="7"/>
        <v>ปกติ</v>
      </c>
    </row>
    <row r="28" spans="1:18" ht="24" customHeight="1">
      <c r="A28" s="101">
        <v>22</v>
      </c>
      <c r="B28" s="100" t="str">
        <f>รายชื่อ!B22</f>
        <v>เด็กหญิง</v>
      </c>
      <c r="C28" s="112" t="str">
        <f>รายชื่อ!C22</f>
        <v>ณหทัย</v>
      </c>
      <c r="D28" s="113" t="str">
        <f>รายชื่อ!D22</f>
        <v>แดงกองโค</v>
      </c>
      <c r="E28" s="132">
        <f>'22'!K7</f>
        <v>0</v>
      </c>
      <c r="F28" s="59" t="str">
        <f t="shared" si="0"/>
        <v>ปกติ</v>
      </c>
      <c r="G28" s="132">
        <f>'22'!K12</f>
        <v>2</v>
      </c>
      <c r="H28" s="59" t="str">
        <f t="shared" si="1"/>
        <v>ปกติ</v>
      </c>
      <c r="I28" s="134">
        <f>'22'!K17</f>
        <v>2</v>
      </c>
      <c r="J28" s="59" t="str">
        <f t="shared" si="2"/>
        <v>ปกติ</v>
      </c>
      <c r="K28" s="134">
        <f>'22'!K22</f>
        <v>0</v>
      </c>
      <c r="L28" s="59" t="str">
        <f t="shared" si="3"/>
        <v>ปกติ</v>
      </c>
      <c r="M28" s="58">
        <f t="shared" si="4"/>
        <v>4</v>
      </c>
      <c r="N28" s="59" t="str">
        <f t="shared" si="5"/>
        <v>ปกติ</v>
      </c>
      <c r="O28" s="134">
        <f>'22'!K27</f>
        <v>0</v>
      </c>
      <c r="P28" s="60" t="str">
        <f t="shared" si="6"/>
        <v>ไม่มีจุดแข็ง</v>
      </c>
      <c r="Q28" s="134">
        <f>'22'!K37</f>
        <v>0</v>
      </c>
      <c r="R28" s="60" t="str">
        <f t="shared" si="7"/>
        <v>ปกติ</v>
      </c>
    </row>
    <row r="29" spans="1:18" ht="24" customHeight="1">
      <c r="A29" s="101">
        <v>23</v>
      </c>
      <c r="B29" s="100" t="str">
        <f>รายชื่อ!B23</f>
        <v>เด็กหญิง</v>
      </c>
      <c r="C29" s="112" t="str">
        <f>รายชื่อ!C23</f>
        <v>อภิษฐา</v>
      </c>
      <c r="D29" s="113" t="str">
        <f>รายชื่อ!D23</f>
        <v>ชูชื่น</v>
      </c>
      <c r="E29" s="132">
        <f>'23'!K7</f>
        <v>0</v>
      </c>
      <c r="F29" s="59" t="str">
        <f t="shared" si="0"/>
        <v>ปกติ</v>
      </c>
      <c r="G29" s="132">
        <f>'23'!K12</f>
        <v>2</v>
      </c>
      <c r="H29" s="59" t="str">
        <f t="shared" si="1"/>
        <v>ปกติ</v>
      </c>
      <c r="I29" s="134">
        <f>'23'!K17</f>
        <v>2</v>
      </c>
      <c r="J29" s="59" t="str">
        <f t="shared" si="2"/>
        <v>ปกติ</v>
      </c>
      <c r="K29" s="134">
        <f>'23'!K22</f>
        <v>0</v>
      </c>
      <c r="L29" s="59" t="str">
        <f t="shared" si="3"/>
        <v>ปกติ</v>
      </c>
      <c r="M29" s="58">
        <f t="shared" si="4"/>
        <v>4</v>
      </c>
      <c r="N29" s="59" t="str">
        <f t="shared" si="5"/>
        <v>ปกติ</v>
      </c>
      <c r="O29" s="134">
        <f>'23'!K27</f>
        <v>0</v>
      </c>
      <c r="P29" s="60" t="str">
        <f t="shared" si="6"/>
        <v>ไม่มีจุดแข็ง</v>
      </c>
      <c r="Q29" s="134">
        <f>'23'!K37</f>
        <v>0</v>
      </c>
      <c r="R29" s="60" t="str">
        <f t="shared" si="7"/>
        <v>ปกติ</v>
      </c>
    </row>
    <row r="30" spans="1:18" ht="24" customHeight="1">
      <c r="A30" s="101">
        <v>24</v>
      </c>
      <c r="B30" s="100" t="str">
        <f>รายชื่อ!B24</f>
        <v>เด็กหญิง</v>
      </c>
      <c r="C30" s="112" t="str">
        <f>รายชื่อ!C24</f>
        <v>อภิษฎา</v>
      </c>
      <c r="D30" s="113" t="str">
        <f>รายชื่อ!D24</f>
        <v>โม่งเมือง</v>
      </c>
      <c r="E30" s="132">
        <f>'24'!K7</f>
        <v>0</v>
      </c>
      <c r="F30" s="59" t="str">
        <f t="shared" si="0"/>
        <v>ปกติ</v>
      </c>
      <c r="G30" s="132">
        <f>'24'!K12</f>
        <v>2</v>
      </c>
      <c r="H30" s="59" t="str">
        <f t="shared" si="1"/>
        <v>ปกติ</v>
      </c>
      <c r="I30" s="134">
        <f>'24'!K17</f>
        <v>2</v>
      </c>
      <c r="J30" s="59" t="str">
        <f t="shared" si="2"/>
        <v>ปกติ</v>
      </c>
      <c r="K30" s="134">
        <f>'24'!K22</f>
        <v>0</v>
      </c>
      <c r="L30" s="59" t="str">
        <f t="shared" si="3"/>
        <v>ปกติ</v>
      </c>
      <c r="M30" s="58">
        <f t="shared" si="4"/>
        <v>4</v>
      </c>
      <c r="N30" s="59" t="str">
        <f t="shared" si="5"/>
        <v>ปกติ</v>
      </c>
      <c r="O30" s="134">
        <f>'24'!K27</f>
        <v>0</v>
      </c>
      <c r="P30" s="60" t="str">
        <f t="shared" si="6"/>
        <v>ไม่มีจุดแข็ง</v>
      </c>
      <c r="Q30" s="134">
        <f>'24'!K37</f>
        <v>0</v>
      </c>
      <c r="R30" s="60" t="str">
        <f t="shared" si="7"/>
        <v>ปกติ</v>
      </c>
    </row>
    <row r="31" spans="1:18" ht="24" customHeight="1">
      <c r="A31" s="101">
        <v>25</v>
      </c>
      <c r="B31" s="100" t="str">
        <f>รายชื่อ!B25</f>
        <v>เด็กหญิง</v>
      </c>
      <c r="C31" s="112" t="str">
        <f>รายชื่อ!C25</f>
        <v>ณิชาพร</v>
      </c>
      <c r="D31" s="113" t="str">
        <f>รายชื่อ!D25</f>
        <v>โตเย็น</v>
      </c>
      <c r="E31" s="132">
        <f>'25'!K7</f>
        <v>0</v>
      </c>
      <c r="F31" s="59" t="str">
        <f t="shared" si="0"/>
        <v>ปกติ</v>
      </c>
      <c r="G31" s="132">
        <f>'25'!K12</f>
        <v>2</v>
      </c>
      <c r="H31" s="59" t="str">
        <f t="shared" si="1"/>
        <v>ปกติ</v>
      </c>
      <c r="I31" s="134">
        <f>'25'!K17</f>
        <v>2</v>
      </c>
      <c r="J31" s="59" t="str">
        <f t="shared" si="2"/>
        <v>ปกติ</v>
      </c>
      <c r="K31" s="134">
        <f>'25'!K22</f>
        <v>0</v>
      </c>
      <c r="L31" s="59" t="str">
        <f t="shared" si="3"/>
        <v>ปกติ</v>
      </c>
      <c r="M31" s="58">
        <f t="shared" si="4"/>
        <v>4</v>
      </c>
      <c r="N31" s="59" t="str">
        <f t="shared" si="5"/>
        <v>ปกติ</v>
      </c>
      <c r="O31" s="134">
        <f>'25'!K27</f>
        <v>0</v>
      </c>
      <c r="P31" s="60" t="str">
        <f t="shared" si="6"/>
        <v>ไม่มีจุดแข็ง</v>
      </c>
      <c r="Q31" s="134">
        <f>'25'!K37</f>
        <v>0</v>
      </c>
      <c r="R31" s="60" t="str">
        <f t="shared" si="7"/>
        <v>ปกติ</v>
      </c>
    </row>
    <row r="32" spans="1:18" ht="24" customHeight="1">
      <c r="A32" s="101">
        <v>26</v>
      </c>
      <c r="B32" s="100" t="str">
        <f>รายชื่อ!B26</f>
        <v>เด็กหญิง</v>
      </c>
      <c r="C32" s="112" t="str">
        <f>รายชื่อ!C26</f>
        <v>วาทการณ์</v>
      </c>
      <c r="D32" s="113" t="str">
        <f>รายชื่อ!D26</f>
        <v>อินดวง</v>
      </c>
      <c r="E32" s="132">
        <f>'26'!K7</f>
        <v>0</v>
      </c>
      <c r="F32" s="59" t="str">
        <f t="shared" si="0"/>
        <v>ปกติ</v>
      </c>
      <c r="G32" s="132">
        <f>'26'!K12</f>
        <v>2</v>
      </c>
      <c r="H32" s="59" t="str">
        <f t="shared" si="1"/>
        <v>ปกติ</v>
      </c>
      <c r="I32" s="134">
        <f>'26'!K17</f>
        <v>2</v>
      </c>
      <c r="J32" s="59" t="str">
        <f t="shared" si="2"/>
        <v>ปกติ</v>
      </c>
      <c r="K32" s="134">
        <f>'26'!K22</f>
        <v>0</v>
      </c>
      <c r="L32" s="59" t="str">
        <f t="shared" si="3"/>
        <v>ปกติ</v>
      </c>
      <c r="M32" s="58">
        <f t="shared" si="4"/>
        <v>4</v>
      </c>
      <c r="N32" s="59" t="str">
        <f t="shared" si="5"/>
        <v>ปกติ</v>
      </c>
      <c r="O32" s="134">
        <f>'26'!K27</f>
        <v>0</v>
      </c>
      <c r="P32" s="60" t="str">
        <f t="shared" si="6"/>
        <v>ไม่มีจุดแข็ง</v>
      </c>
      <c r="Q32" s="134">
        <f>'26'!K37</f>
        <v>0</v>
      </c>
      <c r="R32" s="60" t="str">
        <f t="shared" si="7"/>
        <v>ปกติ</v>
      </c>
    </row>
    <row r="33" spans="1:18" ht="24" customHeight="1">
      <c r="A33" s="101">
        <v>27</v>
      </c>
      <c r="B33" s="100" t="str">
        <f>รายชื่อ!B27</f>
        <v>เด็กหญิง</v>
      </c>
      <c r="C33" s="112" t="str">
        <f>รายชื่อ!C27</f>
        <v>ยิ่งลักษณ์</v>
      </c>
      <c r="D33" s="113" t="str">
        <f>รายชื่อ!D27</f>
        <v>ลักษณพิสุทธิ์</v>
      </c>
      <c r="E33" s="132">
        <f>'27'!K7</f>
        <v>0</v>
      </c>
      <c r="F33" s="59" t="str">
        <f t="shared" si="0"/>
        <v>ปกติ</v>
      </c>
      <c r="G33" s="132">
        <f>'27'!K12</f>
        <v>0</v>
      </c>
      <c r="H33" s="59" t="str">
        <f t="shared" si="1"/>
        <v>ปกติ</v>
      </c>
      <c r="I33" s="134">
        <f>'27'!K17</f>
        <v>2</v>
      </c>
      <c r="J33" s="59" t="str">
        <f t="shared" si="2"/>
        <v>ปกติ</v>
      </c>
      <c r="K33" s="134">
        <f>'27'!K22</f>
        <v>0</v>
      </c>
      <c r="L33" s="59" t="str">
        <f t="shared" si="3"/>
        <v>ปกติ</v>
      </c>
      <c r="M33" s="58">
        <f t="shared" si="4"/>
        <v>2</v>
      </c>
      <c r="N33" s="59" t="str">
        <f t="shared" si="5"/>
        <v>ปกติ</v>
      </c>
      <c r="O33" s="134">
        <f>'27'!K27</f>
        <v>0</v>
      </c>
      <c r="P33" s="60" t="str">
        <f t="shared" si="6"/>
        <v>ไม่มีจุดแข็ง</v>
      </c>
      <c r="Q33" s="134">
        <f>'27'!K37</f>
        <v>0</v>
      </c>
      <c r="R33" s="60" t="str">
        <f t="shared" si="7"/>
        <v>ปกติ</v>
      </c>
    </row>
    <row r="34" spans="1:18" ht="24" customHeight="1">
      <c r="A34" s="101">
        <v>28</v>
      </c>
      <c r="B34" s="100">
        <f>รายชื่อ!B28</f>
        <v>0</v>
      </c>
      <c r="C34" s="112">
        <f>รายชื่อ!C28</f>
        <v>0</v>
      </c>
      <c r="D34" s="113">
        <f>รายชื่อ!D28</f>
        <v>0</v>
      </c>
      <c r="E34" s="132">
        <f>'28'!K7</f>
        <v>0</v>
      </c>
      <c r="F34" s="59" t="str">
        <f t="shared" si="0"/>
        <v>ปกติ</v>
      </c>
      <c r="G34" s="132">
        <f>'28'!K12</f>
        <v>0</v>
      </c>
      <c r="H34" s="59" t="str">
        <f t="shared" si="1"/>
        <v>ปกติ</v>
      </c>
      <c r="I34" s="134">
        <f>'28'!K17</f>
        <v>0</v>
      </c>
      <c r="J34" s="59" t="str">
        <f t="shared" si="2"/>
        <v>ปกติ</v>
      </c>
      <c r="K34" s="134">
        <f>'28'!K22</f>
        <v>0</v>
      </c>
      <c r="L34" s="59" t="str">
        <f t="shared" si="3"/>
        <v>ปกติ</v>
      </c>
      <c r="M34" s="58">
        <f t="shared" si="4"/>
        <v>0</v>
      </c>
      <c r="N34" s="59" t="str">
        <f t="shared" si="5"/>
        <v>ปกติ</v>
      </c>
      <c r="O34" s="134">
        <f>'28'!K27</f>
        <v>0</v>
      </c>
      <c r="P34" s="60" t="str">
        <f t="shared" si="6"/>
        <v>ไม่มีจุดแข็ง</v>
      </c>
      <c r="Q34" s="134">
        <f>'28'!K37</f>
        <v>0</v>
      </c>
      <c r="R34" s="60" t="str">
        <f t="shared" si="7"/>
        <v>ปกติ</v>
      </c>
    </row>
    <row r="35" spans="1:18" ht="24" customHeight="1">
      <c r="A35" s="101">
        <v>29</v>
      </c>
      <c r="B35" s="100">
        <f>รายชื่อ!B29</f>
        <v>0</v>
      </c>
      <c r="C35" s="112">
        <f>รายชื่อ!C29</f>
        <v>0</v>
      </c>
      <c r="D35" s="113">
        <f>รายชื่อ!D29</f>
        <v>0</v>
      </c>
      <c r="E35" s="132">
        <f>'29'!K7</f>
        <v>0</v>
      </c>
      <c r="F35" s="59" t="str">
        <f t="shared" si="0"/>
        <v>ปกติ</v>
      </c>
      <c r="G35" s="132">
        <f>'29'!K12</f>
        <v>0</v>
      </c>
      <c r="H35" s="59" t="str">
        <f t="shared" si="1"/>
        <v>ปกติ</v>
      </c>
      <c r="I35" s="134">
        <f>'29'!K17</f>
        <v>0</v>
      </c>
      <c r="J35" s="59" t="str">
        <f t="shared" si="2"/>
        <v>ปกติ</v>
      </c>
      <c r="K35" s="134">
        <f>'29'!K22</f>
        <v>0</v>
      </c>
      <c r="L35" s="59" t="str">
        <f t="shared" si="3"/>
        <v>ปกติ</v>
      </c>
      <c r="M35" s="58">
        <f t="shared" si="4"/>
        <v>0</v>
      </c>
      <c r="N35" s="59" t="str">
        <f t="shared" si="5"/>
        <v>ปกติ</v>
      </c>
      <c r="O35" s="134">
        <f>'29'!K27</f>
        <v>0</v>
      </c>
      <c r="P35" s="60" t="str">
        <f t="shared" si="6"/>
        <v>ไม่มีจุดแข็ง</v>
      </c>
      <c r="Q35" s="134">
        <f>'29'!K37</f>
        <v>0</v>
      </c>
      <c r="R35" s="60" t="str">
        <f t="shared" si="7"/>
        <v>ปกติ</v>
      </c>
    </row>
    <row r="36" spans="1:18" ht="24" customHeight="1">
      <c r="A36" s="101">
        <v>30</v>
      </c>
      <c r="B36" s="100">
        <f>รายชื่อ!B30</f>
        <v>0</v>
      </c>
      <c r="C36" s="112">
        <f>รายชื่อ!C30</f>
        <v>0</v>
      </c>
      <c r="D36" s="113">
        <f>รายชื่อ!D30</f>
        <v>0</v>
      </c>
      <c r="E36" s="132">
        <f>'30'!K7</f>
        <v>0</v>
      </c>
      <c r="F36" s="59" t="str">
        <f t="shared" si="0"/>
        <v>ปกติ</v>
      </c>
      <c r="G36" s="132">
        <f>'30'!K12</f>
        <v>0</v>
      </c>
      <c r="H36" s="59" t="str">
        <f t="shared" si="1"/>
        <v>ปกติ</v>
      </c>
      <c r="I36" s="134">
        <f>'30'!K17</f>
        <v>0</v>
      </c>
      <c r="J36" s="59" t="str">
        <f t="shared" si="2"/>
        <v>ปกติ</v>
      </c>
      <c r="K36" s="134">
        <f>'30'!K22</f>
        <v>0</v>
      </c>
      <c r="L36" s="59" t="str">
        <f t="shared" si="3"/>
        <v>ปกติ</v>
      </c>
      <c r="M36" s="58">
        <f t="shared" si="4"/>
        <v>0</v>
      </c>
      <c r="N36" s="59" t="str">
        <f t="shared" si="5"/>
        <v>ปกติ</v>
      </c>
      <c r="O36" s="134">
        <f>'30'!K27</f>
        <v>0</v>
      </c>
      <c r="P36" s="60" t="str">
        <f t="shared" si="6"/>
        <v>ไม่มีจุดแข็ง</v>
      </c>
      <c r="Q36" s="134">
        <f>'30'!K37</f>
        <v>0</v>
      </c>
      <c r="R36" s="60" t="str">
        <f t="shared" si="7"/>
        <v>ปกติ</v>
      </c>
    </row>
    <row r="37" spans="1:18" ht="24" customHeight="1">
      <c r="A37" s="101">
        <v>31</v>
      </c>
      <c r="B37" s="100">
        <f>รายชื่อ!B31</f>
        <v>0</v>
      </c>
      <c r="C37" s="112">
        <f>รายชื่อ!C31</f>
        <v>0</v>
      </c>
      <c r="D37" s="113">
        <f>รายชื่อ!D31</f>
        <v>0</v>
      </c>
      <c r="E37" s="132">
        <f>'31'!K7</f>
        <v>0</v>
      </c>
      <c r="F37" s="59" t="str">
        <f t="shared" si="0"/>
        <v>ปกติ</v>
      </c>
      <c r="G37" s="132">
        <f>'31'!K12</f>
        <v>0</v>
      </c>
      <c r="H37" s="59" t="str">
        <f t="shared" si="1"/>
        <v>ปกติ</v>
      </c>
      <c r="I37" s="134">
        <f>'31'!K17</f>
        <v>0</v>
      </c>
      <c r="J37" s="59" t="str">
        <f t="shared" si="2"/>
        <v>ปกติ</v>
      </c>
      <c r="K37" s="134">
        <f>'31'!K22</f>
        <v>0</v>
      </c>
      <c r="L37" s="59" t="str">
        <f t="shared" si="3"/>
        <v>ปกติ</v>
      </c>
      <c r="M37" s="58">
        <f t="shared" si="4"/>
        <v>0</v>
      </c>
      <c r="N37" s="59" t="str">
        <f t="shared" si="5"/>
        <v>ปกติ</v>
      </c>
      <c r="O37" s="134">
        <f>'31'!K27</f>
        <v>0</v>
      </c>
      <c r="P37" s="60" t="str">
        <f t="shared" si="6"/>
        <v>ไม่มีจุดแข็ง</v>
      </c>
      <c r="Q37" s="134">
        <f>'31'!K37</f>
        <v>0</v>
      </c>
      <c r="R37" s="60" t="str">
        <f t="shared" si="7"/>
        <v>ปกติ</v>
      </c>
    </row>
    <row r="38" spans="1:18" ht="24" customHeight="1">
      <c r="A38" s="101">
        <v>32</v>
      </c>
      <c r="B38" s="100">
        <f>รายชื่อ!B32</f>
        <v>0</v>
      </c>
      <c r="C38" s="112">
        <f>รายชื่อ!C32</f>
        <v>0</v>
      </c>
      <c r="D38" s="113">
        <f>รายชื่อ!D32</f>
        <v>0</v>
      </c>
      <c r="E38" s="132">
        <f>'32'!K7</f>
        <v>0</v>
      </c>
      <c r="F38" s="59" t="str">
        <f t="shared" si="0"/>
        <v>ปกติ</v>
      </c>
      <c r="G38" s="132">
        <f>'32'!K12</f>
        <v>0</v>
      </c>
      <c r="H38" s="59" t="str">
        <f t="shared" si="1"/>
        <v>ปกติ</v>
      </c>
      <c r="I38" s="134">
        <f>'32'!K17</f>
        <v>0</v>
      </c>
      <c r="J38" s="59" t="str">
        <f t="shared" si="2"/>
        <v>ปกติ</v>
      </c>
      <c r="K38" s="134">
        <f>'32'!K22</f>
        <v>0</v>
      </c>
      <c r="L38" s="59" t="str">
        <f t="shared" si="3"/>
        <v>ปกติ</v>
      </c>
      <c r="M38" s="58">
        <f t="shared" si="4"/>
        <v>0</v>
      </c>
      <c r="N38" s="59" t="str">
        <f t="shared" si="5"/>
        <v>ปกติ</v>
      </c>
      <c r="O38" s="134">
        <f>'32'!K27</f>
        <v>0</v>
      </c>
      <c r="P38" s="60" t="str">
        <f t="shared" si="6"/>
        <v>ไม่มีจุดแข็ง</v>
      </c>
      <c r="Q38" s="134">
        <f>'32'!K37</f>
        <v>0</v>
      </c>
      <c r="R38" s="60" t="str">
        <f t="shared" si="7"/>
        <v>ปกติ</v>
      </c>
    </row>
    <row r="39" spans="1:18" ht="24" customHeight="1">
      <c r="A39" s="101">
        <v>33</v>
      </c>
      <c r="B39" s="100">
        <f>รายชื่อ!B33</f>
        <v>0</v>
      </c>
      <c r="C39" s="112">
        <f>รายชื่อ!C33</f>
        <v>0</v>
      </c>
      <c r="D39" s="113">
        <f>รายชื่อ!D33</f>
        <v>0</v>
      </c>
      <c r="E39" s="132">
        <f>'33'!K7</f>
        <v>0</v>
      </c>
      <c r="F39" s="59" t="str">
        <f t="shared" si="0"/>
        <v>ปกติ</v>
      </c>
      <c r="G39" s="132">
        <f>'33'!K12</f>
        <v>0</v>
      </c>
      <c r="H39" s="59" t="str">
        <f t="shared" si="1"/>
        <v>ปกติ</v>
      </c>
      <c r="I39" s="134">
        <f>'33'!K17</f>
        <v>0</v>
      </c>
      <c r="J39" s="59" t="str">
        <f t="shared" si="2"/>
        <v>ปกติ</v>
      </c>
      <c r="K39" s="134">
        <f>'33'!K22</f>
        <v>0</v>
      </c>
      <c r="L39" s="59" t="str">
        <f t="shared" si="3"/>
        <v>ปกติ</v>
      </c>
      <c r="M39" s="58">
        <f t="shared" si="4"/>
        <v>0</v>
      </c>
      <c r="N39" s="59" t="str">
        <f t="shared" si="5"/>
        <v>ปกติ</v>
      </c>
      <c r="O39" s="134">
        <f>'33'!K27</f>
        <v>0</v>
      </c>
      <c r="P39" s="60" t="str">
        <f t="shared" si="6"/>
        <v>ไม่มีจุดแข็ง</v>
      </c>
      <c r="Q39" s="134">
        <f>'33'!K37</f>
        <v>0</v>
      </c>
      <c r="R39" s="60" t="str">
        <f t="shared" si="7"/>
        <v>ปกติ</v>
      </c>
    </row>
    <row r="40" spans="1:18" ht="24" customHeight="1">
      <c r="A40" s="101">
        <v>34</v>
      </c>
      <c r="B40" s="100">
        <f>รายชื่อ!B34</f>
        <v>0</v>
      </c>
      <c r="C40" s="112">
        <f>รายชื่อ!C34</f>
        <v>0</v>
      </c>
      <c r="D40" s="113">
        <f>รายชื่อ!D34</f>
        <v>0</v>
      </c>
      <c r="E40" s="132">
        <f>'34'!K7</f>
        <v>0</v>
      </c>
      <c r="F40" s="59" t="str">
        <f t="shared" si="0"/>
        <v>ปกติ</v>
      </c>
      <c r="G40" s="132">
        <f>'34'!K12</f>
        <v>0</v>
      </c>
      <c r="H40" s="59" t="str">
        <f t="shared" si="1"/>
        <v>ปกติ</v>
      </c>
      <c r="I40" s="134">
        <f>'34'!K17</f>
        <v>0</v>
      </c>
      <c r="J40" s="59" t="str">
        <f t="shared" si="2"/>
        <v>ปกติ</v>
      </c>
      <c r="K40" s="134">
        <f>'34'!K22</f>
        <v>0</v>
      </c>
      <c r="L40" s="59" t="str">
        <f t="shared" si="3"/>
        <v>ปกติ</v>
      </c>
      <c r="M40" s="58">
        <f t="shared" si="4"/>
        <v>0</v>
      </c>
      <c r="N40" s="59" t="str">
        <f t="shared" si="5"/>
        <v>ปกติ</v>
      </c>
      <c r="O40" s="134">
        <f>'34'!K27</f>
        <v>0</v>
      </c>
      <c r="P40" s="60" t="str">
        <f t="shared" si="6"/>
        <v>ไม่มีจุดแข็ง</v>
      </c>
      <c r="Q40" s="134">
        <f>'34'!K37</f>
        <v>0</v>
      </c>
      <c r="R40" s="60" t="str">
        <f t="shared" si="7"/>
        <v>ปกติ</v>
      </c>
    </row>
    <row r="41" spans="1:18" ht="24" customHeight="1">
      <c r="A41" s="101">
        <v>35</v>
      </c>
      <c r="B41" s="100">
        <f>รายชื่อ!B35</f>
        <v>0</v>
      </c>
      <c r="C41" s="112">
        <f>รายชื่อ!C35</f>
        <v>0</v>
      </c>
      <c r="D41" s="113">
        <f>รายชื่อ!D35</f>
        <v>0</v>
      </c>
      <c r="E41" s="132">
        <f>'35'!K7</f>
        <v>0</v>
      </c>
      <c r="F41" s="59" t="str">
        <f t="shared" si="0"/>
        <v>ปกติ</v>
      </c>
      <c r="G41" s="132">
        <f>'35'!K12</f>
        <v>0</v>
      </c>
      <c r="H41" s="59" t="str">
        <f t="shared" si="1"/>
        <v>ปกติ</v>
      </c>
      <c r="I41" s="134">
        <f>'35'!K17</f>
        <v>0</v>
      </c>
      <c r="J41" s="59" t="str">
        <f t="shared" si="2"/>
        <v>ปกติ</v>
      </c>
      <c r="K41" s="134">
        <f>'35'!K22</f>
        <v>0</v>
      </c>
      <c r="L41" s="59" t="str">
        <f t="shared" si="3"/>
        <v>ปกติ</v>
      </c>
      <c r="M41" s="58">
        <f t="shared" si="4"/>
        <v>0</v>
      </c>
      <c r="N41" s="59" t="str">
        <f t="shared" si="5"/>
        <v>ปกติ</v>
      </c>
      <c r="O41" s="134">
        <f>'35'!K27</f>
        <v>0</v>
      </c>
      <c r="P41" s="60" t="str">
        <f t="shared" si="6"/>
        <v>ไม่มีจุดแข็ง</v>
      </c>
      <c r="Q41" s="134">
        <f>'35'!K37</f>
        <v>0</v>
      </c>
      <c r="R41" s="60" t="str">
        <f t="shared" si="7"/>
        <v>ปกติ</v>
      </c>
    </row>
    <row r="42" spans="1:18" ht="24" customHeight="1">
      <c r="A42" s="101">
        <v>36</v>
      </c>
      <c r="B42" s="100">
        <f>รายชื่อ!B36</f>
        <v>0</v>
      </c>
      <c r="C42" s="112">
        <f>รายชื่อ!C36</f>
        <v>0</v>
      </c>
      <c r="D42" s="113">
        <f>รายชื่อ!D36</f>
        <v>0</v>
      </c>
      <c r="E42" s="132">
        <f>'36'!K7</f>
        <v>0</v>
      </c>
      <c r="F42" s="59" t="str">
        <f t="shared" si="0"/>
        <v>ปกติ</v>
      </c>
      <c r="G42" s="132">
        <f>'36'!K12</f>
        <v>0</v>
      </c>
      <c r="H42" s="59" t="str">
        <f t="shared" si="1"/>
        <v>ปกติ</v>
      </c>
      <c r="I42" s="134">
        <f>'36'!K17</f>
        <v>0</v>
      </c>
      <c r="J42" s="59" t="str">
        <f t="shared" si="2"/>
        <v>ปกติ</v>
      </c>
      <c r="K42" s="134">
        <f>'36'!K22</f>
        <v>0</v>
      </c>
      <c r="L42" s="59" t="str">
        <f t="shared" si="3"/>
        <v>ปกติ</v>
      </c>
      <c r="M42" s="58">
        <f t="shared" si="4"/>
        <v>0</v>
      </c>
      <c r="N42" s="59" t="str">
        <f t="shared" si="5"/>
        <v>ปกติ</v>
      </c>
      <c r="O42" s="134">
        <f>'36'!K27</f>
        <v>0</v>
      </c>
      <c r="P42" s="60" t="str">
        <f t="shared" si="6"/>
        <v>ไม่มีจุดแข็ง</v>
      </c>
      <c r="Q42" s="134">
        <f>'36'!K37</f>
        <v>0</v>
      </c>
      <c r="R42" s="60" t="str">
        <f t="shared" si="7"/>
        <v>ปกติ</v>
      </c>
    </row>
    <row r="43" spans="1:18" ht="24" customHeight="1">
      <c r="A43" s="61">
        <v>37</v>
      </c>
      <c r="B43" s="100">
        <f>รายชื่อ!B37</f>
        <v>0</v>
      </c>
      <c r="C43" s="112">
        <f>รายชื่อ!C37</f>
        <v>0</v>
      </c>
      <c r="D43" s="113">
        <f>รายชื่อ!D37</f>
        <v>0</v>
      </c>
      <c r="E43" s="132">
        <f>'37'!K7</f>
        <v>0</v>
      </c>
      <c r="F43" s="59" t="str">
        <f t="shared" si="0"/>
        <v>ปกติ</v>
      </c>
      <c r="G43" s="132">
        <f>'37'!K12</f>
        <v>0</v>
      </c>
      <c r="H43" s="59" t="str">
        <f t="shared" si="1"/>
        <v>ปกติ</v>
      </c>
      <c r="I43" s="134">
        <f>'37'!K17</f>
        <v>0</v>
      </c>
      <c r="J43" s="59" t="str">
        <f t="shared" si="2"/>
        <v>ปกติ</v>
      </c>
      <c r="K43" s="134">
        <f>'37'!K22</f>
        <v>0</v>
      </c>
      <c r="L43" s="59" t="str">
        <f t="shared" si="3"/>
        <v>ปกติ</v>
      </c>
      <c r="M43" s="58">
        <f t="shared" si="4"/>
        <v>0</v>
      </c>
      <c r="N43" s="59" t="str">
        <f t="shared" si="5"/>
        <v>ปกติ</v>
      </c>
      <c r="O43" s="134">
        <f>'37'!K27</f>
        <v>0</v>
      </c>
      <c r="P43" s="60" t="str">
        <f t="shared" si="6"/>
        <v>ไม่มีจุดแข็ง</v>
      </c>
      <c r="Q43" s="134">
        <f>'37'!K37</f>
        <v>0</v>
      </c>
      <c r="R43" s="60" t="str">
        <f t="shared" si="7"/>
        <v>ปกติ</v>
      </c>
    </row>
    <row r="44" spans="1:18" ht="24" customHeight="1">
      <c r="A44" s="100">
        <v>38</v>
      </c>
      <c r="B44" s="100">
        <f>รายชื่อ!B38</f>
        <v>0</v>
      </c>
      <c r="C44" s="112">
        <f>รายชื่อ!C38</f>
        <v>0</v>
      </c>
      <c r="D44" s="113">
        <f>รายชื่อ!D38</f>
        <v>0</v>
      </c>
      <c r="E44" s="132">
        <f>'38'!K7</f>
        <v>0</v>
      </c>
      <c r="F44" s="59" t="str">
        <f t="shared" si="0"/>
        <v>ปกติ</v>
      </c>
      <c r="G44" s="132">
        <f>'38'!K12</f>
        <v>0</v>
      </c>
      <c r="H44" s="59" t="str">
        <f t="shared" si="1"/>
        <v>ปกติ</v>
      </c>
      <c r="I44" s="134">
        <f>'38'!K17</f>
        <v>0</v>
      </c>
      <c r="J44" s="59" t="str">
        <f t="shared" si="2"/>
        <v>ปกติ</v>
      </c>
      <c r="K44" s="134">
        <f>'38'!K22</f>
        <v>0</v>
      </c>
      <c r="L44" s="59" t="str">
        <f t="shared" si="3"/>
        <v>ปกติ</v>
      </c>
      <c r="M44" s="58">
        <f t="shared" si="4"/>
        <v>0</v>
      </c>
      <c r="N44" s="59" t="str">
        <f t="shared" si="5"/>
        <v>ปกติ</v>
      </c>
      <c r="O44" s="134">
        <f>'38'!K27</f>
        <v>0</v>
      </c>
      <c r="P44" s="60" t="str">
        <f t="shared" si="6"/>
        <v>ไม่มีจุดแข็ง</v>
      </c>
      <c r="Q44" s="134">
        <f>'38'!K37</f>
        <v>0</v>
      </c>
      <c r="R44" s="60" t="str">
        <f t="shared" si="7"/>
        <v>ปกติ</v>
      </c>
    </row>
    <row r="45" spans="1:18" ht="24" customHeight="1">
      <c r="A45" s="101">
        <v>39</v>
      </c>
      <c r="B45" s="100">
        <f>รายชื่อ!B39</f>
        <v>0</v>
      </c>
      <c r="C45" s="112">
        <f>รายชื่อ!C39</f>
        <v>0</v>
      </c>
      <c r="D45" s="113">
        <f>รายชื่อ!D39</f>
        <v>0</v>
      </c>
      <c r="E45" s="132">
        <f>'39'!K7</f>
        <v>0</v>
      </c>
      <c r="F45" s="59" t="str">
        <f t="shared" si="0"/>
        <v>ปกติ</v>
      </c>
      <c r="G45" s="132">
        <f>'39'!K12</f>
        <v>0</v>
      </c>
      <c r="H45" s="59" t="str">
        <f t="shared" si="1"/>
        <v>ปกติ</v>
      </c>
      <c r="I45" s="134">
        <f>'39'!K17</f>
        <v>0</v>
      </c>
      <c r="J45" s="59" t="str">
        <f t="shared" si="2"/>
        <v>ปกติ</v>
      </c>
      <c r="K45" s="134">
        <f>'39'!K22</f>
        <v>0</v>
      </c>
      <c r="L45" s="59" t="str">
        <f t="shared" si="3"/>
        <v>ปกติ</v>
      </c>
      <c r="M45" s="58">
        <f t="shared" si="4"/>
        <v>0</v>
      </c>
      <c r="N45" s="59" t="str">
        <f t="shared" si="5"/>
        <v>ปกติ</v>
      </c>
      <c r="O45" s="134">
        <f>'39'!K27</f>
        <v>0</v>
      </c>
      <c r="P45" s="60" t="str">
        <f t="shared" si="6"/>
        <v>ไม่มีจุดแข็ง</v>
      </c>
      <c r="Q45" s="134">
        <f>'39'!K37</f>
        <v>0</v>
      </c>
      <c r="R45" s="60" t="str">
        <f t="shared" si="7"/>
        <v>ปกติ</v>
      </c>
    </row>
    <row r="46" spans="1:18" ht="24" customHeight="1">
      <c r="A46" s="101">
        <v>40</v>
      </c>
      <c r="B46" s="100">
        <f>รายชื่อ!B40</f>
        <v>0</v>
      </c>
      <c r="C46" s="112">
        <f>รายชื่อ!C40</f>
        <v>0</v>
      </c>
      <c r="D46" s="113">
        <f>รายชื่อ!D40</f>
        <v>0</v>
      </c>
      <c r="E46" s="132">
        <f>'40'!K7</f>
        <v>0</v>
      </c>
      <c r="F46" s="59" t="str">
        <f t="shared" si="0"/>
        <v>ปกติ</v>
      </c>
      <c r="G46" s="132">
        <f>'40'!K12</f>
        <v>0</v>
      </c>
      <c r="H46" s="59" t="str">
        <f t="shared" si="1"/>
        <v>ปกติ</v>
      </c>
      <c r="I46" s="134">
        <f>'40'!K17</f>
        <v>0</v>
      </c>
      <c r="J46" s="59" t="str">
        <f t="shared" si="2"/>
        <v>ปกติ</v>
      </c>
      <c r="K46" s="134">
        <f>'40'!K22</f>
        <v>0</v>
      </c>
      <c r="L46" s="59" t="str">
        <f t="shared" si="3"/>
        <v>ปกติ</v>
      </c>
      <c r="M46" s="58">
        <f t="shared" si="4"/>
        <v>0</v>
      </c>
      <c r="N46" s="59" t="str">
        <f t="shared" si="5"/>
        <v>ปกติ</v>
      </c>
      <c r="O46" s="134">
        <f>'40'!K27</f>
        <v>0</v>
      </c>
      <c r="P46" s="60" t="str">
        <f t="shared" si="6"/>
        <v>ไม่มีจุดแข็ง</v>
      </c>
      <c r="Q46" s="134">
        <f>'40'!K37</f>
        <v>0</v>
      </c>
      <c r="R46" s="60" t="str">
        <f t="shared" si="7"/>
        <v>ปกติ</v>
      </c>
    </row>
    <row r="47" spans="1:18" ht="24" customHeight="1">
      <c r="D47" s="1"/>
      <c r="E47" s="135"/>
      <c r="G47" s="102"/>
      <c r="I47" s="133"/>
      <c r="K47" s="133"/>
      <c r="M47" s="1"/>
      <c r="O47" s="133"/>
      <c r="Q47" s="133"/>
    </row>
    <row r="48" spans="1:18" ht="24" customHeight="1">
      <c r="D48" s="1"/>
      <c r="E48" s="46"/>
      <c r="G48" s="1"/>
      <c r="I48" s="1"/>
      <c r="K48" s="1"/>
      <c r="M48" s="1"/>
      <c r="O48" s="1"/>
      <c r="Q48" s="1"/>
    </row>
    <row r="49" spans="5:5" s="1" customFormat="1" ht="24" customHeight="1">
      <c r="E49" s="46"/>
    </row>
    <row r="50" spans="5:5" s="1" customFormat="1" ht="24" customHeight="1">
      <c r="E50" s="46"/>
    </row>
    <row r="51" spans="5:5" s="1" customFormat="1" ht="24" customHeight="1">
      <c r="E51" s="46"/>
    </row>
    <row r="52" spans="5:5" s="1" customFormat="1" ht="24" customHeight="1">
      <c r="E52" s="46"/>
    </row>
    <row r="53" spans="5:5" s="1" customFormat="1" ht="24" customHeight="1">
      <c r="E53" s="46"/>
    </row>
    <row r="54" spans="5:5" s="1" customFormat="1" ht="24" customHeight="1">
      <c r="E54" s="46"/>
    </row>
    <row r="55" spans="5:5" s="1" customFormat="1" ht="24" customHeight="1">
      <c r="E55" s="46"/>
    </row>
    <row r="56" spans="5:5" s="1" customFormat="1" ht="24" customHeight="1">
      <c r="E56" s="46"/>
    </row>
    <row r="57" spans="5:5" s="1" customFormat="1" ht="24" customHeight="1">
      <c r="E57" s="46"/>
    </row>
    <row r="58" spans="5:5" s="1" customFormat="1" ht="24" customHeight="1">
      <c r="E58" s="46"/>
    </row>
    <row r="59" spans="5:5" s="1" customFormat="1" ht="24" customHeight="1">
      <c r="E59" s="46"/>
    </row>
    <row r="60" spans="5:5" s="1" customFormat="1" ht="24" customHeight="1">
      <c r="E60" s="46"/>
    </row>
    <row r="61" spans="5:5" s="1" customFormat="1" ht="24" customHeight="1">
      <c r="E61" s="46"/>
    </row>
    <row r="62" spans="5:5" s="1" customFormat="1" ht="24" customHeight="1">
      <c r="E62" s="46"/>
    </row>
    <row r="63" spans="5:5" s="1" customFormat="1" ht="24" customHeight="1">
      <c r="E63" s="46"/>
    </row>
    <row r="64" spans="5:5" s="1" customFormat="1" ht="24" customHeight="1">
      <c r="E64" s="46"/>
    </row>
    <row r="65" spans="5:5" s="1" customFormat="1" ht="24" customHeight="1">
      <c r="E65" s="46"/>
    </row>
    <row r="66" spans="5:5" s="1" customFormat="1" ht="24" customHeight="1">
      <c r="E66" s="46"/>
    </row>
    <row r="67" spans="5:5" s="1" customFormat="1" ht="24" customHeight="1">
      <c r="E67" s="46"/>
    </row>
    <row r="68" spans="5:5" s="1" customFormat="1" ht="24" customHeight="1">
      <c r="E68" s="46"/>
    </row>
    <row r="69" spans="5:5" s="1" customFormat="1" ht="24" customHeight="1">
      <c r="E69" s="46"/>
    </row>
    <row r="70" spans="5:5" s="1" customFormat="1" ht="24" customHeight="1">
      <c r="E70" s="46"/>
    </row>
    <row r="71" spans="5:5" s="1" customFormat="1" ht="24" customHeight="1">
      <c r="E71" s="46"/>
    </row>
    <row r="72" spans="5:5" s="1" customFormat="1" ht="24" customHeight="1">
      <c r="E72" s="46"/>
    </row>
    <row r="73" spans="5:5" s="1" customFormat="1" ht="24" customHeight="1">
      <c r="E73" s="46"/>
    </row>
    <row r="74" spans="5:5" s="1" customFormat="1" ht="24" customHeight="1">
      <c r="E74" s="46"/>
    </row>
    <row r="75" spans="5:5" s="1" customFormat="1" ht="24" customHeight="1">
      <c r="E75" s="46"/>
    </row>
    <row r="76" spans="5:5" s="1" customFormat="1" ht="24" customHeight="1">
      <c r="E76" s="46"/>
    </row>
    <row r="77" spans="5:5" s="1" customFormat="1" ht="24" customHeight="1">
      <c r="E77" s="46"/>
    </row>
    <row r="78" spans="5:5" s="1" customFormat="1" ht="24" customHeight="1">
      <c r="E78" s="46"/>
    </row>
    <row r="79" spans="5:5" s="1" customFormat="1" ht="24" customHeight="1">
      <c r="E79" s="46"/>
    </row>
    <row r="80" spans="5:5" s="1" customFormat="1" ht="24" customHeight="1">
      <c r="E80" s="46"/>
    </row>
    <row r="81" spans="5:5" s="1" customFormat="1" ht="24" customHeight="1">
      <c r="E81" s="46"/>
    </row>
    <row r="82" spans="5:5" s="1" customFormat="1" ht="24" customHeight="1">
      <c r="E82" s="46"/>
    </row>
    <row r="83" spans="5:5" s="1" customFormat="1" ht="24" customHeight="1">
      <c r="E83" s="46"/>
    </row>
    <row r="84" spans="5:5" s="1" customFormat="1" ht="24" customHeight="1">
      <c r="E84" s="46"/>
    </row>
    <row r="85" spans="5:5" s="1" customFormat="1" ht="24" customHeight="1">
      <c r="E85" s="46"/>
    </row>
    <row r="86" spans="5:5" s="1" customFormat="1" ht="24" customHeight="1">
      <c r="E86" s="46"/>
    </row>
    <row r="87" spans="5:5" s="1" customFormat="1" ht="24" customHeight="1">
      <c r="E87" s="46"/>
    </row>
    <row r="88" spans="5:5" s="1" customFormat="1" ht="24" customHeight="1">
      <c r="E88" s="46"/>
    </row>
    <row r="89" spans="5:5" s="1" customFormat="1" ht="24" customHeight="1">
      <c r="E89" s="46"/>
    </row>
    <row r="90" spans="5:5" s="1" customFormat="1" ht="24" customHeight="1">
      <c r="E90" s="46"/>
    </row>
    <row r="91" spans="5:5" s="1" customFormat="1" ht="24" customHeight="1">
      <c r="E91" s="46"/>
    </row>
    <row r="92" spans="5:5" s="1" customFormat="1" ht="24" customHeight="1">
      <c r="E92" s="46"/>
    </row>
    <row r="93" spans="5:5" s="1" customFormat="1" ht="24" customHeight="1">
      <c r="E93" s="46"/>
    </row>
    <row r="94" spans="5:5" s="1" customFormat="1" ht="24" customHeight="1">
      <c r="E94" s="46"/>
    </row>
    <row r="95" spans="5:5" s="1" customFormat="1" ht="24" customHeight="1">
      <c r="E95" s="46"/>
    </row>
    <row r="96" spans="5:5" s="1" customFormat="1" ht="24" customHeight="1">
      <c r="E96" s="46"/>
    </row>
    <row r="97" spans="5:5" s="1" customFormat="1" ht="24" customHeight="1">
      <c r="E97" s="46"/>
    </row>
    <row r="98" spans="5:5" s="1" customFormat="1" ht="24" customHeight="1">
      <c r="E98" s="46"/>
    </row>
    <row r="99" spans="5:5" s="1" customFormat="1" ht="24" customHeight="1">
      <c r="E99" s="46"/>
    </row>
    <row r="100" spans="5:5" s="1" customFormat="1" ht="24" customHeight="1">
      <c r="E100" s="46"/>
    </row>
    <row r="101" spans="5:5" s="1" customFormat="1" ht="24" customHeight="1">
      <c r="E101" s="46"/>
    </row>
    <row r="102" spans="5:5" s="1" customFormat="1" ht="24" customHeight="1">
      <c r="E102" s="46"/>
    </row>
    <row r="103" spans="5:5" s="1" customFormat="1" ht="24" customHeight="1">
      <c r="E103" s="46"/>
    </row>
    <row r="104" spans="5:5" s="1" customFormat="1" ht="24" customHeight="1">
      <c r="E104" s="46"/>
    </row>
    <row r="105" spans="5:5" s="1" customFormat="1" ht="24" customHeight="1">
      <c r="E105" s="46"/>
    </row>
    <row r="106" spans="5:5" s="1" customFormat="1" ht="24" customHeight="1">
      <c r="E106" s="46"/>
    </row>
    <row r="107" spans="5:5" s="1" customFormat="1" ht="24" customHeight="1">
      <c r="E107" s="46"/>
    </row>
    <row r="108" spans="5:5" s="1" customFormat="1" ht="24" customHeight="1">
      <c r="E108" s="46"/>
    </row>
    <row r="109" spans="5:5" s="1" customFormat="1" ht="24" customHeight="1">
      <c r="E109" s="46"/>
    </row>
    <row r="110" spans="5:5" s="1" customFormat="1" ht="24" customHeight="1">
      <c r="E110" s="46"/>
    </row>
    <row r="111" spans="5:5" s="1" customFormat="1" ht="24" customHeight="1">
      <c r="E111" s="46"/>
    </row>
    <row r="112" spans="5:5" s="1" customFormat="1" ht="24" customHeight="1">
      <c r="E112" s="46"/>
    </row>
    <row r="113" spans="5:5" s="1" customFormat="1" ht="24" customHeight="1">
      <c r="E113" s="46"/>
    </row>
    <row r="114" spans="5:5" s="1" customFormat="1" ht="24" customHeight="1">
      <c r="E114" s="46"/>
    </row>
    <row r="115" spans="5:5" s="1" customFormat="1" ht="24" customHeight="1">
      <c r="E115" s="46"/>
    </row>
    <row r="116" spans="5:5" s="1" customFormat="1" ht="24" customHeight="1">
      <c r="E116" s="46"/>
    </row>
    <row r="117" spans="5:5" s="1" customFormat="1" ht="24" customHeight="1">
      <c r="E117" s="46"/>
    </row>
    <row r="118" spans="5:5" s="1" customFormat="1" ht="24" customHeight="1">
      <c r="E118" s="46"/>
    </row>
    <row r="119" spans="5:5" s="1" customFormat="1" ht="24" customHeight="1">
      <c r="E119" s="46"/>
    </row>
    <row r="120" spans="5:5" s="1" customFormat="1" ht="24" customHeight="1">
      <c r="E120" s="46"/>
    </row>
    <row r="121" spans="5:5" s="1" customFormat="1" ht="24" customHeight="1">
      <c r="E121" s="46"/>
    </row>
    <row r="122" spans="5:5" s="1" customFormat="1" ht="24" customHeight="1">
      <c r="E122" s="46"/>
    </row>
    <row r="123" spans="5:5" s="1" customFormat="1" ht="24" customHeight="1">
      <c r="E123" s="46"/>
    </row>
    <row r="124" spans="5:5" s="1" customFormat="1" ht="24" customHeight="1">
      <c r="E124" s="46"/>
    </row>
    <row r="125" spans="5:5" s="1" customFormat="1" ht="24" customHeight="1">
      <c r="E125" s="46"/>
    </row>
    <row r="126" spans="5:5" s="1" customFormat="1" ht="24" customHeight="1">
      <c r="E126" s="46"/>
    </row>
    <row r="127" spans="5:5" s="1" customFormat="1" ht="24" customHeight="1">
      <c r="E127" s="46"/>
    </row>
    <row r="128" spans="5:5" s="1" customFormat="1" ht="24" customHeight="1">
      <c r="E128" s="46"/>
    </row>
    <row r="129" spans="5:5" s="1" customFormat="1" ht="24" customHeight="1">
      <c r="E129" s="46"/>
    </row>
    <row r="130" spans="5:5" s="1" customFormat="1" ht="24" customHeight="1">
      <c r="E130" s="46"/>
    </row>
    <row r="131" spans="5:5" s="1" customFormat="1" ht="24" customHeight="1">
      <c r="E131" s="46"/>
    </row>
    <row r="132" spans="5:5" s="1" customFormat="1" ht="24" customHeight="1">
      <c r="E132" s="46"/>
    </row>
    <row r="133" spans="5:5" s="1" customFormat="1" ht="24" customHeight="1">
      <c r="E133" s="46"/>
    </row>
    <row r="134" spans="5:5" s="1" customFormat="1" ht="24" customHeight="1">
      <c r="E134" s="46"/>
    </row>
    <row r="135" spans="5:5" s="1" customFormat="1" ht="24" customHeight="1">
      <c r="E135" s="46"/>
    </row>
    <row r="136" spans="5:5" s="1" customFormat="1" ht="24" customHeight="1">
      <c r="E136" s="46"/>
    </row>
    <row r="137" spans="5:5" s="1" customFormat="1" ht="24" customHeight="1">
      <c r="E137" s="46"/>
    </row>
    <row r="138" spans="5:5" s="1" customFormat="1" ht="24" customHeight="1">
      <c r="E138" s="46"/>
    </row>
    <row r="139" spans="5:5" s="1" customFormat="1" ht="24" customHeight="1">
      <c r="E139" s="46"/>
    </row>
    <row r="140" spans="5:5" s="1" customFormat="1" ht="24" customHeight="1">
      <c r="E140" s="46"/>
    </row>
    <row r="141" spans="5:5" s="1" customFormat="1" ht="24" customHeight="1">
      <c r="E141" s="46"/>
    </row>
    <row r="142" spans="5:5" s="1" customFormat="1" ht="24" customHeight="1">
      <c r="E142" s="46"/>
    </row>
    <row r="143" spans="5:5" s="1" customFormat="1" ht="24" customHeight="1">
      <c r="E143" s="46"/>
    </row>
    <row r="144" spans="5:5" s="1" customFormat="1" ht="24" customHeight="1">
      <c r="E144" s="46"/>
    </row>
    <row r="145" spans="5:5" s="1" customFormat="1" ht="24" customHeight="1">
      <c r="E145" s="46"/>
    </row>
    <row r="146" spans="5:5" s="1" customFormat="1" ht="24" customHeight="1">
      <c r="E146" s="46"/>
    </row>
    <row r="147" spans="5:5" s="1" customFormat="1" ht="24" customHeight="1">
      <c r="E147" s="46"/>
    </row>
    <row r="148" spans="5:5" s="1" customFormat="1" ht="24" customHeight="1">
      <c r="E148" s="46"/>
    </row>
    <row r="149" spans="5:5" s="1" customFormat="1" ht="24" customHeight="1">
      <c r="E149" s="46"/>
    </row>
    <row r="150" spans="5:5" s="1" customFormat="1" ht="24" customHeight="1">
      <c r="E150" s="46"/>
    </row>
    <row r="151" spans="5:5" s="1" customFormat="1" ht="24" customHeight="1">
      <c r="E151" s="46"/>
    </row>
    <row r="152" spans="5:5" s="1" customFormat="1" ht="24" customHeight="1">
      <c r="E152" s="46"/>
    </row>
    <row r="153" spans="5:5" s="1" customFormat="1" ht="24" customHeight="1">
      <c r="E153" s="46"/>
    </row>
    <row r="154" spans="5:5" s="1" customFormat="1" ht="24" customHeight="1">
      <c r="E154" s="46"/>
    </row>
    <row r="155" spans="5:5" s="1" customFormat="1" ht="24" customHeight="1">
      <c r="E155" s="46"/>
    </row>
    <row r="156" spans="5:5" s="1" customFormat="1" ht="24" customHeight="1">
      <c r="E156" s="46"/>
    </row>
    <row r="157" spans="5:5" s="1" customFormat="1" ht="24" customHeight="1">
      <c r="E157" s="46"/>
    </row>
    <row r="158" spans="5:5" s="1" customFormat="1" ht="24" customHeight="1">
      <c r="E158" s="46"/>
    </row>
    <row r="159" spans="5:5" s="1" customFormat="1" ht="24" customHeight="1">
      <c r="E159" s="46"/>
    </row>
    <row r="160" spans="5:5" s="1" customFormat="1" ht="24" customHeight="1">
      <c r="E160" s="46"/>
    </row>
    <row r="161" spans="5:5" s="1" customFormat="1" ht="24" customHeight="1">
      <c r="E161" s="46"/>
    </row>
    <row r="162" spans="5:5" s="1" customFormat="1" ht="24" customHeight="1">
      <c r="E162" s="46"/>
    </row>
    <row r="163" spans="5:5" s="1" customFormat="1" ht="24" customHeight="1">
      <c r="E163" s="46"/>
    </row>
    <row r="164" spans="5:5" s="1" customFormat="1" ht="24" customHeight="1">
      <c r="E164" s="46"/>
    </row>
    <row r="165" spans="5:5" s="1" customFormat="1" ht="24" customHeight="1">
      <c r="E165" s="46"/>
    </row>
    <row r="166" spans="5:5" s="1" customFormat="1" ht="24" customHeight="1">
      <c r="E166" s="46"/>
    </row>
    <row r="167" spans="5:5" s="1" customFormat="1" ht="24" customHeight="1">
      <c r="E167" s="46"/>
    </row>
    <row r="168" spans="5:5" s="1" customFormat="1" ht="24" customHeight="1">
      <c r="E168" s="46"/>
    </row>
    <row r="169" spans="5:5" s="1" customFormat="1" ht="24" customHeight="1">
      <c r="E169" s="46"/>
    </row>
    <row r="170" spans="5:5" s="1" customFormat="1" ht="24" customHeight="1">
      <c r="E170" s="46"/>
    </row>
    <row r="171" spans="5:5" s="1" customFormat="1" ht="24" customHeight="1">
      <c r="E171" s="46"/>
    </row>
    <row r="172" spans="5:5" s="1" customFormat="1" ht="24" customHeight="1">
      <c r="E172" s="46"/>
    </row>
    <row r="173" spans="5:5" s="1" customFormat="1" ht="24" customHeight="1">
      <c r="E173" s="46"/>
    </row>
    <row r="174" spans="5:5" s="1" customFormat="1" ht="24" customHeight="1">
      <c r="E174" s="46"/>
    </row>
    <row r="175" spans="5:5" s="1" customFormat="1" ht="24" customHeight="1">
      <c r="E175" s="46"/>
    </row>
    <row r="176" spans="5:5" s="1" customFormat="1" ht="24" customHeight="1">
      <c r="E176" s="46"/>
    </row>
    <row r="177" spans="5:5" s="1" customFormat="1" ht="24" customHeight="1">
      <c r="E177" s="46"/>
    </row>
    <row r="178" spans="5:5" s="1" customFormat="1" ht="24" customHeight="1">
      <c r="E178" s="46"/>
    </row>
    <row r="179" spans="5:5" s="1" customFormat="1" ht="24" customHeight="1">
      <c r="E179" s="46"/>
    </row>
    <row r="180" spans="5:5" s="1" customFormat="1" ht="24" customHeight="1">
      <c r="E180" s="46"/>
    </row>
    <row r="181" spans="5:5" s="1" customFormat="1" ht="24" customHeight="1">
      <c r="E181" s="46"/>
    </row>
    <row r="182" spans="5:5" s="1" customFormat="1" ht="24" customHeight="1">
      <c r="E182" s="46"/>
    </row>
    <row r="183" spans="5:5" s="1" customFormat="1" ht="24" customHeight="1">
      <c r="E183" s="46"/>
    </row>
    <row r="184" spans="5:5" s="1" customFormat="1" ht="24" customHeight="1">
      <c r="E184" s="46"/>
    </row>
    <row r="185" spans="5:5" s="1" customFormat="1" ht="24" customHeight="1">
      <c r="E185" s="46"/>
    </row>
    <row r="186" spans="5:5" s="1" customFormat="1" ht="24" customHeight="1">
      <c r="E186" s="46"/>
    </row>
    <row r="187" spans="5:5" s="1" customFormat="1" ht="24" customHeight="1">
      <c r="E187" s="46"/>
    </row>
    <row r="188" spans="5:5" s="1" customFormat="1" ht="24" customHeight="1">
      <c r="E188" s="46"/>
    </row>
    <row r="189" spans="5:5" s="1" customFormat="1" ht="24" customHeight="1">
      <c r="E189" s="46"/>
    </row>
    <row r="190" spans="5:5" s="1" customFormat="1" ht="24" customHeight="1">
      <c r="E190" s="46"/>
    </row>
    <row r="191" spans="5:5" s="1" customFormat="1" ht="24" customHeight="1">
      <c r="E191" s="46"/>
    </row>
    <row r="192" spans="5:5" s="1" customFormat="1" ht="24" customHeight="1">
      <c r="E192" s="46"/>
    </row>
    <row r="193" spans="5:5" s="1" customFormat="1" ht="24" customHeight="1">
      <c r="E193" s="46"/>
    </row>
    <row r="194" spans="5:5" s="1" customFormat="1" ht="24" customHeight="1">
      <c r="E194" s="46"/>
    </row>
    <row r="195" spans="5:5" s="1" customFormat="1" ht="24" customHeight="1">
      <c r="E195" s="46"/>
    </row>
    <row r="196" spans="5:5" s="1" customFormat="1" ht="24" customHeight="1">
      <c r="E196" s="46"/>
    </row>
    <row r="197" spans="5:5" s="1" customFormat="1" ht="24" customHeight="1">
      <c r="E197" s="46"/>
    </row>
    <row r="198" spans="5:5" s="1" customFormat="1" ht="24" customHeight="1">
      <c r="E198" s="46"/>
    </row>
    <row r="199" spans="5:5" s="1" customFormat="1" ht="24" customHeight="1">
      <c r="E199" s="46"/>
    </row>
    <row r="200" spans="5:5" s="1" customFormat="1" ht="24" customHeight="1">
      <c r="E200" s="46"/>
    </row>
    <row r="201" spans="5:5" s="1" customFormat="1" ht="24" customHeight="1">
      <c r="E201" s="46"/>
    </row>
    <row r="202" spans="5:5" s="1" customFormat="1" ht="24" customHeight="1">
      <c r="E202" s="46"/>
    </row>
    <row r="203" spans="5:5" s="1" customFormat="1" ht="24" customHeight="1">
      <c r="E203" s="46"/>
    </row>
    <row r="204" spans="5:5" s="1" customFormat="1" ht="24" customHeight="1">
      <c r="E204" s="46"/>
    </row>
    <row r="205" spans="5:5" s="1" customFormat="1" ht="24" customHeight="1">
      <c r="E205" s="46"/>
    </row>
    <row r="206" spans="5:5" s="1" customFormat="1" ht="24" customHeight="1">
      <c r="E206" s="46"/>
    </row>
    <row r="207" spans="5:5" s="1" customFormat="1" ht="24" customHeight="1">
      <c r="E207" s="46"/>
    </row>
    <row r="208" spans="5:5" s="1" customFormat="1" ht="24" customHeight="1">
      <c r="E208" s="46"/>
    </row>
    <row r="209" spans="5:5" s="1" customFormat="1" ht="24" customHeight="1">
      <c r="E209" s="46"/>
    </row>
    <row r="210" spans="5:5" s="1" customFormat="1" ht="24" customHeight="1">
      <c r="E210" s="46"/>
    </row>
    <row r="211" spans="5:5" s="1" customFormat="1" ht="24" customHeight="1">
      <c r="E211" s="46"/>
    </row>
    <row r="212" spans="5:5" s="1" customFormat="1" ht="24" customHeight="1">
      <c r="E212" s="46"/>
    </row>
    <row r="213" spans="5:5" s="1" customFormat="1" ht="24" customHeight="1">
      <c r="E213" s="46"/>
    </row>
    <row r="214" spans="5:5" s="1" customFormat="1" ht="24" customHeight="1">
      <c r="E214" s="46"/>
    </row>
    <row r="215" spans="5:5" s="1" customFormat="1" ht="24" customHeight="1">
      <c r="E215" s="46"/>
    </row>
    <row r="216" spans="5:5" s="1" customFormat="1" ht="24" customHeight="1">
      <c r="E216" s="46"/>
    </row>
    <row r="217" spans="5:5" s="1" customFormat="1" ht="24" customHeight="1">
      <c r="E217" s="46"/>
    </row>
    <row r="218" spans="5:5" s="1" customFormat="1" ht="24" customHeight="1">
      <c r="E218" s="46"/>
    </row>
    <row r="219" spans="5:5" s="1" customFormat="1" ht="24" customHeight="1">
      <c r="E219" s="46"/>
    </row>
    <row r="220" spans="5:5" s="1" customFormat="1" ht="24" customHeight="1">
      <c r="E220" s="46"/>
    </row>
    <row r="221" spans="5:5" s="1" customFormat="1" ht="24" customHeight="1">
      <c r="E221" s="46"/>
    </row>
    <row r="222" spans="5:5" s="1" customFormat="1" ht="24" customHeight="1">
      <c r="E222" s="46"/>
    </row>
    <row r="223" spans="5:5" s="1" customFormat="1" ht="24" customHeight="1">
      <c r="E223" s="46"/>
    </row>
    <row r="224" spans="5:5" s="1" customFormat="1" ht="24" customHeight="1">
      <c r="E224" s="46"/>
    </row>
    <row r="225" spans="5:5" s="1" customFormat="1" ht="24" customHeight="1">
      <c r="E225" s="46"/>
    </row>
    <row r="226" spans="5:5" s="1" customFormat="1" ht="24" customHeight="1">
      <c r="E226" s="46"/>
    </row>
    <row r="227" spans="5:5" s="1" customFormat="1" ht="24" customHeight="1">
      <c r="E227" s="46"/>
    </row>
    <row r="228" spans="5:5" s="1" customFormat="1" ht="24" customHeight="1">
      <c r="E228" s="46"/>
    </row>
    <row r="229" spans="5:5" s="1" customFormat="1" ht="24" customHeight="1">
      <c r="E229" s="46"/>
    </row>
    <row r="230" spans="5:5" s="1" customFormat="1" ht="24" customHeight="1">
      <c r="E230" s="46"/>
    </row>
    <row r="231" spans="5:5" s="1" customFormat="1" ht="24" customHeight="1">
      <c r="E231" s="46"/>
    </row>
    <row r="232" spans="5:5" s="1" customFormat="1" ht="24" customHeight="1">
      <c r="E232" s="46"/>
    </row>
    <row r="233" spans="5:5" s="1" customFormat="1" ht="24" customHeight="1">
      <c r="E233" s="46"/>
    </row>
    <row r="234" spans="5:5" s="1" customFormat="1" ht="24" customHeight="1">
      <c r="E234" s="46"/>
    </row>
    <row r="235" spans="5:5" s="1" customFormat="1" ht="24" customHeight="1">
      <c r="E235" s="46"/>
    </row>
    <row r="236" spans="5:5" s="1" customFormat="1" ht="24" customHeight="1">
      <c r="E236" s="46"/>
    </row>
    <row r="237" spans="5:5" s="1" customFormat="1" ht="24" customHeight="1">
      <c r="E237" s="46"/>
    </row>
    <row r="238" spans="5:5" s="1" customFormat="1" ht="24" customHeight="1">
      <c r="E238" s="46"/>
    </row>
    <row r="239" spans="5:5" s="1" customFormat="1" ht="24" customHeight="1">
      <c r="E239" s="46"/>
    </row>
    <row r="240" spans="5:5" s="1" customFormat="1" ht="24" customHeight="1">
      <c r="E240" s="46"/>
    </row>
    <row r="241" spans="5:5" s="1" customFormat="1" ht="24" customHeight="1">
      <c r="E241" s="46"/>
    </row>
    <row r="242" spans="5:5" s="1" customFormat="1" ht="24" customHeight="1">
      <c r="E242" s="46"/>
    </row>
    <row r="243" spans="5:5" s="1" customFormat="1" ht="24" customHeight="1">
      <c r="E243" s="46"/>
    </row>
    <row r="244" spans="5:5" s="1" customFormat="1" ht="24" customHeight="1">
      <c r="E244" s="46"/>
    </row>
    <row r="245" spans="5:5" s="1" customFormat="1" ht="24" customHeight="1">
      <c r="E245" s="46"/>
    </row>
    <row r="246" spans="5:5" s="1" customFormat="1" ht="24" customHeight="1">
      <c r="E246" s="46"/>
    </row>
    <row r="247" spans="5:5" s="1" customFormat="1" ht="24" customHeight="1">
      <c r="E247" s="46"/>
    </row>
    <row r="248" spans="5:5" s="1" customFormat="1" ht="24" customHeight="1">
      <c r="E248" s="46"/>
    </row>
    <row r="249" spans="5:5" s="1" customFormat="1" ht="24" customHeight="1">
      <c r="E249" s="46"/>
    </row>
    <row r="250" spans="5:5" s="1" customFormat="1" ht="24" customHeight="1">
      <c r="E250" s="46"/>
    </row>
    <row r="251" spans="5:5" s="1" customFormat="1" ht="24" customHeight="1">
      <c r="E251" s="46"/>
    </row>
    <row r="252" spans="5:5" s="1" customFormat="1" ht="24" customHeight="1">
      <c r="E252" s="46"/>
    </row>
    <row r="253" spans="5:5" s="1" customFormat="1" ht="24" customHeight="1">
      <c r="E253" s="46"/>
    </row>
    <row r="254" spans="5:5" s="1" customFormat="1" ht="24" customHeight="1">
      <c r="E254" s="46"/>
    </row>
    <row r="255" spans="5:5" s="1" customFormat="1" ht="24" customHeight="1">
      <c r="E255" s="46"/>
    </row>
    <row r="256" spans="5:5" s="1" customFormat="1" ht="24" customHeight="1">
      <c r="E256" s="46"/>
    </row>
    <row r="257" spans="5:5" s="1" customFormat="1" ht="24" customHeight="1">
      <c r="E257" s="46"/>
    </row>
    <row r="258" spans="5:5" s="1" customFormat="1" ht="24" customHeight="1">
      <c r="E258" s="46"/>
    </row>
    <row r="259" spans="5:5" s="1" customFormat="1" ht="24" customHeight="1">
      <c r="E259" s="46"/>
    </row>
    <row r="260" spans="5:5" s="1" customFormat="1" ht="24" customHeight="1">
      <c r="E260" s="46"/>
    </row>
    <row r="261" spans="5:5" s="1" customFormat="1" ht="24" customHeight="1">
      <c r="E261" s="46"/>
    </row>
    <row r="262" spans="5:5" s="1" customFormat="1" ht="24" customHeight="1">
      <c r="E262" s="46"/>
    </row>
    <row r="263" spans="5:5" s="1" customFormat="1" ht="24" customHeight="1">
      <c r="E263" s="46"/>
    </row>
    <row r="264" spans="5:5" s="1" customFormat="1" ht="24" customHeight="1">
      <c r="E264" s="46"/>
    </row>
    <row r="265" spans="5:5" s="1" customFormat="1" ht="24" customHeight="1">
      <c r="E265" s="46"/>
    </row>
    <row r="266" spans="5:5" s="1" customFormat="1" ht="24" customHeight="1">
      <c r="E266" s="46"/>
    </row>
    <row r="267" spans="5:5" s="1" customFormat="1" ht="24" customHeight="1">
      <c r="E267" s="46"/>
    </row>
    <row r="268" spans="5:5" s="1" customFormat="1" ht="24" customHeight="1">
      <c r="E268" s="46"/>
    </row>
    <row r="269" spans="5:5" s="1" customFormat="1" ht="24" customHeight="1">
      <c r="E269" s="46"/>
    </row>
    <row r="270" spans="5:5" s="1" customFormat="1" ht="24" customHeight="1">
      <c r="E270" s="46"/>
    </row>
    <row r="271" spans="5:5" s="1" customFormat="1" ht="24" customHeight="1">
      <c r="E271" s="46"/>
    </row>
    <row r="272" spans="5:5" s="1" customFormat="1" ht="24" customHeight="1">
      <c r="E272" s="46"/>
    </row>
    <row r="273" spans="5:5" s="1" customFormat="1" ht="24" customHeight="1">
      <c r="E273" s="46"/>
    </row>
    <row r="274" spans="5:5" s="1" customFormat="1" ht="24" customHeight="1">
      <c r="E274" s="46"/>
    </row>
    <row r="275" spans="5:5" s="1" customFormat="1" ht="24" customHeight="1">
      <c r="E275" s="46"/>
    </row>
    <row r="276" spans="5:5" s="1" customFormat="1" ht="24" customHeight="1">
      <c r="E276" s="46"/>
    </row>
    <row r="277" spans="5:5" s="1" customFormat="1" ht="24" customHeight="1">
      <c r="E277" s="46"/>
    </row>
    <row r="278" spans="5:5" s="1" customFormat="1" ht="24" customHeight="1">
      <c r="E278" s="46"/>
    </row>
    <row r="279" spans="5:5" s="1" customFormat="1" ht="24" customHeight="1">
      <c r="E279" s="46"/>
    </row>
    <row r="280" spans="5:5" s="1" customFormat="1" ht="24" customHeight="1">
      <c r="E280" s="46"/>
    </row>
    <row r="281" spans="5:5" s="1" customFormat="1" ht="24" customHeight="1">
      <c r="E281" s="46"/>
    </row>
    <row r="282" spans="5:5" s="1" customFormat="1" ht="24" customHeight="1">
      <c r="E282" s="46"/>
    </row>
    <row r="283" spans="5:5" s="1" customFormat="1" ht="24" customHeight="1">
      <c r="E283" s="46"/>
    </row>
    <row r="284" spans="5:5" s="1" customFormat="1" ht="24" customHeight="1">
      <c r="E284" s="46"/>
    </row>
    <row r="285" spans="5:5" s="1" customFormat="1" ht="24" customHeight="1">
      <c r="E285" s="46"/>
    </row>
    <row r="286" spans="5:5" s="1" customFormat="1" ht="24" customHeight="1">
      <c r="E286" s="46"/>
    </row>
    <row r="287" spans="5:5" s="1" customFormat="1" ht="24" customHeight="1">
      <c r="E287" s="46"/>
    </row>
    <row r="288" spans="5:5" s="1" customFormat="1" ht="24" customHeight="1">
      <c r="E288" s="46"/>
    </row>
    <row r="289" spans="5:5" s="1" customFormat="1" ht="24" customHeight="1">
      <c r="E289" s="46"/>
    </row>
    <row r="290" spans="5:5" s="1" customFormat="1" ht="24" customHeight="1">
      <c r="E290" s="46"/>
    </row>
    <row r="291" spans="5:5" s="1" customFormat="1" ht="24" customHeight="1">
      <c r="E291" s="46"/>
    </row>
    <row r="292" spans="5:5" s="1" customFormat="1" ht="24" customHeight="1">
      <c r="E292" s="46"/>
    </row>
    <row r="293" spans="5:5" s="1" customFormat="1" ht="24" customHeight="1">
      <c r="E293" s="46"/>
    </row>
    <row r="294" spans="5:5" s="1" customFormat="1" ht="24" customHeight="1">
      <c r="E294" s="46"/>
    </row>
    <row r="295" spans="5:5" s="1" customFormat="1" ht="24" customHeight="1">
      <c r="E295" s="46"/>
    </row>
    <row r="296" spans="5:5" s="1" customFormat="1" ht="24" customHeight="1">
      <c r="E296" s="46"/>
    </row>
    <row r="297" spans="5:5" s="1" customFormat="1" ht="24" customHeight="1">
      <c r="E297" s="46"/>
    </row>
    <row r="298" spans="5:5" s="1" customFormat="1" ht="24" customHeight="1">
      <c r="E298" s="46"/>
    </row>
    <row r="299" spans="5:5" s="1" customFormat="1" ht="24" customHeight="1">
      <c r="E299" s="46"/>
    </row>
    <row r="300" spans="5:5" s="1" customFormat="1" ht="24" customHeight="1">
      <c r="E300" s="46"/>
    </row>
    <row r="301" spans="5:5" s="1" customFormat="1" ht="24" customHeight="1">
      <c r="E301" s="46"/>
    </row>
    <row r="302" spans="5:5" s="1" customFormat="1" ht="24" customHeight="1">
      <c r="E302" s="46"/>
    </row>
    <row r="303" spans="5:5" s="1" customFormat="1" ht="24" customHeight="1">
      <c r="E303" s="46"/>
    </row>
    <row r="304" spans="5:5" s="1" customFormat="1" ht="24" customHeight="1">
      <c r="E304" s="46"/>
    </row>
    <row r="305" spans="5:5" s="1" customFormat="1" ht="24" customHeight="1">
      <c r="E305" s="46"/>
    </row>
    <row r="306" spans="5:5" s="1" customFormat="1" ht="24" customHeight="1">
      <c r="E306" s="46"/>
    </row>
    <row r="307" spans="5:5" s="1" customFormat="1" ht="24" customHeight="1">
      <c r="E307" s="46"/>
    </row>
    <row r="308" spans="5:5" s="1" customFormat="1" ht="24" customHeight="1">
      <c r="E308" s="46"/>
    </row>
    <row r="309" spans="5:5" s="1" customFormat="1" ht="24" customHeight="1">
      <c r="E309" s="46"/>
    </row>
    <row r="310" spans="5:5" s="1" customFormat="1" ht="24" customHeight="1">
      <c r="E310" s="46"/>
    </row>
    <row r="311" spans="5:5" s="1" customFormat="1" ht="24" customHeight="1">
      <c r="E311" s="46"/>
    </row>
    <row r="312" spans="5:5" s="1" customFormat="1" ht="24" customHeight="1">
      <c r="E312" s="46"/>
    </row>
    <row r="313" spans="5:5" s="1" customFormat="1" ht="24" customHeight="1">
      <c r="E313" s="46"/>
    </row>
    <row r="314" spans="5:5" s="1" customFormat="1" ht="24" customHeight="1">
      <c r="E314" s="46"/>
    </row>
    <row r="315" spans="5:5" s="1" customFormat="1" ht="24" customHeight="1">
      <c r="E315" s="46"/>
    </row>
    <row r="316" spans="5:5" s="1" customFormat="1" ht="24" customHeight="1">
      <c r="E316" s="46"/>
    </row>
    <row r="317" spans="5:5" s="1" customFormat="1" ht="24" customHeight="1">
      <c r="E317" s="46"/>
    </row>
    <row r="318" spans="5:5" s="1" customFormat="1" ht="24" customHeight="1">
      <c r="E318" s="46"/>
    </row>
    <row r="319" spans="5:5" s="1" customFormat="1" ht="24" customHeight="1">
      <c r="E319" s="46"/>
    </row>
    <row r="320" spans="5:5" s="1" customFormat="1" ht="24" customHeight="1">
      <c r="E320" s="46"/>
    </row>
    <row r="321" spans="5:5" s="1" customFormat="1" ht="24" customHeight="1">
      <c r="E321" s="46"/>
    </row>
    <row r="322" spans="5:5" s="1" customFormat="1" ht="24" customHeight="1">
      <c r="E322" s="46"/>
    </row>
    <row r="323" spans="5:5" s="1" customFormat="1" ht="24" customHeight="1">
      <c r="E323" s="46"/>
    </row>
    <row r="324" spans="5:5" s="1" customFormat="1" ht="24" customHeight="1">
      <c r="E324" s="46"/>
    </row>
    <row r="325" spans="5:5" s="1" customFormat="1" ht="24" customHeight="1">
      <c r="E325" s="46"/>
    </row>
    <row r="326" spans="5:5" s="1" customFormat="1" ht="24" customHeight="1">
      <c r="E326" s="46"/>
    </row>
    <row r="327" spans="5:5" s="1" customFormat="1" ht="24" customHeight="1">
      <c r="E327" s="46"/>
    </row>
    <row r="328" spans="5:5" s="1" customFormat="1" ht="24" customHeight="1">
      <c r="E328" s="46"/>
    </row>
    <row r="329" spans="5:5" s="1" customFormat="1" ht="24" customHeight="1">
      <c r="E329" s="46"/>
    </row>
    <row r="330" spans="5:5" s="1" customFormat="1" ht="24" customHeight="1">
      <c r="E330" s="46"/>
    </row>
    <row r="331" spans="5:5" s="1" customFormat="1" ht="24" customHeight="1">
      <c r="E331" s="46"/>
    </row>
    <row r="332" spans="5:5" s="1" customFormat="1" ht="24" customHeight="1">
      <c r="E332" s="46"/>
    </row>
    <row r="333" spans="5:5" s="1" customFormat="1" ht="24" customHeight="1">
      <c r="E333" s="46"/>
    </row>
    <row r="334" spans="5:5" s="1" customFormat="1" ht="24" customHeight="1">
      <c r="E334" s="46"/>
    </row>
    <row r="335" spans="5:5" s="1" customFormat="1" ht="24" customHeight="1">
      <c r="E335" s="46"/>
    </row>
    <row r="336" spans="5:5" s="1" customFormat="1" ht="24" customHeight="1">
      <c r="E336" s="46"/>
    </row>
    <row r="337" spans="5:5" s="1" customFormat="1" ht="24" customHeight="1">
      <c r="E337" s="46"/>
    </row>
    <row r="338" spans="5:5" s="1" customFormat="1" ht="24" customHeight="1">
      <c r="E338" s="46"/>
    </row>
    <row r="339" spans="5:5" s="1" customFormat="1" ht="24" customHeight="1">
      <c r="E339" s="46"/>
    </row>
    <row r="340" spans="5:5" s="1" customFormat="1" ht="24" customHeight="1">
      <c r="E340" s="46"/>
    </row>
    <row r="341" spans="5:5" s="1" customFormat="1" ht="24" customHeight="1">
      <c r="E341" s="46"/>
    </row>
    <row r="342" spans="5:5" s="1" customFormat="1" ht="24" customHeight="1">
      <c r="E342" s="46"/>
    </row>
    <row r="343" spans="5:5" s="1" customFormat="1" ht="24" customHeight="1">
      <c r="E343" s="46"/>
    </row>
    <row r="344" spans="5:5" s="1" customFormat="1" ht="24" customHeight="1">
      <c r="E344" s="46"/>
    </row>
    <row r="345" spans="5:5" s="1" customFormat="1" ht="24" customHeight="1">
      <c r="E345" s="46"/>
    </row>
    <row r="346" spans="5:5" s="1" customFormat="1" ht="24" customHeight="1">
      <c r="E346" s="46"/>
    </row>
    <row r="347" spans="5:5" s="1" customFormat="1" ht="24" customHeight="1">
      <c r="E347" s="46"/>
    </row>
    <row r="348" spans="5:5" s="1" customFormat="1" ht="24" customHeight="1">
      <c r="E348" s="46"/>
    </row>
    <row r="349" spans="5:5" s="1" customFormat="1" ht="24" customHeight="1">
      <c r="E349" s="46"/>
    </row>
    <row r="350" spans="5:5" s="1" customFormat="1" ht="24" customHeight="1">
      <c r="E350" s="46"/>
    </row>
    <row r="351" spans="5:5" s="1" customFormat="1" ht="24" customHeight="1">
      <c r="E351" s="46"/>
    </row>
    <row r="352" spans="5:5" s="1" customFormat="1" ht="24" customHeight="1">
      <c r="E352" s="46"/>
    </row>
    <row r="353" spans="5:5" s="1" customFormat="1" ht="24" customHeight="1">
      <c r="E353" s="46"/>
    </row>
    <row r="354" spans="5:5" s="1" customFormat="1" ht="24" customHeight="1">
      <c r="E354" s="46"/>
    </row>
    <row r="355" spans="5:5" s="1" customFormat="1" ht="24" customHeight="1">
      <c r="E355" s="46"/>
    </row>
    <row r="356" spans="5:5" s="1" customFormat="1" ht="24" customHeight="1">
      <c r="E356" s="46"/>
    </row>
    <row r="357" spans="5:5" s="1" customFormat="1" ht="24" customHeight="1">
      <c r="E357" s="46"/>
    </row>
    <row r="358" spans="5:5" s="1" customFormat="1" ht="24" customHeight="1">
      <c r="E358" s="46"/>
    </row>
    <row r="359" spans="5:5" s="1" customFormat="1" ht="24" customHeight="1">
      <c r="E359" s="46"/>
    </row>
    <row r="360" spans="5:5" s="1" customFormat="1" ht="24" customHeight="1">
      <c r="E360" s="46"/>
    </row>
    <row r="361" spans="5:5" s="1" customFormat="1" ht="24" customHeight="1">
      <c r="E361" s="46"/>
    </row>
    <row r="362" spans="5:5" s="1" customFormat="1" ht="24" customHeight="1">
      <c r="E362" s="46"/>
    </row>
    <row r="363" spans="5:5" s="1" customFormat="1" ht="24" customHeight="1">
      <c r="E363" s="46"/>
    </row>
    <row r="364" spans="5:5" s="1" customFormat="1" ht="24" customHeight="1">
      <c r="E364" s="46"/>
    </row>
    <row r="365" spans="5:5" s="1" customFormat="1" ht="24" customHeight="1">
      <c r="E365" s="46"/>
    </row>
    <row r="366" spans="5:5" s="1" customFormat="1" ht="24" customHeight="1">
      <c r="E366" s="46"/>
    </row>
    <row r="367" spans="5:5" s="1" customFormat="1" ht="24" customHeight="1">
      <c r="E367" s="46"/>
    </row>
    <row r="368" spans="5:5" s="1" customFormat="1" ht="24" customHeight="1">
      <c r="E368" s="46"/>
    </row>
    <row r="369" spans="5:5" s="1" customFormat="1" ht="24" customHeight="1">
      <c r="E369" s="46"/>
    </row>
    <row r="370" spans="5:5" s="1" customFormat="1" ht="24" customHeight="1">
      <c r="E370" s="46"/>
    </row>
    <row r="371" spans="5:5" s="1" customFormat="1" ht="24" customHeight="1">
      <c r="E371" s="46"/>
    </row>
    <row r="372" spans="5:5" s="1" customFormat="1" ht="24" customHeight="1">
      <c r="E372" s="46"/>
    </row>
    <row r="373" spans="5:5" s="1" customFormat="1" ht="24" customHeight="1">
      <c r="E373" s="46"/>
    </row>
    <row r="374" spans="5:5" s="1" customFormat="1" ht="24" customHeight="1">
      <c r="E374" s="46"/>
    </row>
    <row r="375" spans="5:5" s="1" customFormat="1" ht="24" customHeight="1">
      <c r="E375" s="46"/>
    </row>
    <row r="376" spans="5:5" s="1" customFormat="1" ht="24" customHeight="1">
      <c r="E376" s="46"/>
    </row>
    <row r="377" spans="5:5" s="1" customFormat="1" ht="24" customHeight="1">
      <c r="E377" s="46"/>
    </row>
    <row r="378" spans="5:5" s="1" customFormat="1" ht="24" customHeight="1">
      <c r="E378" s="46"/>
    </row>
    <row r="379" spans="5:5" s="1" customFormat="1" ht="24" customHeight="1">
      <c r="E379" s="46"/>
    </row>
    <row r="380" spans="5:5" s="1" customFormat="1" ht="24" customHeight="1">
      <c r="E380" s="46"/>
    </row>
    <row r="381" spans="5:5" s="1" customFormat="1" ht="24" customHeight="1">
      <c r="E381" s="46"/>
    </row>
    <row r="382" spans="5:5" s="1" customFormat="1" ht="24" customHeight="1">
      <c r="E382" s="46"/>
    </row>
    <row r="383" spans="5:5" s="1" customFormat="1" ht="24" customHeight="1">
      <c r="E383" s="46"/>
    </row>
    <row r="384" spans="5:5" s="1" customFormat="1" ht="24" customHeight="1">
      <c r="E384" s="46"/>
    </row>
    <row r="385" spans="5:5" s="1" customFormat="1" ht="24" customHeight="1">
      <c r="E385" s="46"/>
    </row>
    <row r="386" spans="5:5" s="1" customFormat="1" ht="24" customHeight="1">
      <c r="E386" s="46"/>
    </row>
    <row r="387" spans="5:5" s="1" customFormat="1" ht="24" customHeight="1">
      <c r="E387" s="46"/>
    </row>
    <row r="388" spans="5:5" s="1" customFormat="1" ht="24" customHeight="1">
      <c r="E388" s="46"/>
    </row>
    <row r="389" spans="5:5" s="1" customFormat="1" ht="24" customHeight="1">
      <c r="E389" s="46"/>
    </row>
    <row r="390" spans="5:5" s="1" customFormat="1" ht="24" customHeight="1">
      <c r="E390" s="46"/>
    </row>
    <row r="391" spans="5:5" s="1" customFormat="1" ht="24" customHeight="1">
      <c r="E391" s="46"/>
    </row>
    <row r="392" spans="5:5" s="1" customFormat="1" ht="24" customHeight="1">
      <c r="E392" s="46"/>
    </row>
    <row r="393" spans="5:5" s="1" customFormat="1" ht="24" customHeight="1">
      <c r="E393" s="46"/>
    </row>
    <row r="394" spans="5:5" s="1" customFormat="1" ht="24" customHeight="1">
      <c r="E394" s="46"/>
    </row>
    <row r="395" spans="5:5" s="1" customFormat="1" ht="24" customHeight="1">
      <c r="E395" s="46"/>
    </row>
    <row r="396" spans="5:5" s="1" customFormat="1" ht="24" customHeight="1">
      <c r="E396" s="46"/>
    </row>
    <row r="397" spans="5:5" s="1" customFormat="1" ht="24" customHeight="1">
      <c r="E397" s="46"/>
    </row>
    <row r="398" spans="5:5" s="1" customFormat="1" ht="24" customHeight="1">
      <c r="E398" s="46"/>
    </row>
    <row r="399" spans="5:5" s="1" customFormat="1" ht="24" customHeight="1">
      <c r="E399" s="46"/>
    </row>
    <row r="400" spans="5:5" s="1" customFormat="1" ht="24" customHeight="1">
      <c r="E400" s="46"/>
    </row>
    <row r="401" spans="5:5" s="1" customFormat="1" ht="24" customHeight="1">
      <c r="E401" s="46"/>
    </row>
    <row r="402" spans="5:5" s="1" customFormat="1" ht="24" customHeight="1">
      <c r="E402" s="46"/>
    </row>
    <row r="403" spans="5:5" s="1" customFormat="1" ht="24" customHeight="1">
      <c r="E403" s="46"/>
    </row>
    <row r="404" spans="5:5" s="1" customFormat="1" ht="24" customHeight="1">
      <c r="E404" s="46"/>
    </row>
    <row r="405" spans="5:5" s="1" customFormat="1" ht="24" customHeight="1">
      <c r="E405" s="46"/>
    </row>
    <row r="406" spans="5:5" s="1" customFormat="1" ht="24" customHeight="1">
      <c r="E406" s="46"/>
    </row>
    <row r="407" spans="5:5" s="1" customFormat="1" ht="24" customHeight="1">
      <c r="E407" s="46"/>
    </row>
    <row r="408" spans="5:5" s="1" customFormat="1" ht="24" customHeight="1">
      <c r="E408" s="46"/>
    </row>
    <row r="409" spans="5:5" s="1" customFormat="1" ht="24" customHeight="1">
      <c r="E409" s="46"/>
    </row>
    <row r="410" spans="5:5" s="1" customFormat="1" ht="24" customHeight="1">
      <c r="E410" s="46"/>
    </row>
    <row r="411" spans="5:5" s="1" customFormat="1" ht="24" customHeight="1">
      <c r="E411" s="46"/>
    </row>
    <row r="412" spans="5:5" s="1" customFormat="1" ht="24" customHeight="1">
      <c r="E412" s="46"/>
    </row>
    <row r="413" spans="5:5" s="1" customFormat="1" ht="24" customHeight="1">
      <c r="E413" s="46"/>
    </row>
    <row r="414" spans="5:5" s="1" customFormat="1" ht="24" customHeight="1">
      <c r="E414" s="46"/>
    </row>
    <row r="415" spans="5:5" s="1" customFormat="1" ht="24" customHeight="1">
      <c r="E415" s="46"/>
    </row>
    <row r="416" spans="5:5" s="1" customFormat="1" ht="24" customHeight="1">
      <c r="E416" s="46"/>
    </row>
    <row r="417" spans="5:5" s="1" customFormat="1" ht="24" customHeight="1">
      <c r="E417" s="46"/>
    </row>
    <row r="418" spans="5:5" s="1" customFormat="1" ht="24" customHeight="1">
      <c r="E418" s="46"/>
    </row>
    <row r="419" spans="5:5" s="1" customFormat="1" ht="24" customHeight="1">
      <c r="E419" s="46"/>
    </row>
    <row r="420" spans="5:5" s="1" customFormat="1" ht="24" customHeight="1">
      <c r="E420" s="46"/>
    </row>
    <row r="421" spans="5:5" s="1" customFormat="1" ht="24" customHeight="1">
      <c r="E421" s="46"/>
    </row>
    <row r="422" spans="5:5" s="1" customFormat="1" ht="24" customHeight="1">
      <c r="E422" s="46"/>
    </row>
    <row r="423" spans="5:5" s="1" customFormat="1" ht="24" customHeight="1">
      <c r="E423" s="46"/>
    </row>
    <row r="424" spans="5:5" s="1" customFormat="1" ht="24" customHeight="1">
      <c r="E424" s="46"/>
    </row>
    <row r="425" spans="5:5" s="1" customFormat="1" ht="24" customHeight="1">
      <c r="E425" s="46"/>
    </row>
    <row r="426" spans="5:5" s="1" customFormat="1" ht="24" customHeight="1">
      <c r="E426" s="46"/>
    </row>
    <row r="427" spans="5:5" s="1" customFormat="1" ht="24" customHeight="1">
      <c r="E427" s="46"/>
    </row>
    <row r="428" spans="5:5" s="1" customFormat="1" ht="24" customHeight="1">
      <c r="E428" s="46"/>
    </row>
    <row r="429" spans="5:5" s="1" customFormat="1" ht="24" customHeight="1">
      <c r="E429" s="46"/>
    </row>
    <row r="430" spans="5:5" s="1" customFormat="1" ht="24" customHeight="1">
      <c r="E430" s="46"/>
    </row>
    <row r="431" spans="5:5" s="1" customFormat="1" ht="24" customHeight="1">
      <c r="E431" s="46"/>
    </row>
    <row r="432" spans="5:5" s="1" customFormat="1" ht="24" customHeight="1">
      <c r="E432" s="46"/>
    </row>
    <row r="433" spans="5:5" s="1" customFormat="1" ht="24" customHeight="1">
      <c r="E433" s="46"/>
    </row>
    <row r="434" spans="5:5" s="1" customFormat="1" ht="24" customHeight="1">
      <c r="E434" s="46"/>
    </row>
    <row r="435" spans="5:5" s="1" customFormat="1" ht="24" customHeight="1">
      <c r="E435" s="46"/>
    </row>
    <row r="436" spans="5:5" s="1" customFormat="1" ht="24" customHeight="1">
      <c r="E436" s="46"/>
    </row>
    <row r="437" spans="5:5" s="1" customFormat="1" ht="24" customHeight="1">
      <c r="E437" s="46"/>
    </row>
    <row r="438" spans="5:5" s="1" customFormat="1" ht="24" customHeight="1">
      <c r="E438" s="46"/>
    </row>
    <row r="439" spans="5:5" s="1" customFormat="1" ht="24" customHeight="1">
      <c r="E439" s="46"/>
    </row>
    <row r="440" spans="5:5" s="1" customFormat="1" ht="24" customHeight="1">
      <c r="E440" s="46"/>
    </row>
    <row r="441" spans="5:5" s="1" customFormat="1" ht="24" customHeight="1">
      <c r="E441" s="46"/>
    </row>
    <row r="442" spans="5:5" s="1" customFormat="1" ht="24" customHeight="1">
      <c r="E442" s="46"/>
    </row>
    <row r="443" spans="5:5" s="1" customFormat="1" ht="24" customHeight="1">
      <c r="E443" s="46"/>
    </row>
    <row r="444" spans="5:5" s="1" customFormat="1" ht="24" customHeight="1">
      <c r="E444" s="46"/>
    </row>
    <row r="445" spans="5:5" s="1" customFormat="1" ht="24" customHeight="1">
      <c r="E445" s="46"/>
    </row>
    <row r="446" spans="5:5" s="1" customFormat="1" ht="24" customHeight="1">
      <c r="E446" s="46"/>
    </row>
    <row r="447" spans="5:5" s="1" customFormat="1" ht="24" customHeight="1">
      <c r="E447" s="46"/>
    </row>
    <row r="448" spans="5:5" s="1" customFormat="1" ht="24" customHeight="1">
      <c r="E448" s="46"/>
    </row>
    <row r="449" spans="5:5" s="1" customFormat="1" ht="24" customHeight="1">
      <c r="E449" s="46"/>
    </row>
    <row r="450" spans="5:5" s="1" customFormat="1" ht="24" customHeight="1">
      <c r="E450" s="46"/>
    </row>
    <row r="451" spans="5:5" s="1" customFormat="1" ht="24" customHeight="1">
      <c r="E451" s="46"/>
    </row>
    <row r="452" spans="5:5" s="1" customFormat="1" ht="24" customHeight="1">
      <c r="E452" s="46"/>
    </row>
    <row r="453" spans="5:5" s="1" customFormat="1" ht="24" customHeight="1">
      <c r="E453" s="46"/>
    </row>
    <row r="454" spans="5:5" s="1" customFormat="1" ht="24" customHeight="1">
      <c r="E454" s="46"/>
    </row>
    <row r="455" spans="5:5" s="1" customFormat="1" ht="24" customHeight="1">
      <c r="E455" s="46"/>
    </row>
    <row r="456" spans="5:5" s="1" customFormat="1" ht="24" customHeight="1">
      <c r="E456" s="46"/>
    </row>
    <row r="457" spans="5:5" s="1" customFormat="1" ht="24" customHeight="1">
      <c r="E457" s="46"/>
    </row>
    <row r="458" spans="5:5" s="1" customFormat="1" ht="24" customHeight="1">
      <c r="E458" s="46"/>
    </row>
    <row r="459" spans="5:5" s="1" customFormat="1" ht="24" customHeight="1">
      <c r="E459" s="46"/>
    </row>
    <row r="460" spans="5:5" s="1" customFormat="1" ht="24" customHeight="1">
      <c r="E460" s="46"/>
    </row>
    <row r="461" spans="5:5" s="1" customFormat="1" ht="24" customHeight="1">
      <c r="E461" s="46"/>
    </row>
    <row r="462" spans="5:5" s="1" customFormat="1" ht="24" customHeight="1">
      <c r="E462" s="46"/>
    </row>
    <row r="463" spans="5:5" s="1" customFormat="1" ht="24" customHeight="1">
      <c r="E463" s="46"/>
    </row>
    <row r="464" spans="5:5" s="1" customFormat="1" ht="24" customHeight="1">
      <c r="E464" s="46"/>
    </row>
    <row r="465" spans="5:5" s="1" customFormat="1" ht="24" customHeight="1">
      <c r="E465" s="46"/>
    </row>
    <row r="466" spans="5:5" s="1" customFormat="1" ht="24" customHeight="1">
      <c r="E466" s="46"/>
    </row>
    <row r="467" spans="5:5" s="1" customFormat="1" ht="24" customHeight="1">
      <c r="E467" s="46"/>
    </row>
    <row r="468" spans="5:5" s="1" customFormat="1" ht="24" customHeight="1">
      <c r="E468" s="46"/>
    </row>
    <row r="469" spans="5:5" s="1" customFormat="1" ht="24" customHeight="1">
      <c r="E469" s="46"/>
    </row>
    <row r="470" spans="5:5" s="1" customFormat="1" ht="24" customHeight="1">
      <c r="E470" s="46"/>
    </row>
    <row r="471" spans="5:5" s="1" customFormat="1" ht="24" customHeight="1">
      <c r="E471" s="46"/>
    </row>
    <row r="472" spans="5:5" s="1" customFormat="1" ht="24" customHeight="1">
      <c r="E472" s="46"/>
    </row>
    <row r="473" spans="5:5" s="1" customFormat="1" ht="24" customHeight="1">
      <c r="E473" s="46"/>
    </row>
    <row r="474" spans="5:5" s="1" customFormat="1" ht="24" customHeight="1">
      <c r="E474" s="46"/>
    </row>
    <row r="475" spans="5:5" s="1" customFormat="1" ht="24" customHeight="1">
      <c r="E475" s="46"/>
    </row>
    <row r="476" spans="5:5" s="1" customFormat="1" ht="24" customHeight="1">
      <c r="E476" s="46"/>
    </row>
    <row r="477" spans="5:5" s="1" customFormat="1" ht="24" customHeight="1">
      <c r="E477" s="46"/>
    </row>
    <row r="478" spans="5:5" s="1" customFormat="1" ht="24" customHeight="1">
      <c r="E478" s="46"/>
    </row>
    <row r="479" spans="5:5" s="1" customFormat="1" ht="24" customHeight="1">
      <c r="E479" s="46"/>
    </row>
    <row r="480" spans="5:5" s="1" customFormat="1" ht="24" customHeight="1">
      <c r="E480" s="46"/>
    </row>
    <row r="481" spans="5:5" s="1" customFormat="1" ht="24" customHeight="1">
      <c r="E481" s="46"/>
    </row>
    <row r="482" spans="5:5" s="1" customFormat="1" ht="24" customHeight="1">
      <c r="E482" s="46"/>
    </row>
    <row r="483" spans="5:5" s="1" customFormat="1" ht="24" customHeight="1">
      <c r="E483" s="46"/>
    </row>
    <row r="484" spans="5:5" s="1" customFormat="1" ht="24" customHeight="1">
      <c r="E484" s="46"/>
    </row>
    <row r="485" spans="5:5" s="1" customFormat="1" ht="24" customHeight="1">
      <c r="E485" s="46"/>
    </row>
    <row r="486" spans="5:5" s="1" customFormat="1" ht="24" customHeight="1">
      <c r="E486" s="46"/>
    </row>
    <row r="487" spans="5:5" s="1" customFormat="1" ht="24" customHeight="1">
      <c r="E487" s="46"/>
    </row>
    <row r="488" spans="5:5" s="1" customFormat="1" ht="24" customHeight="1">
      <c r="E488" s="46"/>
    </row>
    <row r="489" spans="5:5" s="1" customFormat="1" ht="24" customHeight="1">
      <c r="E489" s="46"/>
    </row>
    <row r="490" spans="5:5" s="1" customFormat="1" ht="24" customHeight="1">
      <c r="E490" s="46"/>
    </row>
    <row r="491" spans="5:5" s="1" customFormat="1" ht="24" customHeight="1">
      <c r="E491" s="46"/>
    </row>
    <row r="492" spans="5:5" s="1" customFormat="1" ht="24" customHeight="1">
      <c r="E492" s="46"/>
    </row>
    <row r="493" spans="5:5" s="1" customFormat="1" ht="24" customHeight="1">
      <c r="E493" s="46"/>
    </row>
    <row r="494" spans="5:5" s="1" customFormat="1" ht="24" customHeight="1">
      <c r="E494" s="46"/>
    </row>
    <row r="495" spans="5:5" s="1" customFormat="1" ht="24" customHeight="1">
      <c r="E495" s="46"/>
    </row>
    <row r="496" spans="5:5" s="1" customFormat="1" ht="24" customHeight="1">
      <c r="E496" s="46"/>
    </row>
    <row r="497" spans="5:5" s="1" customFormat="1" ht="24" customHeight="1">
      <c r="E497" s="46"/>
    </row>
    <row r="498" spans="5:5" s="1" customFormat="1" ht="24" customHeight="1">
      <c r="E498" s="46"/>
    </row>
    <row r="499" spans="5:5" s="1" customFormat="1" ht="24" customHeight="1">
      <c r="E499" s="46"/>
    </row>
    <row r="500" spans="5:5" s="1" customFormat="1" ht="24" customHeight="1">
      <c r="E500" s="46"/>
    </row>
    <row r="501" spans="5:5" s="1" customFormat="1" ht="24" customHeight="1">
      <c r="E501" s="46"/>
    </row>
    <row r="502" spans="5:5" s="1" customFormat="1" ht="24" customHeight="1">
      <c r="E502" s="46"/>
    </row>
    <row r="503" spans="5:5" s="1" customFormat="1" ht="24" customHeight="1">
      <c r="E503" s="46"/>
    </row>
    <row r="504" spans="5:5" s="1" customFormat="1" ht="24" customHeight="1">
      <c r="E504" s="46"/>
    </row>
    <row r="505" spans="5:5" s="1" customFormat="1" ht="24" customHeight="1">
      <c r="E505" s="46"/>
    </row>
    <row r="506" spans="5:5" s="1" customFormat="1" ht="24" customHeight="1">
      <c r="E506" s="46"/>
    </row>
    <row r="507" spans="5:5" s="1" customFormat="1" ht="24" customHeight="1">
      <c r="E507" s="46"/>
    </row>
    <row r="508" spans="5:5" s="1" customFormat="1" ht="24" customHeight="1">
      <c r="E508" s="46"/>
    </row>
    <row r="509" spans="5:5" s="1" customFormat="1" ht="24" customHeight="1">
      <c r="E509" s="46"/>
    </row>
    <row r="510" spans="5:5" s="1" customFormat="1" ht="24" customHeight="1">
      <c r="E510" s="46"/>
    </row>
    <row r="511" spans="5:5" s="1" customFormat="1" ht="24" customHeight="1">
      <c r="E511" s="46"/>
    </row>
    <row r="512" spans="5:5" s="1" customFormat="1" ht="24" customHeight="1">
      <c r="E512" s="46"/>
    </row>
    <row r="513" spans="5:5" s="1" customFormat="1" ht="24" customHeight="1">
      <c r="E513" s="46"/>
    </row>
    <row r="514" spans="5:5" s="1" customFormat="1" ht="24" customHeight="1">
      <c r="E514" s="46"/>
    </row>
    <row r="515" spans="5:5" s="1" customFormat="1" ht="24" customHeight="1">
      <c r="E515" s="46"/>
    </row>
    <row r="516" spans="5:5" s="1" customFormat="1" ht="24" customHeight="1">
      <c r="E516" s="46"/>
    </row>
    <row r="517" spans="5:5" s="1" customFormat="1" ht="24" customHeight="1">
      <c r="E517" s="46"/>
    </row>
    <row r="518" spans="5:5" s="1" customFormat="1" ht="24" customHeight="1">
      <c r="E518" s="46"/>
    </row>
    <row r="519" spans="5:5" s="1" customFormat="1" ht="24" customHeight="1">
      <c r="E519" s="46"/>
    </row>
    <row r="520" spans="5:5" s="1" customFormat="1" ht="24" customHeight="1">
      <c r="E520" s="46"/>
    </row>
    <row r="521" spans="5:5" s="1" customFormat="1" ht="24" customHeight="1">
      <c r="E521" s="46"/>
    </row>
    <row r="522" spans="5:5" s="1" customFormat="1" ht="24" customHeight="1">
      <c r="E522" s="46"/>
    </row>
    <row r="523" spans="5:5" s="1" customFormat="1" ht="24" customHeight="1">
      <c r="E523" s="46"/>
    </row>
    <row r="524" spans="5:5" s="1" customFormat="1" ht="24" customHeight="1">
      <c r="E524" s="46"/>
    </row>
    <row r="525" spans="5:5" s="1" customFormat="1" ht="24" customHeight="1">
      <c r="E525" s="46"/>
    </row>
    <row r="526" spans="5:5" s="1" customFormat="1" ht="24" customHeight="1">
      <c r="E526" s="46"/>
    </row>
    <row r="527" spans="5:5" s="1" customFormat="1" ht="24" customHeight="1">
      <c r="E527" s="46"/>
    </row>
    <row r="528" spans="5:5" s="1" customFormat="1" ht="24" customHeight="1">
      <c r="E528" s="46"/>
    </row>
    <row r="529" spans="5:5" s="1" customFormat="1" ht="24" customHeight="1">
      <c r="E529" s="46"/>
    </row>
    <row r="530" spans="5:5" s="1" customFormat="1" ht="24" customHeight="1">
      <c r="E530" s="46"/>
    </row>
    <row r="531" spans="5:5" s="1" customFormat="1" ht="24" customHeight="1">
      <c r="E531" s="46"/>
    </row>
    <row r="532" spans="5:5" s="1" customFormat="1" ht="24" customHeight="1">
      <c r="E532" s="46"/>
    </row>
    <row r="533" spans="5:5" s="1" customFormat="1" ht="24" customHeight="1">
      <c r="E533" s="46"/>
    </row>
    <row r="534" spans="5:5" s="1" customFormat="1" ht="24" customHeight="1">
      <c r="E534" s="46"/>
    </row>
    <row r="535" spans="5:5" s="1" customFormat="1" ht="24" customHeight="1">
      <c r="E535" s="46"/>
    </row>
    <row r="536" spans="5:5" s="1" customFormat="1" ht="24" customHeight="1">
      <c r="E536" s="46"/>
    </row>
    <row r="537" spans="5:5" s="1" customFormat="1" ht="24" customHeight="1">
      <c r="E537" s="46"/>
    </row>
    <row r="538" spans="5:5" s="1" customFormat="1" ht="24" customHeight="1">
      <c r="E538" s="46"/>
    </row>
    <row r="539" spans="5:5" s="1" customFormat="1" ht="24" customHeight="1">
      <c r="E539" s="46"/>
    </row>
    <row r="540" spans="5:5" s="1" customFormat="1" ht="24" customHeight="1">
      <c r="E540" s="46"/>
    </row>
    <row r="541" spans="5:5" s="1" customFormat="1" ht="24" customHeight="1">
      <c r="E541" s="46"/>
    </row>
    <row r="542" spans="5:5" s="1" customFormat="1" ht="24" customHeight="1">
      <c r="E542" s="46"/>
    </row>
    <row r="543" spans="5:5" s="1" customFormat="1" ht="24" customHeight="1">
      <c r="E543" s="46"/>
    </row>
    <row r="544" spans="5:5" s="1" customFormat="1" ht="24" customHeight="1">
      <c r="E544" s="46"/>
    </row>
    <row r="545" spans="5:5" s="1" customFormat="1" ht="24" customHeight="1">
      <c r="E545" s="46"/>
    </row>
    <row r="546" spans="5:5" s="1" customFormat="1" ht="24" customHeight="1">
      <c r="E546" s="46"/>
    </row>
    <row r="547" spans="5:5" s="1" customFormat="1" ht="24" customHeight="1">
      <c r="E547" s="46"/>
    </row>
    <row r="548" spans="5:5" s="1" customFormat="1" ht="24" customHeight="1">
      <c r="E548" s="46"/>
    </row>
    <row r="549" spans="5:5" s="1" customFormat="1" ht="24" customHeight="1">
      <c r="E549" s="46"/>
    </row>
    <row r="550" spans="5:5" s="1" customFormat="1" ht="24" customHeight="1">
      <c r="E550" s="46"/>
    </row>
    <row r="551" spans="5:5" s="1" customFormat="1" ht="24" customHeight="1">
      <c r="E551" s="46"/>
    </row>
    <row r="552" spans="5:5" s="1" customFormat="1" ht="24" customHeight="1">
      <c r="E552" s="46"/>
    </row>
    <row r="553" spans="5:5" s="1" customFormat="1" ht="24" customHeight="1">
      <c r="E553" s="46"/>
    </row>
    <row r="554" spans="5:5" s="1" customFormat="1" ht="24" customHeight="1">
      <c r="E554" s="46"/>
    </row>
    <row r="555" spans="5:5" s="1" customFormat="1" ht="24" customHeight="1">
      <c r="E555" s="46"/>
    </row>
    <row r="556" spans="5:5" s="1" customFormat="1" ht="24" customHeight="1">
      <c r="E556" s="46"/>
    </row>
    <row r="557" spans="5:5" s="1" customFormat="1" ht="24" customHeight="1">
      <c r="E557" s="46"/>
    </row>
    <row r="558" spans="5:5" s="1" customFormat="1" ht="24" customHeight="1">
      <c r="E558" s="46"/>
    </row>
    <row r="559" spans="5:5" s="1" customFormat="1" ht="24" customHeight="1">
      <c r="E559" s="46"/>
    </row>
    <row r="560" spans="5:5" s="1" customFormat="1" ht="24" customHeight="1">
      <c r="E560" s="46"/>
    </row>
    <row r="561" spans="5:5" s="1" customFormat="1" ht="24" customHeight="1">
      <c r="E561" s="46"/>
    </row>
    <row r="562" spans="5:5" s="1" customFormat="1" ht="24" customHeight="1">
      <c r="E562" s="46"/>
    </row>
    <row r="563" spans="5:5" s="1" customFormat="1" ht="24" customHeight="1">
      <c r="E563" s="46"/>
    </row>
    <row r="564" spans="5:5" s="1" customFormat="1" ht="24" customHeight="1">
      <c r="E564" s="46"/>
    </row>
    <row r="565" spans="5:5" s="1" customFormat="1" ht="24" customHeight="1">
      <c r="E565" s="46"/>
    </row>
    <row r="566" spans="5:5" s="1" customFormat="1" ht="24" customHeight="1">
      <c r="E566" s="46"/>
    </row>
    <row r="567" spans="5:5" s="1" customFormat="1" ht="24" customHeight="1">
      <c r="E567" s="46"/>
    </row>
    <row r="568" spans="5:5" s="1" customFormat="1" ht="24" customHeight="1">
      <c r="E568" s="46"/>
    </row>
    <row r="569" spans="5:5" s="1" customFormat="1" ht="24" customHeight="1">
      <c r="E569" s="46"/>
    </row>
    <row r="570" spans="5:5" s="1" customFormat="1" ht="24" customHeight="1">
      <c r="E570" s="46"/>
    </row>
    <row r="571" spans="5:5" s="1" customFormat="1" ht="24" customHeight="1">
      <c r="E571" s="46"/>
    </row>
    <row r="572" spans="5:5" s="1" customFormat="1" ht="24" customHeight="1">
      <c r="E572" s="46"/>
    </row>
    <row r="573" spans="5:5" s="1" customFormat="1" ht="24" customHeight="1">
      <c r="E573" s="46"/>
    </row>
    <row r="574" spans="5:5" s="1" customFormat="1" ht="24" customHeight="1">
      <c r="E574" s="46"/>
    </row>
    <row r="575" spans="5:5" s="1" customFormat="1" ht="24" customHeight="1">
      <c r="E575" s="46"/>
    </row>
    <row r="576" spans="5:5" s="1" customFormat="1" ht="24" customHeight="1">
      <c r="E576" s="46"/>
    </row>
    <row r="577" spans="5:5" s="1" customFormat="1" ht="24" customHeight="1">
      <c r="E577" s="46"/>
    </row>
    <row r="578" spans="5:5" s="1" customFormat="1" ht="24" customHeight="1">
      <c r="E578" s="46"/>
    </row>
    <row r="579" spans="5:5" s="1" customFormat="1" ht="24" customHeight="1">
      <c r="E579" s="46"/>
    </row>
    <row r="580" spans="5:5" s="1" customFormat="1" ht="24" customHeight="1">
      <c r="E580" s="46"/>
    </row>
    <row r="581" spans="5:5" s="1" customFormat="1" ht="24" customHeight="1">
      <c r="E581" s="46"/>
    </row>
    <row r="582" spans="5:5" s="1" customFormat="1" ht="24" customHeight="1">
      <c r="E582" s="46"/>
    </row>
    <row r="583" spans="5:5" s="1" customFormat="1" ht="24" customHeight="1">
      <c r="E583" s="46"/>
    </row>
    <row r="584" spans="5:5" s="1" customFormat="1" ht="24" customHeight="1">
      <c r="E584" s="46"/>
    </row>
    <row r="585" spans="5:5" s="1" customFormat="1" ht="24" customHeight="1">
      <c r="E585" s="46"/>
    </row>
    <row r="586" spans="5:5" s="1" customFormat="1" ht="24" customHeight="1">
      <c r="E586" s="46"/>
    </row>
    <row r="587" spans="5:5" s="1" customFormat="1" ht="24" customHeight="1">
      <c r="E587" s="46"/>
    </row>
    <row r="588" spans="5:5" s="1" customFormat="1" ht="24" customHeight="1">
      <c r="E588" s="46"/>
    </row>
    <row r="589" spans="5:5" s="1" customFormat="1" ht="24" customHeight="1">
      <c r="E589" s="46"/>
    </row>
    <row r="590" spans="5:5" s="1" customFormat="1" ht="24" customHeight="1">
      <c r="E590" s="46"/>
    </row>
    <row r="591" spans="5:5" s="1" customFormat="1" ht="24" customHeight="1">
      <c r="E591" s="46"/>
    </row>
    <row r="592" spans="5:5" s="1" customFormat="1" ht="24" customHeight="1">
      <c r="E592" s="46"/>
    </row>
    <row r="593" spans="5:5" s="1" customFormat="1" ht="24" customHeight="1">
      <c r="E593" s="46"/>
    </row>
    <row r="594" spans="5:5" s="1" customFormat="1" ht="24" customHeight="1">
      <c r="E594" s="46"/>
    </row>
    <row r="595" spans="5:5" s="1" customFormat="1" ht="24" customHeight="1">
      <c r="E595" s="46"/>
    </row>
    <row r="596" spans="5:5" s="1" customFormat="1" ht="24" customHeight="1">
      <c r="E596" s="46"/>
    </row>
    <row r="597" spans="5:5" s="1" customFormat="1" ht="24" customHeight="1">
      <c r="E597" s="46"/>
    </row>
    <row r="598" spans="5:5" s="1" customFormat="1" ht="24" customHeight="1">
      <c r="E598" s="46"/>
    </row>
    <row r="599" spans="5:5" s="1" customFormat="1" ht="24" customHeight="1">
      <c r="E599" s="46"/>
    </row>
    <row r="600" spans="5:5" s="1" customFormat="1" ht="24" customHeight="1">
      <c r="E600" s="46"/>
    </row>
    <row r="601" spans="5:5" s="1" customFormat="1" ht="24" customHeight="1">
      <c r="E601" s="46"/>
    </row>
    <row r="602" spans="5:5" s="1" customFormat="1" ht="24" customHeight="1">
      <c r="E602" s="46"/>
    </row>
    <row r="603" spans="5:5" s="1" customFormat="1" ht="24" customHeight="1">
      <c r="E603" s="46"/>
    </row>
    <row r="604" spans="5:5" s="1" customFormat="1" ht="24" customHeight="1">
      <c r="E604" s="46"/>
    </row>
    <row r="605" spans="5:5" s="1" customFormat="1" ht="24" customHeight="1">
      <c r="E605" s="46"/>
    </row>
    <row r="606" spans="5:5" s="1" customFormat="1" ht="24" customHeight="1">
      <c r="E606" s="46"/>
    </row>
    <row r="607" spans="5:5" s="1" customFormat="1" ht="24" customHeight="1">
      <c r="E607" s="46"/>
    </row>
    <row r="608" spans="5:5" s="1" customFormat="1" ht="24" customHeight="1">
      <c r="E608" s="46"/>
    </row>
    <row r="609" spans="5:5" s="1" customFormat="1" ht="24" customHeight="1">
      <c r="E609" s="46"/>
    </row>
    <row r="610" spans="5:5" s="1" customFormat="1" ht="24" customHeight="1">
      <c r="E610" s="46"/>
    </row>
    <row r="611" spans="5:5" s="1" customFormat="1" ht="24" customHeight="1">
      <c r="E611" s="46"/>
    </row>
    <row r="612" spans="5:5" s="1" customFormat="1" ht="24" customHeight="1">
      <c r="E612" s="46"/>
    </row>
    <row r="613" spans="5:5" s="1" customFormat="1" ht="24" customHeight="1">
      <c r="E613" s="46"/>
    </row>
    <row r="614" spans="5:5" s="1" customFormat="1" ht="24" customHeight="1">
      <c r="E614" s="46"/>
    </row>
    <row r="615" spans="5:5" s="1" customFormat="1" ht="24" customHeight="1">
      <c r="E615" s="46"/>
    </row>
    <row r="616" spans="5:5" s="1" customFormat="1" ht="24" customHeight="1">
      <c r="E616" s="46"/>
    </row>
    <row r="617" spans="5:5" s="1" customFormat="1" ht="24" customHeight="1">
      <c r="E617" s="46"/>
    </row>
    <row r="618" spans="5:5" s="1" customFormat="1" ht="24" customHeight="1">
      <c r="E618" s="46"/>
    </row>
    <row r="619" spans="5:5" s="1" customFormat="1" ht="24" customHeight="1">
      <c r="E619" s="46"/>
    </row>
    <row r="620" spans="5:5" s="1" customFormat="1" ht="24" customHeight="1">
      <c r="E620" s="46"/>
    </row>
    <row r="621" spans="5:5" s="1" customFormat="1" ht="24" customHeight="1">
      <c r="E621" s="46"/>
    </row>
    <row r="622" spans="5:5" s="1" customFormat="1" ht="24" customHeight="1">
      <c r="E622" s="46"/>
    </row>
    <row r="623" spans="5:5" s="1" customFormat="1" ht="24" customHeight="1">
      <c r="E623" s="46"/>
    </row>
    <row r="624" spans="5:5" s="1" customFormat="1" ht="24" customHeight="1">
      <c r="E624" s="46"/>
    </row>
    <row r="625" spans="5:5" s="1" customFormat="1" ht="24" customHeight="1">
      <c r="E625" s="46"/>
    </row>
    <row r="626" spans="5:5" s="1" customFormat="1" ht="24" customHeight="1">
      <c r="E626" s="46"/>
    </row>
    <row r="627" spans="5:5" s="1" customFormat="1" ht="24" customHeight="1">
      <c r="E627" s="46"/>
    </row>
    <row r="628" spans="5:5" s="1" customFormat="1" ht="24" customHeight="1">
      <c r="E628" s="46"/>
    </row>
    <row r="629" spans="5:5" s="1" customFormat="1" ht="24" customHeight="1">
      <c r="E629" s="46"/>
    </row>
    <row r="630" spans="5:5" s="1" customFormat="1" ht="24" customHeight="1">
      <c r="E630" s="46"/>
    </row>
    <row r="631" spans="5:5" s="1" customFormat="1" ht="24" customHeight="1">
      <c r="E631" s="46"/>
    </row>
    <row r="632" spans="5:5" s="1" customFormat="1" ht="24" customHeight="1">
      <c r="E632" s="46"/>
    </row>
    <row r="633" spans="5:5" s="1" customFormat="1" ht="24" customHeight="1">
      <c r="E633" s="46"/>
    </row>
    <row r="634" spans="5:5" s="1" customFormat="1" ht="24" customHeight="1">
      <c r="E634" s="46"/>
    </row>
    <row r="635" spans="5:5" s="1" customFormat="1" ht="24" customHeight="1">
      <c r="E635" s="46"/>
    </row>
    <row r="636" spans="5:5" s="1" customFormat="1" ht="24" customHeight="1">
      <c r="E636" s="46"/>
    </row>
    <row r="637" spans="5:5" s="1" customFormat="1" ht="24" customHeight="1">
      <c r="E637" s="46"/>
    </row>
    <row r="638" spans="5:5" s="1" customFormat="1" ht="24" customHeight="1">
      <c r="E638" s="46"/>
    </row>
    <row r="639" spans="5:5" s="1" customFormat="1" ht="24" customHeight="1">
      <c r="E639" s="46"/>
    </row>
    <row r="640" spans="5:5" s="1" customFormat="1" ht="24" customHeight="1">
      <c r="E640" s="46"/>
    </row>
    <row r="641" spans="5:5" s="1" customFormat="1" ht="24" customHeight="1">
      <c r="E641" s="46"/>
    </row>
    <row r="642" spans="5:5" s="1" customFormat="1" ht="24" customHeight="1">
      <c r="E642" s="46"/>
    </row>
    <row r="643" spans="5:5" s="1" customFormat="1" ht="24" customHeight="1">
      <c r="E643" s="46"/>
    </row>
    <row r="644" spans="5:5" s="1" customFormat="1" ht="24" customHeight="1">
      <c r="E644" s="46"/>
    </row>
    <row r="645" spans="5:5" s="1" customFormat="1" ht="24" customHeight="1">
      <c r="E645" s="46"/>
    </row>
    <row r="646" spans="5:5" s="1" customFormat="1" ht="24" customHeight="1">
      <c r="E646" s="46"/>
    </row>
    <row r="647" spans="5:5" s="1" customFormat="1" ht="24" customHeight="1">
      <c r="E647" s="46"/>
    </row>
    <row r="648" spans="5:5" s="1" customFormat="1" ht="24" customHeight="1">
      <c r="E648" s="46"/>
    </row>
    <row r="649" spans="5:5" s="1" customFormat="1" ht="24" customHeight="1">
      <c r="E649" s="46"/>
    </row>
    <row r="650" spans="5:5" s="1" customFormat="1" ht="24" customHeight="1">
      <c r="E650" s="46"/>
    </row>
    <row r="651" spans="5:5" s="1" customFormat="1" ht="24" customHeight="1">
      <c r="E651" s="46"/>
    </row>
    <row r="652" spans="5:5" s="1" customFormat="1" ht="24" customHeight="1">
      <c r="E652" s="46"/>
    </row>
    <row r="653" spans="5:5" s="1" customFormat="1" ht="24" customHeight="1">
      <c r="E653" s="46"/>
    </row>
    <row r="654" spans="5:5" s="1" customFormat="1" ht="24" customHeight="1">
      <c r="E654" s="46"/>
    </row>
    <row r="655" spans="5:5" s="1" customFormat="1" ht="24" customHeight="1">
      <c r="E655" s="46"/>
    </row>
    <row r="656" spans="5:5" s="1" customFormat="1" ht="24" customHeight="1">
      <c r="E656" s="46"/>
    </row>
    <row r="657" spans="5:5" s="1" customFormat="1" ht="24" customHeight="1">
      <c r="E657" s="46"/>
    </row>
    <row r="658" spans="5:5" s="1" customFormat="1" ht="24" customHeight="1">
      <c r="E658" s="46"/>
    </row>
    <row r="659" spans="5:5" s="1" customFormat="1" ht="24" customHeight="1">
      <c r="E659" s="46"/>
    </row>
    <row r="660" spans="5:5" s="1" customFormat="1" ht="24" customHeight="1">
      <c r="E660" s="46"/>
    </row>
    <row r="661" spans="5:5" s="1" customFormat="1" ht="24" customHeight="1">
      <c r="E661" s="46"/>
    </row>
    <row r="662" spans="5:5" s="1" customFormat="1" ht="24" customHeight="1">
      <c r="E662" s="46"/>
    </row>
    <row r="663" spans="5:5" s="1" customFormat="1" ht="24" customHeight="1">
      <c r="E663" s="46"/>
    </row>
    <row r="664" spans="5:5" s="1" customFormat="1" ht="24" customHeight="1">
      <c r="E664" s="46"/>
    </row>
    <row r="665" spans="5:5" s="1" customFormat="1" ht="24" customHeight="1">
      <c r="E665" s="46"/>
    </row>
    <row r="666" spans="5:5" s="1" customFormat="1" ht="24" customHeight="1">
      <c r="E666" s="46"/>
    </row>
    <row r="667" spans="5:5" s="1" customFormat="1" ht="24" customHeight="1">
      <c r="E667" s="46"/>
    </row>
    <row r="668" spans="5:5" s="1" customFormat="1" ht="24" customHeight="1">
      <c r="E668" s="46"/>
    </row>
    <row r="669" spans="5:5" s="1" customFormat="1" ht="24" customHeight="1">
      <c r="E669" s="46"/>
    </row>
    <row r="670" spans="5:5" s="1" customFormat="1" ht="24" customHeight="1">
      <c r="E670" s="46"/>
    </row>
    <row r="671" spans="5:5" s="1" customFormat="1" ht="24" customHeight="1">
      <c r="E671" s="46"/>
    </row>
    <row r="672" spans="5:5" s="1" customFormat="1" ht="24" customHeight="1">
      <c r="E672" s="46"/>
    </row>
    <row r="673" spans="5:5" s="1" customFormat="1" ht="24" customHeight="1">
      <c r="E673" s="46"/>
    </row>
    <row r="674" spans="5:5" s="1" customFormat="1" ht="24" customHeight="1">
      <c r="E674" s="46"/>
    </row>
    <row r="675" spans="5:5" s="1" customFormat="1" ht="24" customHeight="1">
      <c r="E675" s="46"/>
    </row>
    <row r="676" spans="5:5" s="1" customFormat="1" ht="24" customHeight="1">
      <c r="E676" s="46"/>
    </row>
    <row r="677" spans="5:5" s="1" customFormat="1" ht="24" customHeight="1">
      <c r="E677" s="46"/>
    </row>
    <row r="678" spans="5:5" s="1" customFormat="1" ht="24" customHeight="1">
      <c r="E678" s="46"/>
    </row>
    <row r="679" spans="5:5" s="1" customFormat="1" ht="24" customHeight="1">
      <c r="E679" s="46"/>
    </row>
    <row r="680" spans="5:5" s="1" customFormat="1" ht="24" customHeight="1">
      <c r="E680" s="46"/>
    </row>
    <row r="681" spans="5:5" s="1" customFormat="1" ht="24" customHeight="1">
      <c r="E681" s="46"/>
    </row>
    <row r="682" spans="5:5" s="1" customFormat="1" ht="24" customHeight="1">
      <c r="E682" s="46"/>
    </row>
    <row r="683" spans="5:5" s="1" customFormat="1" ht="24" customHeight="1">
      <c r="E683" s="46"/>
    </row>
    <row r="684" spans="5:5" s="1" customFormat="1" ht="24" customHeight="1">
      <c r="E684" s="46"/>
    </row>
    <row r="685" spans="5:5" s="1" customFormat="1" ht="24" customHeight="1">
      <c r="E685" s="46"/>
    </row>
    <row r="686" spans="5:5" s="1" customFormat="1" ht="24" customHeight="1">
      <c r="E686" s="46"/>
    </row>
    <row r="687" spans="5:5" s="1" customFormat="1" ht="24" customHeight="1">
      <c r="E687" s="46"/>
    </row>
    <row r="688" spans="5:5" s="1" customFormat="1" ht="24" customHeight="1">
      <c r="E688" s="46"/>
    </row>
    <row r="689" spans="5:5" s="1" customFormat="1" ht="24" customHeight="1">
      <c r="E689" s="46"/>
    </row>
    <row r="690" spans="5:5" s="1" customFormat="1" ht="24" customHeight="1">
      <c r="E690" s="46"/>
    </row>
    <row r="691" spans="5:5" s="1" customFormat="1" ht="24" customHeight="1">
      <c r="E691" s="46"/>
    </row>
    <row r="692" spans="5:5" s="1" customFormat="1" ht="24" customHeight="1">
      <c r="E692" s="46"/>
    </row>
    <row r="693" spans="5:5" s="1" customFormat="1" ht="24" customHeight="1">
      <c r="E693" s="46"/>
    </row>
    <row r="694" spans="5:5" s="1" customFormat="1" ht="24" customHeight="1">
      <c r="E694" s="46"/>
    </row>
    <row r="695" spans="5:5" s="1" customFormat="1" ht="24" customHeight="1">
      <c r="E695" s="46"/>
    </row>
    <row r="696" spans="5:5" s="1" customFormat="1" ht="24" customHeight="1">
      <c r="E696" s="46"/>
    </row>
    <row r="697" spans="5:5" s="1" customFormat="1" ht="24" customHeight="1">
      <c r="E697" s="46"/>
    </row>
    <row r="698" spans="5:5" s="1" customFormat="1" ht="24" customHeight="1">
      <c r="E698" s="46"/>
    </row>
    <row r="699" spans="5:5" s="1" customFormat="1" ht="24" customHeight="1">
      <c r="E699" s="46"/>
    </row>
    <row r="700" spans="5:5" s="1" customFormat="1" ht="24" customHeight="1">
      <c r="E700" s="46"/>
    </row>
    <row r="701" spans="5:5" s="1" customFormat="1" ht="24" customHeight="1">
      <c r="E701" s="46"/>
    </row>
    <row r="702" spans="5:5" s="1" customFormat="1" ht="24" customHeight="1">
      <c r="E702" s="46"/>
    </row>
    <row r="703" spans="5:5" s="1" customFormat="1" ht="24" customHeight="1">
      <c r="E703" s="46"/>
    </row>
    <row r="704" spans="5:5" s="1" customFormat="1" ht="24" customHeight="1">
      <c r="E704" s="46"/>
    </row>
    <row r="705" spans="5:5" s="1" customFormat="1" ht="24" customHeight="1">
      <c r="E705" s="46"/>
    </row>
    <row r="706" spans="5:5" s="1" customFormat="1" ht="24" customHeight="1">
      <c r="E706" s="46"/>
    </row>
    <row r="707" spans="5:5" s="1" customFormat="1" ht="24" customHeight="1">
      <c r="E707" s="46"/>
    </row>
    <row r="708" spans="5:5" s="1" customFormat="1" ht="24" customHeight="1">
      <c r="E708" s="46"/>
    </row>
    <row r="709" spans="5:5" s="1" customFormat="1" ht="24" customHeight="1">
      <c r="E709" s="46"/>
    </row>
    <row r="710" spans="5:5" s="1" customFormat="1" ht="24" customHeight="1">
      <c r="E710" s="46"/>
    </row>
    <row r="711" spans="5:5" s="1" customFormat="1" ht="24" customHeight="1">
      <c r="E711" s="46"/>
    </row>
    <row r="712" spans="5:5" s="1" customFormat="1" ht="24" customHeight="1">
      <c r="E712" s="46"/>
    </row>
    <row r="713" spans="5:5" s="1" customFormat="1" ht="24" customHeight="1">
      <c r="E713" s="46"/>
    </row>
    <row r="714" spans="5:5" s="1" customFormat="1" ht="24" customHeight="1">
      <c r="E714" s="46"/>
    </row>
    <row r="715" spans="5:5" s="1" customFormat="1" ht="24" customHeight="1">
      <c r="E715" s="46"/>
    </row>
    <row r="716" spans="5:5" s="1" customFormat="1" ht="24" customHeight="1">
      <c r="E716" s="46"/>
    </row>
    <row r="717" spans="5:5" s="1" customFormat="1" ht="24" customHeight="1">
      <c r="E717" s="46"/>
    </row>
    <row r="718" spans="5:5" s="1" customFormat="1" ht="24" customHeight="1">
      <c r="E718" s="46"/>
    </row>
    <row r="719" spans="5:5" s="1" customFormat="1" ht="24" customHeight="1">
      <c r="E719" s="46"/>
    </row>
    <row r="720" spans="5:5" s="1" customFormat="1" ht="24" customHeight="1">
      <c r="E720" s="46"/>
    </row>
    <row r="721" spans="5:5" s="1" customFormat="1" ht="24" customHeight="1">
      <c r="E721" s="46"/>
    </row>
    <row r="722" spans="5:5" s="1" customFormat="1" ht="24" customHeight="1">
      <c r="E722" s="46"/>
    </row>
    <row r="723" spans="5:5" s="1" customFormat="1" ht="24" customHeight="1">
      <c r="E723" s="46"/>
    </row>
    <row r="724" spans="5:5" s="1" customFormat="1" ht="24" customHeight="1">
      <c r="E724" s="46"/>
    </row>
    <row r="725" spans="5:5" s="1" customFormat="1" ht="24" customHeight="1">
      <c r="E725" s="46"/>
    </row>
    <row r="726" spans="5:5" s="1" customFormat="1" ht="24" customHeight="1">
      <c r="E726" s="46"/>
    </row>
    <row r="727" spans="5:5" s="1" customFormat="1" ht="24" customHeight="1">
      <c r="E727" s="46"/>
    </row>
    <row r="728" spans="5:5" s="1" customFormat="1" ht="24" customHeight="1">
      <c r="E728" s="46"/>
    </row>
    <row r="729" spans="5:5" s="1" customFormat="1" ht="24" customHeight="1">
      <c r="E729" s="46"/>
    </row>
    <row r="730" spans="5:5" s="1" customFormat="1" ht="24" customHeight="1">
      <c r="E730" s="46"/>
    </row>
    <row r="731" spans="5:5" s="1" customFormat="1" ht="24" customHeight="1">
      <c r="E731" s="46"/>
    </row>
    <row r="732" spans="5:5" s="1" customFormat="1" ht="24" customHeight="1">
      <c r="E732" s="46"/>
    </row>
    <row r="733" spans="5:5" s="1" customFormat="1" ht="24" customHeight="1">
      <c r="E733" s="46"/>
    </row>
    <row r="734" spans="5:5" s="1" customFormat="1" ht="24" customHeight="1">
      <c r="E734" s="46"/>
    </row>
    <row r="735" spans="5:5" s="1" customFormat="1" ht="24" customHeight="1">
      <c r="E735" s="46"/>
    </row>
    <row r="736" spans="5:5" s="1" customFormat="1" ht="24" customHeight="1">
      <c r="E736" s="46"/>
    </row>
    <row r="737" spans="5:5" s="1" customFormat="1" ht="24" customHeight="1">
      <c r="E737" s="46"/>
    </row>
    <row r="738" spans="5:5" s="1" customFormat="1" ht="24" customHeight="1">
      <c r="E738" s="46"/>
    </row>
    <row r="739" spans="5:5" s="1" customFormat="1" ht="24" customHeight="1">
      <c r="E739" s="46"/>
    </row>
    <row r="740" spans="5:5" s="1" customFormat="1" ht="24" customHeight="1">
      <c r="E740" s="46"/>
    </row>
    <row r="741" spans="5:5" s="1" customFormat="1" ht="24" customHeight="1">
      <c r="E741" s="46"/>
    </row>
    <row r="742" spans="5:5" s="1" customFormat="1" ht="24" customHeight="1">
      <c r="E742" s="46"/>
    </row>
    <row r="743" spans="5:5" s="1" customFormat="1" ht="24" customHeight="1">
      <c r="E743" s="46"/>
    </row>
    <row r="744" spans="5:5" s="1" customFormat="1" ht="24" customHeight="1">
      <c r="E744" s="46"/>
    </row>
    <row r="745" spans="5:5" s="1" customFormat="1" ht="24" customHeight="1">
      <c r="E745" s="46"/>
    </row>
    <row r="746" spans="5:5" s="1" customFormat="1" ht="24" customHeight="1">
      <c r="E746" s="46"/>
    </row>
    <row r="747" spans="5:5" s="1" customFormat="1" ht="24" customHeight="1">
      <c r="E747" s="46"/>
    </row>
    <row r="748" spans="5:5" s="1" customFormat="1" ht="24" customHeight="1">
      <c r="E748" s="46"/>
    </row>
    <row r="749" spans="5:5" s="1" customFormat="1" ht="24" customHeight="1">
      <c r="E749" s="46"/>
    </row>
    <row r="750" spans="5:5" s="1" customFormat="1" ht="24" customHeight="1">
      <c r="E750" s="46"/>
    </row>
    <row r="751" spans="5:5" s="1" customFormat="1" ht="24" customHeight="1">
      <c r="E751" s="46"/>
    </row>
    <row r="752" spans="5:5" s="1" customFormat="1" ht="24" customHeight="1">
      <c r="E752" s="46"/>
    </row>
    <row r="753" spans="5:5" s="1" customFormat="1" ht="24" customHeight="1">
      <c r="E753" s="46"/>
    </row>
    <row r="754" spans="5:5" s="1" customFormat="1" ht="24" customHeight="1">
      <c r="E754" s="46"/>
    </row>
    <row r="755" spans="5:5" s="1" customFormat="1" ht="24" customHeight="1">
      <c r="E755" s="46"/>
    </row>
    <row r="756" spans="5:5" s="1" customFormat="1" ht="24" customHeight="1">
      <c r="E756" s="46"/>
    </row>
    <row r="757" spans="5:5" s="1" customFormat="1" ht="24" customHeight="1">
      <c r="E757" s="46"/>
    </row>
    <row r="758" spans="5:5" s="1" customFormat="1" ht="24" customHeight="1">
      <c r="E758" s="46"/>
    </row>
    <row r="759" spans="5:5" s="1" customFormat="1" ht="24" customHeight="1">
      <c r="E759" s="46"/>
    </row>
    <row r="760" spans="5:5" s="1" customFormat="1" ht="24" customHeight="1">
      <c r="E760" s="46"/>
    </row>
    <row r="761" spans="5:5" s="1" customFormat="1" ht="24" customHeight="1">
      <c r="E761" s="46"/>
    </row>
    <row r="762" spans="5:5" s="1" customFormat="1" ht="24" customHeight="1">
      <c r="E762" s="46"/>
    </row>
    <row r="763" spans="5:5" s="1" customFormat="1" ht="24" customHeight="1">
      <c r="E763" s="46"/>
    </row>
    <row r="764" spans="5:5" s="1" customFormat="1" ht="24" customHeight="1">
      <c r="E764" s="46"/>
    </row>
    <row r="765" spans="5:5" s="1" customFormat="1" ht="24" customHeight="1">
      <c r="E765" s="46"/>
    </row>
    <row r="766" spans="5:5" s="1" customFormat="1" ht="24" customHeight="1">
      <c r="E766" s="46"/>
    </row>
    <row r="767" spans="5:5" s="1" customFormat="1" ht="24" customHeight="1">
      <c r="E767" s="46"/>
    </row>
    <row r="768" spans="5:5" s="1" customFormat="1" ht="24" customHeight="1">
      <c r="E768" s="46"/>
    </row>
    <row r="769" spans="5:5" s="1" customFormat="1" ht="24" customHeight="1">
      <c r="E769" s="46"/>
    </row>
    <row r="770" spans="5:5" s="1" customFormat="1" ht="24" customHeight="1">
      <c r="E770" s="46"/>
    </row>
    <row r="771" spans="5:5" s="1" customFormat="1" ht="24" customHeight="1">
      <c r="E771" s="46"/>
    </row>
    <row r="772" spans="5:5" s="1" customFormat="1" ht="24" customHeight="1">
      <c r="E772" s="46"/>
    </row>
    <row r="773" spans="5:5" s="1" customFormat="1" ht="24" customHeight="1">
      <c r="E773" s="46"/>
    </row>
    <row r="774" spans="5:5" s="1" customFormat="1" ht="24" customHeight="1">
      <c r="E774" s="46"/>
    </row>
    <row r="775" spans="5:5" s="1" customFormat="1" ht="24" customHeight="1">
      <c r="E775" s="46"/>
    </row>
    <row r="776" spans="5:5" s="1" customFormat="1" ht="24" customHeight="1">
      <c r="E776" s="46"/>
    </row>
    <row r="777" spans="5:5" s="1" customFormat="1" ht="24" customHeight="1">
      <c r="E777" s="46"/>
    </row>
    <row r="778" spans="5:5" s="1" customFormat="1" ht="24" customHeight="1">
      <c r="E778" s="46"/>
    </row>
    <row r="779" spans="5:5" s="1" customFormat="1" ht="24" customHeight="1">
      <c r="E779" s="46"/>
    </row>
    <row r="780" spans="5:5" s="1" customFormat="1" ht="24" customHeight="1">
      <c r="E780" s="46"/>
    </row>
    <row r="781" spans="5:5" s="1" customFormat="1" ht="24" customHeight="1">
      <c r="E781" s="46"/>
    </row>
    <row r="782" spans="5:5" s="1" customFormat="1" ht="24" customHeight="1">
      <c r="E782" s="46"/>
    </row>
    <row r="783" spans="5:5" s="1" customFormat="1" ht="24" customHeight="1">
      <c r="E783" s="46"/>
    </row>
    <row r="784" spans="5:5" s="1" customFormat="1" ht="24" customHeight="1">
      <c r="E784" s="46"/>
    </row>
    <row r="785" spans="5:5" s="1" customFormat="1" ht="24" customHeight="1">
      <c r="E785" s="46"/>
    </row>
    <row r="786" spans="5:5" s="1" customFormat="1" ht="24" customHeight="1">
      <c r="E786" s="46"/>
    </row>
    <row r="787" spans="5:5" s="1" customFormat="1" ht="24" customHeight="1">
      <c r="E787" s="46"/>
    </row>
    <row r="788" spans="5:5" s="1" customFormat="1" ht="24" customHeight="1">
      <c r="E788" s="46"/>
    </row>
    <row r="789" spans="5:5" s="1" customFormat="1" ht="24" customHeight="1">
      <c r="E789" s="46"/>
    </row>
    <row r="790" spans="5:5" s="1" customFormat="1" ht="24" customHeight="1">
      <c r="E790" s="46"/>
    </row>
    <row r="791" spans="5:5" s="1" customFormat="1" ht="24" customHeight="1">
      <c r="E791" s="46"/>
    </row>
    <row r="792" spans="5:5" s="1" customFormat="1" ht="24" customHeight="1">
      <c r="E792" s="46"/>
    </row>
    <row r="793" spans="5:5" s="1" customFormat="1" ht="24" customHeight="1">
      <c r="E793" s="46"/>
    </row>
    <row r="794" spans="5:5" s="1" customFormat="1" ht="24" customHeight="1">
      <c r="E794" s="46"/>
    </row>
    <row r="795" spans="5:5" s="1" customFormat="1" ht="24" customHeight="1">
      <c r="E795" s="46"/>
    </row>
    <row r="796" spans="5:5" s="1" customFormat="1" ht="24" customHeight="1">
      <c r="E796" s="46"/>
    </row>
    <row r="797" spans="5:5" s="1" customFormat="1" ht="24" customHeight="1">
      <c r="E797" s="46"/>
    </row>
    <row r="798" spans="5:5" s="1" customFormat="1" ht="24" customHeight="1">
      <c r="E798" s="46"/>
    </row>
    <row r="799" spans="5:5" s="1" customFormat="1" ht="24" customHeight="1">
      <c r="E799" s="46"/>
    </row>
    <row r="800" spans="5:5" s="1" customFormat="1" ht="24" customHeight="1">
      <c r="E800" s="46"/>
    </row>
    <row r="801" spans="5:5" s="1" customFormat="1" ht="24" customHeight="1">
      <c r="E801" s="46"/>
    </row>
    <row r="802" spans="5:5" s="1" customFormat="1" ht="24" customHeight="1">
      <c r="E802" s="46"/>
    </row>
    <row r="803" spans="5:5" s="1" customFormat="1" ht="24" customHeight="1">
      <c r="E803" s="46"/>
    </row>
    <row r="804" spans="5:5" s="1" customFormat="1" ht="24" customHeight="1">
      <c r="E804" s="46"/>
    </row>
    <row r="805" spans="5:5" s="1" customFormat="1" ht="24" customHeight="1">
      <c r="E805" s="46"/>
    </row>
    <row r="806" spans="5:5" s="1" customFormat="1" ht="24" customHeight="1">
      <c r="E806" s="46"/>
    </row>
    <row r="807" spans="5:5" s="1" customFormat="1" ht="24" customHeight="1">
      <c r="E807" s="46"/>
    </row>
    <row r="808" spans="5:5" s="1" customFormat="1" ht="24" customHeight="1">
      <c r="E808" s="46"/>
    </row>
    <row r="809" spans="5:5" s="1" customFormat="1" ht="24" customHeight="1">
      <c r="E809" s="46"/>
    </row>
    <row r="810" spans="5:5" s="1" customFormat="1" ht="24" customHeight="1">
      <c r="E810" s="46"/>
    </row>
    <row r="811" spans="5:5" s="1" customFormat="1" ht="24" customHeight="1">
      <c r="E811" s="46"/>
    </row>
    <row r="812" spans="5:5" s="1" customFormat="1" ht="24" customHeight="1">
      <c r="E812" s="46"/>
    </row>
    <row r="813" spans="5:5" s="1" customFormat="1" ht="24" customHeight="1">
      <c r="E813" s="46"/>
    </row>
    <row r="814" spans="5:5" s="1" customFormat="1" ht="24" customHeight="1">
      <c r="E814" s="46"/>
    </row>
    <row r="815" spans="5:5" s="1" customFormat="1" ht="24" customHeight="1">
      <c r="E815" s="46"/>
    </row>
    <row r="816" spans="5:5" s="1" customFormat="1" ht="24" customHeight="1">
      <c r="E816" s="46"/>
    </row>
    <row r="817" spans="5:5" s="1" customFormat="1" ht="24" customHeight="1">
      <c r="E817" s="46"/>
    </row>
    <row r="818" spans="5:5" s="1" customFormat="1" ht="24" customHeight="1">
      <c r="E818" s="46"/>
    </row>
    <row r="819" spans="5:5" s="1" customFormat="1" ht="24" customHeight="1">
      <c r="E819" s="46"/>
    </row>
    <row r="820" spans="5:5" s="1" customFormat="1" ht="24" customHeight="1">
      <c r="E820" s="46"/>
    </row>
    <row r="821" spans="5:5" s="1" customFormat="1" ht="24" customHeight="1">
      <c r="E821" s="46"/>
    </row>
    <row r="822" spans="5:5" s="1" customFormat="1" ht="24" customHeight="1">
      <c r="E822" s="46"/>
    </row>
    <row r="823" spans="5:5" s="1" customFormat="1" ht="24" customHeight="1">
      <c r="E823" s="46"/>
    </row>
    <row r="824" spans="5:5" s="1" customFormat="1" ht="24" customHeight="1">
      <c r="E824" s="46"/>
    </row>
    <row r="825" spans="5:5" s="1" customFormat="1" ht="24" customHeight="1">
      <c r="E825" s="46"/>
    </row>
    <row r="826" spans="5:5" s="1" customFormat="1" ht="24" customHeight="1">
      <c r="E826" s="46"/>
    </row>
    <row r="827" spans="5:5" s="1" customFormat="1" ht="24" customHeight="1">
      <c r="E827" s="46"/>
    </row>
    <row r="828" spans="5:5" s="1" customFormat="1" ht="24" customHeight="1">
      <c r="E828" s="46"/>
    </row>
    <row r="829" spans="5:5" s="1" customFormat="1" ht="24" customHeight="1">
      <c r="E829" s="46"/>
    </row>
    <row r="830" spans="5:5" s="1" customFormat="1" ht="24" customHeight="1">
      <c r="E830" s="46"/>
    </row>
    <row r="831" spans="5:5" s="1" customFormat="1" ht="24" customHeight="1">
      <c r="E831" s="46"/>
    </row>
    <row r="832" spans="5:5" s="1" customFormat="1" ht="24" customHeight="1">
      <c r="E832" s="46"/>
    </row>
    <row r="833" spans="5:5" s="1" customFormat="1" ht="24" customHeight="1">
      <c r="E833" s="46"/>
    </row>
    <row r="834" spans="5:5" s="1" customFormat="1" ht="24" customHeight="1">
      <c r="E834" s="46"/>
    </row>
    <row r="835" spans="5:5" s="1" customFormat="1" ht="24" customHeight="1">
      <c r="E835" s="46"/>
    </row>
    <row r="836" spans="5:5" s="1" customFormat="1" ht="24" customHeight="1">
      <c r="E836" s="46"/>
    </row>
    <row r="837" spans="5:5" s="1" customFormat="1" ht="24" customHeight="1">
      <c r="E837" s="46"/>
    </row>
    <row r="838" spans="5:5" s="1" customFormat="1" ht="24" customHeight="1">
      <c r="E838" s="46"/>
    </row>
    <row r="839" spans="5:5" s="1" customFormat="1" ht="24" customHeight="1">
      <c r="E839" s="46"/>
    </row>
    <row r="840" spans="5:5" s="1" customFormat="1" ht="24" customHeight="1">
      <c r="E840" s="46"/>
    </row>
    <row r="841" spans="5:5" s="1" customFormat="1" ht="24" customHeight="1">
      <c r="E841" s="46"/>
    </row>
    <row r="842" spans="5:5" s="1" customFormat="1" ht="24" customHeight="1">
      <c r="E842" s="46"/>
    </row>
    <row r="843" spans="5:5" s="1" customFormat="1" ht="24" customHeight="1">
      <c r="E843" s="46"/>
    </row>
    <row r="844" spans="5:5" s="1" customFormat="1" ht="24" customHeight="1">
      <c r="E844" s="46"/>
    </row>
    <row r="845" spans="5:5" s="1" customFormat="1" ht="24" customHeight="1">
      <c r="E845" s="46"/>
    </row>
    <row r="846" spans="5:5" s="1" customFormat="1" ht="24" customHeight="1">
      <c r="E846" s="46"/>
    </row>
    <row r="847" spans="5:5" s="1" customFormat="1" ht="24" customHeight="1">
      <c r="E847" s="46"/>
    </row>
    <row r="848" spans="5:5" s="1" customFormat="1" ht="24" customHeight="1">
      <c r="E848" s="46"/>
    </row>
    <row r="849" spans="5:5" s="1" customFormat="1" ht="24" customHeight="1">
      <c r="E849" s="46"/>
    </row>
    <row r="850" spans="5:5" s="1" customFormat="1" ht="24" customHeight="1">
      <c r="E850" s="46"/>
    </row>
    <row r="851" spans="5:5" s="1" customFormat="1" ht="24" customHeight="1">
      <c r="E851" s="46"/>
    </row>
    <row r="852" spans="5:5" s="1" customFormat="1" ht="24" customHeight="1">
      <c r="E852" s="46"/>
    </row>
    <row r="853" spans="5:5" s="1" customFormat="1" ht="24" customHeight="1">
      <c r="E853" s="46"/>
    </row>
    <row r="854" spans="5:5" s="1" customFormat="1" ht="24" customHeight="1">
      <c r="E854" s="46"/>
    </row>
    <row r="855" spans="5:5" s="1" customFormat="1" ht="24" customHeight="1">
      <c r="E855" s="46"/>
    </row>
    <row r="856" spans="5:5" s="1" customFormat="1" ht="24" customHeight="1">
      <c r="E856" s="46"/>
    </row>
    <row r="857" spans="5:5" s="1" customFormat="1" ht="24" customHeight="1">
      <c r="E857" s="46"/>
    </row>
    <row r="858" spans="5:5" s="1" customFormat="1" ht="24" customHeight="1">
      <c r="E858" s="46"/>
    </row>
    <row r="859" spans="5:5" s="1" customFormat="1" ht="24" customHeight="1">
      <c r="E859" s="46"/>
    </row>
    <row r="860" spans="5:5" s="1" customFormat="1" ht="24" customHeight="1">
      <c r="E860" s="46"/>
    </row>
    <row r="861" spans="5:5" s="1" customFormat="1" ht="24" customHeight="1">
      <c r="E861" s="46"/>
    </row>
    <row r="862" spans="5:5" s="1" customFormat="1" ht="24" customHeight="1">
      <c r="E862" s="46"/>
    </row>
    <row r="863" spans="5:5" s="1" customFormat="1" ht="24" customHeight="1">
      <c r="E863" s="46"/>
    </row>
    <row r="864" spans="5:5" s="1" customFormat="1" ht="24" customHeight="1">
      <c r="E864" s="46"/>
    </row>
    <row r="865" spans="5:5" s="1" customFormat="1" ht="24" customHeight="1">
      <c r="E865" s="46"/>
    </row>
    <row r="866" spans="5:5" s="1" customFormat="1" ht="24" customHeight="1">
      <c r="E866" s="46"/>
    </row>
    <row r="867" spans="5:5" s="1" customFormat="1" ht="24" customHeight="1">
      <c r="E867" s="46"/>
    </row>
    <row r="868" spans="5:5" s="1" customFormat="1" ht="24" customHeight="1">
      <c r="E868" s="46"/>
    </row>
    <row r="869" spans="5:5" s="1" customFormat="1" ht="24" customHeight="1">
      <c r="E869" s="46"/>
    </row>
    <row r="870" spans="5:5" s="1" customFormat="1" ht="24" customHeight="1">
      <c r="E870" s="46"/>
    </row>
    <row r="871" spans="5:5" s="1" customFormat="1" ht="24" customHeight="1">
      <c r="E871" s="46"/>
    </row>
    <row r="872" spans="5:5" s="1" customFormat="1" ht="24" customHeight="1">
      <c r="E872" s="46"/>
    </row>
    <row r="873" spans="5:5" s="1" customFormat="1" ht="24" customHeight="1">
      <c r="E873" s="46"/>
    </row>
    <row r="874" spans="5:5" s="1" customFormat="1" ht="24" customHeight="1">
      <c r="E874" s="46"/>
    </row>
    <row r="875" spans="5:5" s="1" customFormat="1" ht="24" customHeight="1">
      <c r="E875" s="46"/>
    </row>
    <row r="876" spans="5:5" s="1" customFormat="1" ht="24" customHeight="1">
      <c r="E876" s="46"/>
    </row>
    <row r="877" spans="5:5" s="1" customFormat="1" ht="24" customHeight="1">
      <c r="E877" s="46"/>
    </row>
    <row r="878" spans="5:5" s="1" customFormat="1" ht="24" customHeight="1">
      <c r="E878" s="46"/>
    </row>
    <row r="879" spans="5:5" s="1" customFormat="1" ht="24" customHeight="1">
      <c r="E879" s="46"/>
    </row>
    <row r="880" spans="5:5" s="1" customFormat="1" ht="24" customHeight="1">
      <c r="E880" s="46"/>
    </row>
    <row r="881" spans="5:5" s="1" customFormat="1" ht="24" customHeight="1">
      <c r="E881" s="46"/>
    </row>
    <row r="882" spans="5:5" s="1" customFormat="1" ht="24" customHeight="1">
      <c r="E882" s="46"/>
    </row>
    <row r="883" spans="5:5" s="1" customFormat="1" ht="24" customHeight="1">
      <c r="E883" s="46"/>
    </row>
    <row r="884" spans="5:5" s="1" customFormat="1" ht="24" customHeight="1">
      <c r="E884" s="46"/>
    </row>
    <row r="885" spans="5:5" s="1" customFormat="1" ht="24" customHeight="1">
      <c r="E885" s="46"/>
    </row>
    <row r="886" spans="5:5" s="1" customFormat="1" ht="24" customHeight="1">
      <c r="E886" s="46"/>
    </row>
    <row r="887" spans="5:5" s="1" customFormat="1" ht="24" customHeight="1">
      <c r="E887" s="46"/>
    </row>
    <row r="888" spans="5:5" s="1" customFormat="1" ht="24" customHeight="1">
      <c r="E888" s="46"/>
    </row>
    <row r="889" spans="5:5" s="1" customFormat="1" ht="24" customHeight="1">
      <c r="E889" s="46"/>
    </row>
    <row r="890" spans="5:5" s="1" customFormat="1" ht="24" customHeight="1">
      <c r="E890" s="46"/>
    </row>
    <row r="891" spans="5:5" s="1" customFormat="1" ht="24" customHeight="1">
      <c r="E891" s="46"/>
    </row>
    <row r="892" spans="5:5" s="1" customFormat="1" ht="24" customHeight="1">
      <c r="E892" s="46"/>
    </row>
    <row r="893" spans="5:5" s="1" customFormat="1" ht="24" customHeight="1">
      <c r="E893" s="46"/>
    </row>
    <row r="894" spans="5:5" s="1" customFormat="1" ht="24" customHeight="1">
      <c r="E894" s="46"/>
    </row>
    <row r="895" spans="5:5" s="1" customFormat="1" ht="24" customHeight="1">
      <c r="E895" s="46"/>
    </row>
    <row r="896" spans="5:5" s="1" customFormat="1" ht="24" customHeight="1">
      <c r="E896" s="46"/>
    </row>
    <row r="897" spans="5:5" s="1" customFormat="1" ht="24" customHeight="1">
      <c r="E897" s="46"/>
    </row>
    <row r="898" spans="5:5" s="1" customFormat="1" ht="24" customHeight="1">
      <c r="E898" s="46"/>
    </row>
    <row r="899" spans="5:5" s="1" customFormat="1" ht="24" customHeight="1">
      <c r="E899" s="46"/>
    </row>
    <row r="900" spans="5:5" s="1" customFormat="1" ht="24" customHeight="1">
      <c r="E900" s="46"/>
    </row>
    <row r="901" spans="5:5" s="1" customFormat="1" ht="24" customHeight="1">
      <c r="E901" s="46"/>
    </row>
    <row r="902" spans="5:5" s="1" customFormat="1" ht="24" customHeight="1">
      <c r="E902" s="46"/>
    </row>
    <row r="903" spans="5:5" s="1" customFormat="1" ht="24" customHeight="1">
      <c r="E903" s="46"/>
    </row>
    <row r="904" spans="5:5" s="1" customFormat="1" ht="24" customHeight="1">
      <c r="E904" s="46"/>
    </row>
    <row r="905" spans="5:5" s="1" customFormat="1" ht="24" customHeight="1">
      <c r="E905" s="46"/>
    </row>
    <row r="906" spans="5:5" s="1" customFormat="1" ht="24" customHeight="1">
      <c r="E906" s="46"/>
    </row>
    <row r="907" spans="5:5" s="1" customFormat="1" ht="24" customHeight="1">
      <c r="E907" s="46"/>
    </row>
    <row r="908" spans="5:5" s="1" customFormat="1" ht="24" customHeight="1">
      <c r="E908" s="46"/>
    </row>
    <row r="909" spans="5:5" s="1" customFormat="1" ht="24" customHeight="1">
      <c r="E909" s="46"/>
    </row>
    <row r="910" spans="5:5" s="1" customFormat="1" ht="24" customHeight="1">
      <c r="E910" s="46"/>
    </row>
    <row r="911" spans="5:5" s="1" customFormat="1" ht="24" customHeight="1">
      <c r="E911" s="46"/>
    </row>
    <row r="912" spans="5:5" s="1" customFormat="1" ht="24" customHeight="1">
      <c r="E912" s="46"/>
    </row>
    <row r="913" spans="5:5" s="1" customFormat="1" ht="24" customHeight="1">
      <c r="E913" s="46"/>
    </row>
    <row r="914" spans="5:5" s="1" customFormat="1" ht="24" customHeight="1">
      <c r="E914" s="46"/>
    </row>
    <row r="915" spans="5:5" s="1" customFormat="1" ht="24" customHeight="1">
      <c r="E915" s="46"/>
    </row>
    <row r="916" spans="5:5" s="1" customFormat="1" ht="24" customHeight="1">
      <c r="E916" s="46"/>
    </row>
    <row r="917" spans="5:5" s="1" customFormat="1" ht="24" customHeight="1">
      <c r="E917" s="46"/>
    </row>
    <row r="918" spans="5:5" s="1" customFormat="1" ht="24" customHeight="1">
      <c r="E918" s="46"/>
    </row>
    <row r="919" spans="5:5" s="1" customFormat="1" ht="24" customHeight="1">
      <c r="E919" s="46"/>
    </row>
    <row r="920" spans="5:5" s="1" customFormat="1" ht="24" customHeight="1">
      <c r="E920" s="46"/>
    </row>
    <row r="921" spans="5:5" s="1" customFormat="1" ht="24" customHeight="1">
      <c r="E921" s="46"/>
    </row>
    <row r="922" spans="5:5" s="1" customFormat="1" ht="24" customHeight="1">
      <c r="E922" s="46"/>
    </row>
    <row r="923" spans="5:5" s="1" customFormat="1" ht="24" customHeight="1">
      <c r="E923" s="46"/>
    </row>
    <row r="924" spans="5:5" s="1" customFormat="1" ht="24" customHeight="1">
      <c r="E924" s="46"/>
    </row>
    <row r="925" spans="5:5" s="1" customFormat="1" ht="24" customHeight="1">
      <c r="E925" s="46"/>
    </row>
    <row r="926" spans="5:5" s="1" customFormat="1" ht="24" customHeight="1">
      <c r="E926" s="46"/>
    </row>
    <row r="927" spans="5:5" s="1" customFormat="1" ht="24" customHeight="1">
      <c r="E927" s="46"/>
    </row>
    <row r="928" spans="5:5" s="1" customFormat="1" ht="24" customHeight="1">
      <c r="E928" s="46"/>
    </row>
    <row r="929" spans="5:5" s="1" customFormat="1" ht="24" customHeight="1">
      <c r="E929" s="46"/>
    </row>
    <row r="930" spans="5:5" s="1" customFormat="1" ht="24" customHeight="1">
      <c r="E930" s="46"/>
    </row>
    <row r="931" spans="5:5" s="1" customFormat="1" ht="24" customHeight="1">
      <c r="E931" s="46"/>
    </row>
    <row r="932" spans="5:5" s="1" customFormat="1" ht="24" customHeight="1">
      <c r="E932" s="46"/>
    </row>
    <row r="933" spans="5:5" s="1" customFormat="1" ht="24" customHeight="1">
      <c r="E933" s="46"/>
    </row>
    <row r="934" spans="5:5" s="1" customFormat="1" ht="24" customHeight="1">
      <c r="E934" s="46"/>
    </row>
    <row r="935" spans="5:5" s="1" customFormat="1" ht="24" customHeight="1">
      <c r="E935" s="46"/>
    </row>
    <row r="936" spans="5:5" s="1" customFormat="1" ht="24" customHeight="1">
      <c r="E936" s="46"/>
    </row>
    <row r="937" spans="5:5" s="1" customFormat="1" ht="24" customHeight="1">
      <c r="E937" s="46"/>
    </row>
    <row r="938" spans="5:5" s="1" customFormat="1" ht="24" customHeight="1">
      <c r="E938" s="46"/>
    </row>
    <row r="939" spans="5:5" s="1" customFormat="1" ht="24" customHeight="1">
      <c r="E939" s="46"/>
    </row>
    <row r="940" spans="5:5" s="1" customFormat="1" ht="24" customHeight="1">
      <c r="E940" s="46"/>
    </row>
    <row r="941" spans="5:5" s="1" customFormat="1" ht="24" customHeight="1">
      <c r="E941" s="46"/>
    </row>
    <row r="942" spans="5:5" s="1" customFormat="1" ht="24" customHeight="1">
      <c r="E942" s="46"/>
    </row>
    <row r="943" spans="5:5" s="1" customFormat="1" ht="24" customHeight="1">
      <c r="E943" s="46"/>
    </row>
    <row r="944" spans="5:5" s="1" customFormat="1" ht="24" customHeight="1">
      <c r="E944" s="46"/>
    </row>
    <row r="945" spans="5:5" s="1" customFormat="1" ht="24" customHeight="1">
      <c r="E945" s="46"/>
    </row>
    <row r="946" spans="5:5" s="1" customFormat="1" ht="24" customHeight="1">
      <c r="E946" s="46"/>
    </row>
    <row r="947" spans="5:5" s="1" customFormat="1" ht="24" customHeight="1">
      <c r="E947" s="46"/>
    </row>
    <row r="948" spans="5:5" s="1" customFormat="1" ht="24" customHeight="1">
      <c r="E948" s="46"/>
    </row>
    <row r="949" spans="5:5" s="1" customFormat="1" ht="24" customHeight="1">
      <c r="E949" s="46"/>
    </row>
    <row r="950" spans="5:5" s="1" customFormat="1" ht="24" customHeight="1">
      <c r="E950" s="46"/>
    </row>
    <row r="951" spans="5:5" s="1" customFormat="1" ht="24" customHeight="1">
      <c r="E951" s="46"/>
    </row>
    <row r="952" spans="5:5" s="1" customFormat="1" ht="24" customHeight="1">
      <c r="E952" s="46"/>
    </row>
    <row r="953" spans="5:5" s="1" customFormat="1" ht="24" customHeight="1">
      <c r="E953" s="46"/>
    </row>
    <row r="954" spans="5:5" s="1" customFormat="1" ht="24" customHeight="1">
      <c r="E954" s="46"/>
    </row>
    <row r="955" spans="5:5" s="1" customFormat="1" ht="24" customHeight="1">
      <c r="E955" s="46"/>
    </row>
    <row r="956" spans="5:5" s="1" customFormat="1" ht="24" customHeight="1">
      <c r="E956" s="46"/>
    </row>
    <row r="957" spans="5:5" s="1" customFormat="1" ht="24" customHeight="1">
      <c r="E957" s="46"/>
    </row>
    <row r="958" spans="5:5" s="1" customFormat="1" ht="24" customHeight="1">
      <c r="E958" s="46"/>
    </row>
    <row r="959" spans="5:5" s="1" customFormat="1" ht="24" customHeight="1">
      <c r="E959" s="46"/>
    </row>
    <row r="960" spans="5:5" s="1" customFormat="1" ht="24" customHeight="1">
      <c r="E960" s="46"/>
    </row>
    <row r="961" spans="5:5" s="1" customFormat="1" ht="24" customHeight="1">
      <c r="E961" s="46"/>
    </row>
    <row r="962" spans="5:5" s="1" customFormat="1" ht="24" customHeight="1">
      <c r="E962" s="46"/>
    </row>
    <row r="963" spans="5:5" s="1" customFormat="1" ht="24" customHeight="1">
      <c r="E963" s="46"/>
    </row>
    <row r="964" spans="5:5" s="1" customFormat="1" ht="24" customHeight="1">
      <c r="E964" s="46"/>
    </row>
    <row r="965" spans="5:5" s="1" customFormat="1" ht="24" customHeight="1">
      <c r="E965" s="46"/>
    </row>
    <row r="966" spans="5:5" s="1" customFormat="1" ht="24" customHeight="1">
      <c r="E966" s="46"/>
    </row>
    <row r="967" spans="5:5" s="1" customFormat="1" ht="24" customHeight="1">
      <c r="E967" s="46"/>
    </row>
    <row r="968" spans="5:5" s="1" customFormat="1" ht="24" customHeight="1">
      <c r="E968" s="46"/>
    </row>
    <row r="969" spans="5:5" s="1" customFormat="1" ht="24" customHeight="1">
      <c r="E969" s="46"/>
    </row>
    <row r="970" spans="5:5" s="1" customFormat="1" ht="24" customHeight="1">
      <c r="E970" s="46"/>
    </row>
    <row r="971" spans="5:5" s="1" customFormat="1" ht="24" customHeight="1">
      <c r="E971" s="46"/>
    </row>
    <row r="972" spans="5:5" s="1" customFormat="1" ht="24" customHeight="1">
      <c r="E972" s="46"/>
    </row>
    <row r="973" spans="5:5" s="1" customFormat="1" ht="24" customHeight="1">
      <c r="E973" s="46"/>
    </row>
    <row r="974" spans="5:5" s="1" customFormat="1" ht="24" customHeight="1">
      <c r="E974" s="46"/>
    </row>
    <row r="975" spans="5:5" s="1" customFormat="1" ht="24" customHeight="1">
      <c r="E975" s="46"/>
    </row>
    <row r="976" spans="5:5" s="1" customFormat="1" ht="24" customHeight="1">
      <c r="E976" s="46"/>
    </row>
    <row r="977" spans="5:5" s="1" customFormat="1" ht="24" customHeight="1">
      <c r="E977" s="46"/>
    </row>
    <row r="978" spans="5:5" s="1" customFormat="1" ht="24" customHeight="1">
      <c r="E978" s="46"/>
    </row>
    <row r="979" spans="5:5" s="1" customFormat="1" ht="24" customHeight="1">
      <c r="E979" s="46"/>
    </row>
    <row r="980" spans="5:5" s="1" customFormat="1" ht="24" customHeight="1">
      <c r="E980" s="46"/>
    </row>
    <row r="981" spans="5:5" s="1" customFormat="1" ht="24" customHeight="1">
      <c r="E981" s="46"/>
    </row>
    <row r="982" spans="5:5" s="1" customFormat="1" ht="24" customHeight="1">
      <c r="E982" s="46"/>
    </row>
    <row r="983" spans="5:5" s="1" customFormat="1" ht="24" customHeight="1">
      <c r="E983" s="46"/>
    </row>
    <row r="984" spans="5:5" s="1" customFormat="1" ht="24" customHeight="1">
      <c r="E984" s="46"/>
    </row>
    <row r="985" spans="5:5" s="1" customFormat="1" ht="24" customHeight="1">
      <c r="E985" s="46"/>
    </row>
    <row r="986" spans="5:5" s="1" customFormat="1" ht="24" customHeight="1">
      <c r="E986" s="46"/>
    </row>
    <row r="987" spans="5:5" s="1" customFormat="1" ht="24" customHeight="1">
      <c r="E987" s="46"/>
    </row>
    <row r="988" spans="5:5" s="1" customFormat="1" ht="24" customHeight="1">
      <c r="E988" s="46"/>
    </row>
    <row r="989" spans="5:5" s="1" customFormat="1" ht="24" customHeight="1">
      <c r="E989" s="46"/>
    </row>
    <row r="990" spans="5:5" s="1" customFormat="1" ht="24" customHeight="1">
      <c r="E990" s="46"/>
    </row>
    <row r="991" spans="5:5" s="1" customFormat="1" ht="24" customHeight="1">
      <c r="E991" s="46"/>
    </row>
    <row r="992" spans="5:5" s="1" customFormat="1" ht="24" customHeight="1">
      <c r="E992" s="46"/>
    </row>
    <row r="993" spans="5:5" s="1" customFormat="1" ht="24" customHeight="1">
      <c r="E993" s="46"/>
    </row>
    <row r="994" spans="5:5" s="1" customFormat="1" ht="24" customHeight="1">
      <c r="E994" s="46"/>
    </row>
    <row r="995" spans="5:5" s="1" customFormat="1" ht="24" customHeight="1">
      <c r="E995" s="46"/>
    </row>
    <row r="996" spans="5:5" s="1" customFormat="1" ht="24" customHeight="1">
      <c r="E996" s="46"/>
    </row>
    <row r="997" spans="5:5" s="1" customFormat="1" ht="24" customHeight="1">
      <c r="E997" s="46"/>
    </row>
    <row r="998" spans="5:5" s="1" customFormat="1" ht="24" customHeight="1">
      <c r="E998" s="46"/>
    </row>
    <row r="999" spans="5:5" s="1" customFormat="1" ht="24" customHeight="1">
      <c r="E999" s="46"/>
    </row>
    <row r="1000" spans="5:5" s="1" customFormat="1" ht="24" customHeight="1">
      <c r="E1000" s="46"/>
    </row>
    <row r="1001" spans="5:5" s="1" customFormat="1" ht="24" customHeight="1">
      <c r="E1001" s="46"/>
    </row>
    <row r="1002" spans="5:5" s="1" customFormat="1" ht="24" customHeight="1">
      <c r="E1002" s="46"/>
    </row>
    <row r="1003" spans="5:5" s="1" customFormat="1" ht="24" customHeight="1">
      <c r="E1003" s="46"/>
    </row>
    <row r="1004" spans="5:5" s="1" customFormat="1" ht="24" customHeight="1">
      <c r="E1004" s="46"/>
    </row>
    <row r="1005" spans="5:5" s="1" customFormat="1" ht="24" customHeight="1">
      <c r="E1005" s="46"/>
    </row>
    <row r="1006" spans="5:5" s="1" customFormat="1" ht="24" customHeight="1">
      <c r="E1006" s="46"/>
    </row>
    <row r="1007" spans="5:5" s="1" customFormat="1" ht="24" customHeight="1">
      <c r="E1007" s="46"/>
    </row>
    <row r="1008" spans="5:5" s="1" customFormat="1" ht="24" customHeight="1">
      <c r="E1008" s="46"/>
    </row>
    <row r="1009" spans="5:5" s="1" customFormat="1" ht="24" customHeight="1">
      <c r="E1009" s="46"/>
    </row>
    <row r="1010" spans="5:5" s="1" customFormat="1" ht="24" customHeight="1">
      <c r="E1010" s="46"/>
    </row>
    <row r="1011" spans="5:5" s="1" customFormat="1" ht="24" customHeight="1">
      <c r="E1011" s="46"/>
    </row>
    <row r="1012" spans="5:5" s="1" customFormat="1" ht="24" customHeight="1">
      <c r="E1012" s="46"/>
    </row>
    <row r="1013" spans="5:5" s="1" customFormat="1" ht="24" customHeight="1">
      <c r="E1013" s="46"/>
    </row>
    <row r="1014" spans="5:5" s="1" customFormat="1" ht="24" customHeight="1">
      <c r="E1014" s="46"/>
    </row>
    <row r="1015" spans="5:5" s="1" customFormat="1" ht="24" customHeight="1">
      <c r="E1015" s="46"/>
    </row>
    <row r="1016" spans="5:5" s="1" customFormat="1" ht="24" customHeight="1">
      <c r="E1016" s="46"/>
    </row>
    <row r="1017" spans="5:5" s="1" customFormat="1" ht="24" customHeight="1">
      <c r="E1017" s="46"/>
    </row>
    <row r="1018" spans="5:5" s="1" customFormat="1" ht="24" customHeight="1">
      <c r="E1018" s="46"/>
    </row>
    <row r="1019" spans="5:5" s="1" customFormat="1" ht="24" customHeight="1">
      <c r="E1019" s="46"/>
    </row>
    <row r="1020" spans="5:5" s="1" customFormat="1" ht="24" customHeight="1">
      <c r="E1020" s="46"/>
    </row>
    <row r="1021" spans="5:5" s="1" customFormat="1" ht="24" customHeight="1">
      <c r="E1021" s="46"/>
    </row>
    <row r="1022" spans="5:5" s="1" customFormat="1" ht="24" customHeight="1">
      <c r="E1022" s="46"/>
    </row>
    <row r="1023" spans="5:5" s="1" customFormat="1" ht="24" customHeight="1">
      <c r="E1023" s="46"/>
    </row>
    <row r="1024" spans="5:5" s="1" customFormat="1" ht="24" customHeight="1">
      <c r="E1024" s="46"/>
    </row>
    <row r="1025" spans="5:5" s="1" customFormat="1" ht="24" customHeight="1">
      <c r="E1025" s="46"/>
    </row>
    <row r="1026" spans="5:5" s="1" customFormat="1" ht="24" customHeight="1">
      <c r="E1026" s="46"/>
    </row>
    <row r="1027" spans="5:5" s="1" customFormat="1" ht="24" customHeight="1">
      <c r="E1027" s="46"/>
    </row>
    <row r="1028" spans="5:5" s="1" customFormat="1" ht="24" customHeight="1">
      <c r="E1028" s="46"/>
    </row>
    <row r="1029" spans="5:5" s="1" customFormat="1" ht="24" customHeight="1">
      <c r="E1029" s="46"/>
    </row>
    <row r="1030" spans="5:5" s="1" customFormat="1" ht="24" customHeight="1">
      <c r="E1030" s="46"/>
    </row>
    <row r="1031" spans="5:5" s="1" customFormat="1" ht="24" customHeight="1">
      <c r="E1031" s="46"/>
    </row>
    <row r="1032" spans="5:5" s="1" customFormat="1" ht="24" customHeight="1">
      <c r="E1032" s="46"/>
    </row>
    <row r="1033" spans="5:5" s="1" customFormat="1" ht="24" customHeight="1">
      <c r="E1033" s="46"/>
    </row>
    <row r="1034" spans="5:5" s="1" customFormat="1" ht="24" customHeight="1">
      <c r="E1034" s="46"/>
    </row>
    <row r="1035" spans="5:5" s="1" customFormat="1" ht="24" customHeight="1">
      <c r="E1035" s="46"/>
    </row>
    <row r="1036" spans="5:5" s="1" customFormat="1" ht="24" customHeight="1">
      <c r="E1036" s="46"/>
    </row>
    <row r="1037" spans="5:5" s="1" customFormat="1" ht="24" customHeight="1">
      <c r="E1037" s="46"/>
    </row>
    <row r="1038" spans="5:5" s="1" customFormat="1" ht="24" customHeight="1">
      <c r="E1038" s="46"/>
    </row>
    <row r="1039" spans="5:5" s="1" customFormat="1" ht="24" customHeight="1">
      <c r="E1039" s="46"/>
    </row>
    <row r="1040" spans="5:5" s="1" customFormat="1" ht="24" customHeight="1">
      <c r="E1040" s="46"/>
    </row>
    <row r="1041" spans="5:5" s="1" customFormat="1" ht="24" customHeight="1">
      <c r="E1041" s="46"/>
    </row>
    <row r="1042" spans="5:5" s="1" customFormat="1" ht="24" customHeight="1">
      <c r="E1042" s="46"/>
    </row>
    <row r="1043" spans="5:5" s="1" customFormat="1" ht="24" customHeight="1">
      <c r="E1043" s="46"/>
    </row>
    <row r="1044" spans="5:5" s="1" customFormat="1" ht="24" customHeight="1">
      <c r="E1044" s="46"/>
    </row>
    <row r="1045" spans="5:5" s="1" customFormat="1" ht="24" customHeight="1">
      <c r="E1045" s="46"/>
    </row>
    <row r="1046" spans="5:5" s="1" customFormat="1" ht="24" customHeight="1">
      <c r="E1046" s="46"/>
    </row>
    <row r="1047" spans="5:5" s="1" customFormat="1" ht="24" customHeight="1">
      <c r="E1047" s="46"/>
    </row>
    <row r="1048" spans="5:5" s="1" customFormat="1" ht="24" customHeight="1">
      <c r="E1048" s="46"/>
    </row>
    <row r="1049" spans="5:5" s="1" customFormat="1" ht="24" customHeight="1">
      <c r="E1049" s="46"/>
    </row>
    <row r="1050" spans="5:5" s="1" customFormat="1" ht="24" customHeight="1">
      <c r="E1050" s="46"/>
    </row>
    <row r="1051" spans="5:5" s="1" customFormat="1" ht="24" customHeight="1">
      <c r="E1051" s="46"/>
    </row>
    <row r="1052" spans="5:5" s="1" customFormat="1" ht="24" customHeight="1">
      <c r="E1052" s="46"/>
    </row>
    <row r="1053" spans="5:5" s="1" customFormat="1" ht="24" customHeight="1">
      <c r="E1053" s="46"/>
    </row>
    <row r="1054" spans="5:5" s="1" customFormat="1" ht="24" customHeight="1">
      <c r="E1054" s="46"/>
    </row>
    <row r="1055" spans="5:5" s="1" customFormat="1" ht="24" customHeight="1">
      <c r="E1055" s="46"/>
    </row>
    <row r="1056" spans="5:5" s="1" customFormat="1" ht="24" customHeight="1">
      <c r="E1056" s="46"/>
    </row>
    <row r="1057" spans="5:5" s="1" customFormat="1" ht="24" customHeight="1">
      <c r="E1057" s="46"/>
    </row>
    <row r="1058" spans="5:5" s="1" customFormat="1" ht="24" customHeight="1">
      <c r="E1058" s="46"/>
    </row>
    <row r="1059" spans="5:5" s="1" customFormat="1" ht="24" customHeight="1">
      <c r="E1059" s="46"/>
    </row>
    <row r="1060" spans="5:5" s="1" customFormat="1" ht="24" customHeight="1">
      <c r="E1060" s="46"/>
    </row>
    <row r="1061" spans="5:5" s="1" customFormat="1" ht="24" customHeight="1">
      <c r="E1061" s="46"/>
    </row>
    <row r="1062" spans="5:5" s="1" customFormat="1" ht="24" customHeight="1">
      <c r="E1062" s="46"/>
    </row>
    <row r="1063" spans="5:5" s="1" customFormat="1" ht="24" customHeight="1">
      <c r="E1063" s="46"/>
    </row>
    <row r="1064" spans="5:5" s="1" customFormat="1" ht="24" customHeight="1">
      <c r="E1064" s="46"/>
    </row>
    <row r="1065" spans="5:5" s="1" customFormat="1" ht="24" customHeight="1">
      <c r="E1065" s="46"/>
    </row>
    <row r="1066" spans="5:5" s="1" customFormat="1" ht="24" customHeight="1">
      <c r="E1066" s="46"/>
    </row>
    <row r="1067" spans="5:5" s="1" customFormat="1" ht="24" customHeight="1">
      <c r="E1067" s="46"/>
    </row>
    <row r="1068" spans="5:5" s="1" customFormat="1" ht="24" customHeight="1">
      <c r="E1068" s="46"/>
    </row>
    <row r="1069" spans="5:5" s="1" customFormat="1" ht="24" customHeight="1">
      <c r="E1069" s="46"/>
    </row>
    <row r="1070" spans="5:5" s="1" customFormat="1" ht="24" customHeight="1">
      <c r="E1070" s="46"/>
    </row>
    <row r="1071" spans="5:5" s="1" customFormat="1" ht="24" customHeight="1">
      <c r="E1071" s="46"/>
    </row>
    <row r="1072" spans="5:5" s="1" customFormat="1" ht="24" customHeight="1">
      <c r="E1072" s="46"/>
    </row>
    <row r="1073" spans="5:5" s="1" customFormat="1" ht="24" customHeight="1">
      <c r="E1073" s="46"/>
    </row>
    <row r="1074" spans="5:5" s="1" customFormat="1" ht="24" customHeight="1">
      <c r="E1074" s="46"/>
    </row>
    <row r="1075" spans="5:5" s="1" customFormat="1" ht="24" customHeight="1">
      <c r="E1075" s="46"/>
    </row>
    <row r="1076" spans="5:5" s="1" customFormat="1" ht="24" customHeight="1">
      <c r="E1076" s="46"/>
    </row>
    <row r="1077" spans="5:5" s="1" customFormat="1" ht="24" customHeight="1">
      <c r="E1077" s="46"/>
    </row>
    <row r="1078" spans="5:5" s="1" customFormat="1" ht="24" customHeight="1">
      <c r="E1078" s="46"/>
    </row>
    <row r="1079" spans="5:5" s="1" customFormat="1" ht="24" customHeight="1">
      <c r="E1079" s="46"/>
    </row>
    <row r="1080" spans="5:5" s="1" customFormat="1" ht="24" customHeight="1">
      <c r="E1080" s="46"/>
    </row>
    <row r="1081" spans="5:5" s="1" customFormat="1" ht="24" customHeight="1">
      <c r="E1081" s="46"/>
    </row>
    <row r="1082" spans="5:5" s="1" customFormat="1" ht="24" customHeight="1">
      <c r="E1082" s="46"/>
    </row>
    <row r="1083" spans="5:5" s="1" customFormat="1" ht="24" customHeight="1">
      <c r="E1083" s="46"/>
    </row>
    <row r="1084" spans="5:5" s="1" customFormat="1" ht="24" customHeight="1">
      <c r="E1084" s="46"/>
    </row>
    <row r="1085" spans="5:5" s="1" customFormat="1" ht="24" customHeight="1">
      <c r="E1085" s="46"/>
    </row>
    <row r="1086" spans="5:5" s="1" customFormat="1" ht="24" customHeight="1">
      <c r="E1086" s="46"/>
    </row>
    <row r="1087" spans="5:5" s="1" customFormat="1" ht="24" customHeight="1">
      <c r="E1087" s="46"/>
    </row>
    <row r="1088" spans="5:5" s="1" customFormat="1" ht="24" customHeight="1">
      <c r="E1088" s="46"/>
    </row>
    <row r="1089" spans="5:5" s="1" customFormat="1" ht="24" customHeight="1">
      <c r="E1089" s="46"/>
    </row>
    <row r="1090" spans="5:5" s="1" customFormat="1" ht="24" customHeight="1">
      <c r="E1090" s="46"/>
    </row>
    <row r="1091" spans="5:5" s="1" customFormat="1" ht="24" customHeight="1">
      <c r="E1091" s="46"/>
    </row>
    <row r="1092" spans="5:5" s="1" customFormat="1" ht="24" customHeight="1">
      <c r="E1092" s="46"/>
    </row>
    <row r="1093" spans="5:5" s="1" customFormat="1" ht="24" customHeight="1">
      <c r="E1093" s="46"/>
    </row>
    <row r="1094" spans="5:5" s="1" customFormat="1" ht="24" customHeight="1">
      <c r="E1094" s="46"/>
    </row>
    <row r="1095" spans="5:5" s="1" customFormat="1" ht="24" customHeight="1">
      <c r="E1095" s="46"/>
    </row>
    <row r="1096" spans="5:5" s="1" customFormat="1" ht="24" customHeight="1">
      <c r="E1096" s="46"/>
    </row>
    <row r="1097" spans="5:5" s="1" customFormat="1" ht="24" customHeight="1">
      <c r="E1097" s="46"/>
    </row>
    <row r="1098" spans="5:5" s="1" customFormat="1" ht="24" customHeight="1">
      <c r="E1098" s="46"/>
    </row>
    <row r="1099" spans="5:5" s="1" customFormat="1" ht="24" customHeight="1">
      <c r="E1099" s="46"/>
    </row>
    <row r="1100" spans="5:5" s="1" customFormat="1" ht="24" customHeight="1">
      <c r="E1100" s="46"/>
    </row>
    <row r="1101" spans="5:5" s="1" customFormat="1" ht="24" customHeight="1">
      <c r="E1101" s="46"/>
    </row>
    <row r="1102" spans="5:5" s="1" customFormat="1" ht="24" customHeight="1">
      <c r="E1102" s="46"/>
    </row>
    <row r="1103" spans="5:5" s="1" customFormat="1" ht="24" customHeight="1">
      <c r="E1103" s="46"/>
    </row>
    <row r="1104" spans="5:5" s="1" customFormat="1" ht="24" customHeight="1">
      <c r="E1104" s="46"/>
    </row>
    <row r="1105" spans="5:5" s="1" customFormat="1" ht="24" customHeight="1">
      <c r="E1105" s="46"/>
    </row>
    <row r="1106" spans="5:5" s="1" customFormat="1" ht="24" customHeight="1">
      <c r="E1106" s="46"/>
    </row>
    <row r="1107" spans="5:5" s="1" customFormat="1" ht="24" customHeight="1">
      <c r="E1107" s="46"/>
    </row>
    <row r="1108" spans="5:5" s="1" customFormat="1" ht="24" customHeight="1">
      <c r="E1108" s="46"/>
    </row>
    <row r="1109" spans="5:5" s="1" customFormat="1" ht="24" customHeight="1">
      <c r="E1109" s="46"/>
    </row>
    <row r="1110" spans="5:5" s="1" customFormat="1" ht="24" customHeight="1">
      <c r="E1110" s="46"/>
    </row>
    <row r="1111" spans="5:5" s="1" customFormat="1" ht="24" customHeight="1">
      <c r="E1111" s="46"/>
    </row>
    <row r="1112" spans="5:5" s="1" customFormat="1" ht="24" customHeight="1">
      <c r="E1112" s="46"/>
    </row>
    <row r="1113" spans="5:5" s="1" customFormat="1" ht="24" customHeight="1">
      <c r="E1113" s="46"/>
    </row>
    <row r="1114" spans="5:5" s="1" customFormat="1" ht="24" customHeight="1">
      <c r="E1114" s="46"/>
    </row>
    <row r="1115" spans="5:5" s="1" customFormat="1" ht="24" customHeight="1">
      <c r="E1115" s="46"/>
    </row>
    <row r="1116" spans="5:5" s="1" customFormat="1" ht="24" customHeight="1">
      <c r="E1116" s="46"/>
    </row>
    <row r="1117" spans="5:5" s="1" customFormat="1" ht="24" customHeight="1">
      <c r="E1117" s="46"/>
    </row>
    <row r="1118" spans="5:5" s="1" customFormat="1" ht="24" customHeight="1">
      <c r="E1118" s="46"/>
    </row>
    <row r="1119" spans="5:5" s="1" customFormat="1" ht="24" customHeight="1">
      <c r="E1119" s="46"/>
    </row>
    <row r="1120" spans="5:5" s="1" customFormat="1" ht="24" customHeight="1">
      <c r="E1120" s="46"/>
    </row>
    <row r="1121" spans="5:5" s="1" customFormat="1" ht="24" customHeight="1">
      <c r="E1121" s="46"/>
    </row>
    <row r="1122" spans="5:5" s="1" customFormat="1" ht="24" customHeight="1">
      <c r="E1122" s="46"/>
    </row>
    <row r="1123" spans="5:5" s="1" customFormat="1" ht="24" customHeight="1">
      <c r="E1123" s="46"/>
    </row>
    <row r="1124" spans="5:5" s="1" customFormat="1" ht="24" customHeight="1">
      <c r="E1124" s="46"/>
    </row>
    <row r="1125" spans="5:5" s="1" customFormat="1" ht="24" customHeight="1">
      <c r="E1125" s="46"/>
    </row>
    <row r="1126" spans="5:5" s="1" customFormat="1" ht="24" customHeight="1">
      <c r="E1126" s="46"/>
    </row>
    <row r="1127" spans="5:5" s="1" customFormat="1" ht="24" customHeight="1">
      <c r="E1127" s="46"/>
    </row>
    <row r="1128" spans="5:5" s="1" customFormat="1" ht="24" customHeight="1">
      <c r="E1128" s="46"/>
    </row>
    <row r="1129" spans="5:5" s="1" customFormat="1" ht="24" customHeight="1">
      <c r="E1129" s="46"/>
    </row>
    <row r="1130" spans="5:5" s="1" customFormat="1" ht="24" customHeight="1">
      <c r="E1130" s="46"/>
    </row>
    <row r="1131" spans="5:5" s="1" customFormat="1" ht="24" customHeight="1">
      <c r="E1131" s="46"/>
    </row>
    <row r="1132" spans="5:5" s="1" customFormat="1" ht="24" customHeight="1">
      <c r="E1132" s="46"/>
    </row>
    <row r="1133" spans="5:5" s="1" customFormat="1" ht="24" customHeight="1">
      <c r="E1133" s="46"/>
    </row>
    <row r="1134" spans="5:5" s="1" customFormat="1" ht="24" customHeight="1">
      <c r="E1134" s="46"/>
    </row>
    <row r="1135" spans="5:5" s="1" customFormat="1" ht="24" customHeight="1">
      <c r="E1135" s="46"/>
    </row>
    <row r="1136" spans="5:5" s="1" customFormat="1" ht="24" customHeight="1">
      <c r="E1136" s="46"/>
    </row>
    <row r="1137" spans="5:5" s="1" customFormat="1" ht="24" customHeight="1">
      <c r="E1137" s="46"/>
    </row>
    <row r="1138" spans="5:5" s="1" customFormat="1" ht="24" customHeight="1">
      <c r="E1138" s="46"/>
    </row>
    <row r="1139" spans="5:5" s="1" customFormat="1" ht="24" customHeight="1">
      <c r="E1139" s="46"/>
    </row>
    <row r="1140" spans="5:5" s="1" customFormat="1" ht="24" customHeight="1">
      <c r="E1140" s="46"/>
    </row>
    <row r="1141" spans="5:5" s="1" customFormat="1" ht="24" customHeight="1">
      <c r="E1141" s="46"/>
    </row>
    <row r="1142" spans="5:5" s="1" customFormat="1" ht="24" customHeight="1">
      <c r="E1142" s="46"/>
    </row>
    <row r="1143" spans="5:5" s="1" customFormat="1" ht="24" customHeight="1">
      <c r="E1143" s="46"/>
    </row>
    <row r="1144" spans="5:5" s="1" customFormat="1" ht="24" customHeight="1">
      <c r="E1144" s="46"/>
    </row>
    <row r="1145" spans="5:5" s="1" customFormat="1" ht="24" customHeight="1">
      <c r="E1145" s="46"/>
    </row>
    <row r="1146" spans="5:5" s="1" customFormat="1" ht="24" customHeight="1">
      <c r="E1146" s="46"/>
    </row>
    <row r="1147" spans="5:5" s="1" customFormat="1" ht="24" customHeight="1">
      <c r="E1147" s="46"/>
    </row>
    <row r="1148" spans="5:5" s="1" customFormat="1" ht="24" customHeight="1">
      <c r="E1148" s="46"/>
    </row>
    <row r="1149" spans="5:5" s="1" customFormat="1" ht="24" customHeight="1">
      <c r="E1149" s="46"/>
    </row>
    <row r="1150" spans="5:5" s="1" customFormat="1" ht="24" customHeight="1">
      <c r="E1150" s="46"/>
    </row>
    <row r="1151" spans="5:5" s="1" customFormat="1" ht="24" customHeight="1">
      <c r="E1151" s="46"/>
    </row>
    <row r="1152" spans="5:5" s="1" customFormat="1" ht="24" customHeight="1">
      <c r="E1152" s="46"/>
    </row>
    <row r="1153" spans="5:5" s="1" customFormat="1" ht="24" customHeight="1">
      <c r="E1153" s="46"/>
    </row>
    <row r="1154" spans="5:5" s="1" customFormat="1" ht="24" customHeight="1">
      <c r="E1154" s="46"/>
    </row>
    <row r="1155" spans="5:5" s="1" customFormat="1" ht="24" customHeight="1">
      <c r="E1155" s="46"/>
    </row>
    <row r="1156" spans="5:5" s="1" customFormat="1" ht="24" customHeight="1">
      <c r="E1156" s="46"/>
    </row>
    <row r="1157" spans="5:5" s="1" customFormat="1" ht="24" customHeight="1">
      <c r="E1157" s="46"/>
    </row>
    <row r="1158" spans="5:5" s="1" customFormat="1" ht="24" customHeight="1">
      <c r="E1158" s="46"/>
    </row>
    <row r="1159" spans="5:5" s="1" customFormat="1" ht="24" customHeight="1">
      <c r="E1159" s="46"/>
    </row>
    <row r="1160" spans="5:5" s="1" customFormat="1" ht="24" customHeight="1">
      <c r="E1160" s="46"/>
    </row>
    <row r="1161" spans="5:5" s="1" customFormat="1" ht="24" customHeight="1">
      <c r="E1161" s="46"/>
    </row>
    <row r="1162" spans="5:5" s="1" customFormat="1" ht="24" customHeight="1">
      <c r="E1162" s="46"/>
    </row>
    <row r="1163" spans="5:5" s="1" customFormat="1" ht="24" customHeight="1">
      <c r="E1163" s="46"/>
    </row>
    <row r="1164" spans="5:5" s="1" customFormat="1" ht="24" customHeight="1">
      <c r="E1164" s="46"/>
    </row>
    <row r="1165" spans="5:5" s="1" customFormat="1" ht="24" customHeight="1">
      <c r="E1165" s="46"/>
    </row>
    <row r="1166" spans="5:5" s="1" customFormat="1" ht="24" customHeight="1">
      <c r="E1166" s="46"/>
    </row>
    <row r="1167" spans="5:5" s="1" customFormat="1" ht="24" customHeight="1">
      <c r="E1167" s="46"/>
    </row>
    <row r="1168" spans="5:5" s="1" customFormat="1" ht="24" customHeight="1">
      <c r="E1168" s="46"/>
    </row>
    <row r="1169" spans="5:5" s="1" customFormat="1" ht="24" customHeight="1">
      <c r="E1169" s="46"/>
    </row>
    <row r="1170" spans="5:5" s="1" customFormat="1" ht="24" customHeight="1">
      <c r="E1170" s="46"/>
    </row>
    <row r="1171" spans="5:5" s="1" customFormat="1" ht="24" customHeight="1">
      <c r="E1171" s="46"/>
    </row>
    <row r="1172" spans="5:5" s="1" customFormat="1" ht="24" customHeight="1">
      <c r="E1172" s="46"/>
    </row>
    <row r="1173" spans="5:5" s="1" customFormat="1" ht="24" customHeight="1">
      <c r="E1173" s="46"/>
    </row>
    <row r="1174" spans="5:5" s="1" customFormat="1" ht="24" customHeight="1">
      <c r="E1174" s="46"/>
    </row>
    <row r="1175" spans="5:5" s="1" customFormat="1" ht="24" customHeight="1">
      <c r="E1175" s="46"/>
    </row>
    <row r="1176" spans="5:5" s="1" customFormat="1" ht="24" customHeight="1">
      <c r="E1176" s="46"/>
    </row>
    <row r="1177" spans="5:5" s="1" customFormat="1" ht="24" customHeight="1">
      <c r="E1177" s="46"/>
    </row>
    <row r="1178" spans="5:5" s="1" customFormat="1" ht="24" customHeight="1">
      <c r="E1178" s="46"/>
    </row>
    <row r="1179" spans="5:5" s="1" customFormat="1" ht="24" customHeight="1">
      <c r="E1179" s="46"/>
    </row>
    <row r="1180" spans="5:5" s="1" customFormat="1" ht="24" customHeight="1">
      <c r="E1180" s="46"/>
    </row>
    <row r="1181" spans="5:5" s="1" customFormat="1" ht="24" customHeight="1">
      <c r="E1181" s="46"/>
    </row>
    <row r="1182" spans="5:5" s="1" customFormat="1" ht="24" customHeight="1">
      <c r="E1182" s="46"/>
    </row>
    <row r="1183" spans="5:5" s="1" customFormat="1" ht="24" customHeight="1">
      <c r="E1183" s="46"/>
    </row>
    <row r="1184" spans="5:5" s="1" customFormat="1" ht="24" customHeight="1">
      <c r="E1184" s="46"/>
    </row>
    <row r="1185" spans="5:5" s="1" customFormat="1" ht="24" customHeight="1">
      <c r="E1185" s="46"/>
    </row>
    <row r="1186" spans="5:5" s="1" customFormat="1" ht="24" customHeight="1">
      <c r="E1186" s="46"/>
    </row>
    <row r="1187" spans="5:5" s="1" customFormat="1" ht="24" customHeight="1">
      <c r="E1187" s="46"/>
    </row>
    <row r="1188" spans="5:5" s="1" customFormat="1" ht="24" customHeight="1">
      <c r="E1188" s="46"/>
    </row>
    <row r="1189" spans="5:5" s="1" customFormat="1" ht="24" customHeight="1">
      <c r="E1189" s="46"/>
    </row>
    <row r="1190" spans="5:5" s="1" customFormat="1" ht="24" customHeight="1">
      <c r="E1190" s="46"/>
    </row>
    <row r="1191" spans="5:5" s="1" customFormat="1" ht="24" customHeight="1">
      <c r="E1191" s="46"/>
    </row>
    <row r="1192" spans="5:5" s="1" customFormat="1" ht="24" customHeight="1">
      <c r="E1192" s="46"/>
    </row>
    <row r="1193" spans="5:5" s="1" customFormat="1" ht="24" customHeight="1">
      <c r="E1193" s="46"/>
    </row>
    <row r="1194" spans="5:5" s="1" customFormat="1" ht="24" customHeight="1">
      <c r="E1194" s="46"/>
    </row>
    <row r="1195" spans="5:5" s="1" customFormat="1" ht="24" customHeight="1">
      <c r="E1195" s="46"/>
    </row>
    <row r="1196" spans="5:5" s="1" customFormat="1" ht="24" customHeight="1">
      <c r="E1196" s="46"/>
    </row>
    <row r="1197" spans="5:5" s="1" customFormat="1" ht="24" customHeight="1">
      <c r="E1197" s="46"/>
    </row>
    <row r="1198" spans="5:5" s="1" customFormat="1" ht="24" customHeight="1">
      <c r="E1198" s="46"/>
    </row>
    <row r="1199" spans="5:5" s="1" customFormat="1" ht="24" customHeight="1">
      <c r="E1199" s="46"/>
    </row>
    <row r="1200" spans="5:5" s="1" customFormat="1" ht="24" customHeight="1">
      <c r="E1200" s="46"/>
    </row>
    <row r="1201" spans="5:5" s="1" customFormat="1" ht="24" customHeight="1">
      <c r="E1201" s="46"/>
    </row>
    <row r="1202" spans="5:5" s="1" customFormat="1" ht="24" customHeight="1">
      <c r="E1202" s="46"/>
    </row>
    <row r="1203" spans="5:5" s="1" customFormat="1" ht="24" customHeight="1">
      <c r="E1203" s="46"/>
    </row>
    <row r="1204" spans="5:5" s="1" customFormat="1" ht="24" customHeight="1">
      <c r="E1204" s="46"/>
    </row>
    <row r="1205" spans="5:5" s="1" customFormat="1" ht="24" customHeight="1">
      <c r="E1205" s="46"/>
    </row>
    <row r="1206" spans="5:5" s="1" customFormat="1" ht="24" customHeight="1">
      <c r="E1206" s="46"/>
    </row>
    <row r="1207" spans="5:5" s="1" customFormat="1" ht="24" customHeight="1">
      <c r="E1207" s="46"/>
    </row>
    <row r="1208" spans="5:5" s="1" customFormat="1" ht="24" customHeight="1">
      <c r="E1208" s="46"/>
    </row>
    <row r="1209" spans="5:5" s="1" customFormat="1" ht="24" customHeight="1">
      <c r="E1209" s="46"/>
    </row>
    <row r="1210" spans="5:5" s="1" customFormat="1" ht="24" customHeight="1">
      <c r="E1210" s="46"/>
    </row>
    <row r="1211" spans="5:5" s="1" customFormat="1" ht="24" customHeight="1">
      <c r="E1211" s="46"/>
    </row>
    <row r="1212" spans="5:5" s="1" customFormat="1" ht="24" customHeight="1">
      <c r="E1212" s="46"/>
    </row>
    <row r="1213" spans="5:5" s="1" customFormat="1" ht="24" customHeight="1">
      <c r="E1213" s="46"/>
    </row>
    <row r="1214" spans="5:5" s="1" customFormat="1" ht="24" customHeight="1">
      <c r="E1214" s="46"/>
    </row>
    <row r="1215" spans="5:5" s="1" customFormat="1" ht="24" customHeight="1">
      <c r="E1215" s="46"/>
    </row>
    <row r="1216" spans="5:5" s="1" customFormat="1" ht="24" customHeight="1">
      <c r="E1216" s="46"/>
    </row>
    <row r="1217" spans="5:5" s="1" customFormat="1" ht="24" customHeight="1">
      <c r="E1217" s="46"/>
    </row>
    <row r="1218" spans="5:5" s="1" customFormat="1" ht="24" customHeight="1">
      <c r="E1218" s="46"/>
    </row>
    <row r="1219" spans="5:5" s="1" customFormat="1" ht="24" customHeight="1">
      <c r="E1219" s="46"/>
    </row>
    <row r="1220" spans="5:5" s="1" customFormat="1" ht="24" customHeight="1">
      <c r="E1220" s="46"/>
    </row>
    <row r="1221" spans="5:5" s="1" customFormat="1" ht="24" customHeight="1">
      <c r="E1221" s="46"/>
    </row>
    <row r="1222" spans="5:5" s="1" customFormat="1" ht="24" customHeight="1">
      <c r="E1222" s="46"/>
    </row>
    <row r="1223" spans="5:5" s="1" customFormat="1" ht="24" customHeight="1">
      <c r="E1223" s="46"/>
    </row>
    <row r="1224" spans="5:5" s="1" customFormat="1" ht="24" customHeight="1">
      <c r="E1224" s="46"/>
    </row>
    <row r="1225" spans="5:5" s="1" customFormat="1" ht="24" customHeight="1">
      <c r="E1225" s="46"/>
    </row>
    <row r="1226" spans="5:5" s="1" customFormat="1" ht="24" customHeight="1">
      <c r="E1226" s="46"/>
    </row>
    <row r="1227" spans="5:5" s="1" customFormat="1" ht="24" customHeight="1">
      <c r="E1227" s="46"/>
    </row>
    <row r="1228" spans="5:5" s="1" customFormat="1" ht="24" customHeight="1">
      <c r="E1228" s="46"/>
    </row>
    <row r="1229" spans="5:5" s="1" customFormat="1" ht="24" customHeight="1">
      <c r="E1229" s="46"/>
    </row>
    <row r="1230" spans="5:5" s="1" customFormat="1" ht="24" customHeight="1">
      <c r="E1230" s="46"/>
    </row>
    <row r="1231" spans="5:5" s="1" customFormat="1" ht="24" customHeight="1">
      <c r="E1231" s="46"/>
    </row>
    <row r="1232" spans="5:5" s="1" customFormat="1" ht="24" customHeight="1">
      <c r="E1232" s="46"/>
    </row>
    <row r="1233" spans="5:5" s="1" customFormat="1" ht="24" customHeight="1">
      <c r="E1233" s="46"/>
    </row>
    <row r="1234" spans="5:5" s="1" customFormat="1" ht="24" customHeight="1">
      <c r="E1234" s="46"/>
    </row>
    <row r="1235" spans="5:5" s="1" customFormat="1" ht="24" customHeight="1">
      <c r="E1235" s="46"/>
    </row>
    <row r="1236" spans="5:5" s="1" customFormat="1" ht="24" customHeight="1">
      <c r="E1236" s="46"/>
    </row>
    <row r="1237" spans="5:5" s="1" customFormat="1" ht="24" customHeight="1">
      <c r="E1237" s="46"/>
    </row>
    <row r="1238" spans="5:5" s="1" customFormat="1" ht="24" customHeight="1">
      <c r="E1238" s="46"/>
    </row>
    <row r="1239" spans="5:5" s="1" customFormat="1" ht="24" customHeight="1">
      <c r="E1239" s="46"/>
    </row>
    <row r="1240" spans="5:5" s="1" customFormat="1" ht="24" customHeight="1">
      <c r="E1240" s="46"/>
    </row>
    <row r="1241" spans="5:5" s="1" customFormat="1" ht="24" customHeight="1">
      <c r="E1241" s="46"/>
    </row>
    <row r="1242" spans="5:5" s="1" customFormat="1" ht="24" customHeight="1">
      <c r="E1242" s="46"/>
    </row>
    <row r="1243" spans="5:5" s="1" customFormat="1" ht="24" customHeight="1">
      <c r="E1243" s="46"/>
    </row>
    <row r="1244" spans="5:5" s="1" customFormat="1" ht="24" customHeight="1">
      <c r="E1244" s="46"/>
    </row>
    <row r="1245" spans="5:5" s="1" customFormat="1" ht="24" customHeight="1">
      <c r="E1245" s="46"/>
    </row>
    <row r="1246" spans="5:5" s="1" customFormat="1" ht="24" customHeight="1">
      <c r="E1246" s="46"/>
    </row>
    <row r="1247" spans="5:5" s="1" customFormat="1" ht="24" customHeight="1">
      <c r="E1247" s="46"/>
    </row>
    <row r="1248" spans="5:5" s="1" customFormat="1" ht="24" customHeight="1">
      <c r="E1248" s="46"/>
    </row>
    <row r="1249" spans="5:5" s="1" customFormat="1" ht="24" customHeight="1">
      <c r="E1249" s="46"/>
    </row>
    <row r="1250" spans="5:5" s="1" customFormat="1" ht="24" customHeight="1">
      <c r="E1250" s="46"/>
    </row>
    <row r="1251" spans="5:5" s="1" customFormat="1" ht="24" customHeight="1">
      <c r="E1251" s="46"/>
    </row>
    <row r="1252" spans="5:5" s="1" customFormat="1" ht="24" customHeight="1">
      <c r="E1252" s="46"/>
    </row>
    <row r="1253" spans="5:5" s="1" customFormat="1" ht="24" customHeight="1">
      <c r="E1253" s="46"/>
    </row>
    <row r="1254" spans="5:5" s="1" customFormat="1" ht="24" customHeight="1">
      <c r="E1254" s="46"/>
    </row>
    <row r="1255" spans="5:5" s="1" customFormat="1" ht="24" customHeight="1">
      <c r="E1255" s="46"/>
    </row>
    <row r="1256" spans="5:5" s="1" customFormat="1" ht="24" customHeight="1">
      <c r="E1256" s="46"/>
    </row>
    <row r="1257" spans="5:5" s="1" customFormat="1" ht="24" customHeight="1">
      <c r="E1257" s="46"/>
    </row>
    <row r="1258" spans="5:5" s="1" customFormat="1" ht="24" customHeight="1">
      <c r="E1258" s="46"/>
    </row>
    <row r="1259" spans="5:5" s="1" customFormat="1" ht="24" customHeight="1">
      <c r="E1259" s="46"/>
    </row>
    <row r="1260" spans="5:5" s="1" customFormat="1" ht="24" customHeight="1">
      <c r="E1260" s="46"/>
    </row>
    <row r="1261" spans="5:5" s="1" customFormat="1" ht="24" customHeight="1">
      <c r="E1261" s="46"/>
    </row>
    <row r="1262" spans="5:5" s="1" customFormat="1" ht="24" customHeight="1">
      <c r="E1262" s="46"/>
    </row>
    <row r="1263" spans="5:5" s="1" customFormat="1" ht="24" customHeight="1">
      <c r="E1263" s="46"/>
    </row>
    <row r="1264" spans="5:5" s="1" customFormat="1" ht="24" customHeight="1">
      <c r="E1264" s="46"/>
    </row>
    <row r="1265" spans="5:5" s="1" customFormat="1" ht="24" customHeight="1">
      <c r="E1265" s="46"/>
    </row>
    <row r="1266" spans="5:5" s="1" customFormat="1" ht="24" customHeight="1">
      <c r="E1266" s="46"/>
    </row>
    <row r="1267" spans="5:5" s="1" customFormat="1" ht="24" customHeight="1">
      <c r="E1267" s="46"/>
    </row>
    <row r="1268" spans="5:5" s="1" customFormat="1" ht="24" customHeight="1">
      <c r="E1268" s="46"/>
    </row>
    <row r="1269" spans="5:5" s="1" customFormat="1" ht="24" customHeight="1">
      <c r="E1269" s="46"/>
    </row>
    <row r="1270" spans="5:5" s="1" customFormat="1" ht="24" customHeight="1">
      <c r="E1270" s="46"/>
    </row>
    <row r="1271" spans="5:5" s="1" customFormat="1" ht="24" customHeight="1">
      <c r="E1271" s="46"/>
    </row>
    <row r="1272" spans="5:5" s="1" customFormat="1" ht="24" customHeight="1">
      <c r="E1272" s="46"/>
    </row>
    <row r="1273" spans="5:5" s="1" customFormat="1" ht="24" customHeight="1">
      <c r="E1273" s="46"/>
    </row>
    <row r="1274" spans="5:5" s="1" customFormat="1" ht="24" customHeight="1">
      <c r="E1274" s="46"/>
    </row>
    <row r="1275" spans="5:5" s="1" customFormat="1" ht="24" customHeight="1">
      <c r="E1275" s="46"/>
    </row>
    <row r="1276" spans="5:5" s="1" customFormat="1" ht="24" customHeight="1">
      <c r="E1276" s="46"/>
    </row>
    <row r="1277" spans="5:5" s="1" customFormat="1" ht="24" customHeight="1">
      <c r="E1277" s="46"/>
    </row>
    <row r="1278" spans="5:5" s="1" customFormat="1" ht="24" customHeight="1">
      <c r="E1278" s="46"/>
    </row>
    <row r="1279" spans="5:5" s="1" customFormat="1" ht="24" customHeight="1">
      <c r="E1279" s="46"/>
    </row>
    <row r="1280" spans="5:5" s="1" customFormat="1" ht="24" customHeight="1">
      <c r="E1280" s="46"/>
    </row>
    <row r="1281" spans="5:5" s="1" customFormat="1" ht="24" customHeight="1">
      <c r="E1281" s="46"/>
    </row>
    <row r="1282" spans="5:5" s="1" customFormat="1" ht="24" customHeight="1">
      <c r="E1282" s="46"/>
    </row>
    <row r="1283" spans="5:5" s="1" customFormat="1" ht="24" customHeight="1">
      <c r="E1283" s="46"/>
    </row>
    <row r="1284" spans="5:5" s="1" customFormat="1" ht="24" customHeight="1">
      <c r="E1284" s="46"/>
    </row>
    <row r="1285" spans="5:5" s="1" customFormat="1" ht="24" customHeight="1">
      <c r="E1285" s="46"/>
    </row>
    <row r="1286" spans="5:5" s="1" customFormat="1" ht="24" customHeight="1">
      <c r="E1286" s="46"/>
    </row>
    <row r="1287" spans="5:5" s="1" customFormat="1" ht="24" customHeight="1">
      <c r="E1287" s="46"/>
    </row>
    <row r="1288" spans="5:5" s="1" customFormat="1" ht="24" customHeight="1">
      <c r="E1288" s="46"/>
    </row>
    <row r="1289" spans="5:5" s="1" customFormat="1" ht="24" customHeight="1">
      <c r="E1289" s="46"/>
    </row>
    <row r="1290" spans="5:5" s="1" customFormat="1" ht="24" customHeight="1">
      <c r="E1290" s="46"/>
    </row>
    <row r="1291" spans="5:5" s="1" customFormat="1" ht="24" customHeight="1">
      <c r="E1291" s="46"/>
    </row>
    <row r="1292" spans="5:5" s="1" customFormat="1" ht="24" customHeight="1">
      <c r="E1292" s="46"/>
    </row>
    <row r="1293" spans="5:5" s="1" customFormat="1" ht="24" customHeight="1">
      <c r="E1293" s="46"/>
    </row>
    <row r="1294" spans="5:5" s="1" customFormat="1" ht="24" customHeight="1">
      <c r="E1294" s="46"/>
    </row>
    <row r="1295" spans="5:5" s="1" customFormat="1" ht="24" customHeight="1">
      <c r="E1295" s="46"/>
    </row>
    <row r="1296" spans="5:5" s="1" customFormat="1" ht="24" customHeight="1">
      <c r="E1296" s="46"/>
    </row>
    <row r="1297" spans="5:5" s="1" customFormat="1" ht="24" customHeight="1">
      <c r="E1297" s="46"/>
    </row>
    <row r="1298" spans="5:5" s="1" customFormat="1" ht="24" customHeight="1">
      <c r="E1298" s="46"/>
    </row>
    <row r="1299" spans="5:5" s="1" customFormat="1" ht="24" customHeight="1">
      <c r="E1299" s="46"/>
    </row>
    <row r="1300" spans="5:5" s="1" customFormat="1" ht="24" customHeight="1">
      <c r="E1300" s="46"/>
    </row>
    <row r="1301" spans="5:5" s="1" customFormat="1" ht="24" customHeight="1">
      <c r="E1301" s="46"/>
    </row>
    <row r="1302" spans="5:5" s="1" customFormat="1" ht="24" customHeight="1">
      <c r="E1302" s="46"/>
    </row>
    <row r="1303" spans="5:5" s="1" customFormat="1" ht="24" customHeight="1">
      <c r="E1303" s="46"/>
    </row>
    <row r="1304" spans="5:5" s="1" customFormat="1" ht="24" customHeight="1">
      <c r="E1304" s="46"/>
    </row>
    <row r="1305" spans="5:5" s="1" customFormat="1" ht="24" customHeight="1">
      <c r="E1305" s="46"/>
    </row>
    <row r="1306" spans="5:5" s="1" customFormat="1" ht="24" customHeight="1">
      <c r="E1306" s="46"/>
    </row>
    <row r="1307" spans="5:5" s="1" customFormat="1" ht="24" customHeight="1">
      <c r="E1307" s="46"/>
    </row>
    <row r="1308" spans="5:5" s="1" customFormat="1" ht="24" customHeight="1">
      <c r="E1308" s="46"/>
    </row>
    <row r="1309" spans="5:5" s="1" customFormat="1" ht="24" customHeight="1">
      <c r="E1309" s="46"/>
    </row>
    <row r="1310" spans="5:5" s="1" customFormat="1" ht="24" customHeight="1">
      <c r="E1310" s="46"/>
    </row>
    <row r="1311" spans="5:5" s="1" customFormat="1" ht="24" customHeight="1">
      <c r="E1311" s="46"/>
    </row>
    <row r="1312" spans="5:5" s="1" customFormat="1" ht="24" customHeight="1">
      <c r="E1312" s="46"/>
    </row>
    <row r="1313" spans="5:5" s="1" customFormat="1" ht="24" customHeight="1">
      <c r="E1313" s="46"/>
    </row>
    <row r="1314" spans="5:5" s="1" customFormat="1" ht="24" customHeight="1">
      <c r="E1314" s="46"/>
    </row>
    <row r="1315" spans="5:5" s="1" customFormat="1" ht="24" customHeight="1">
      <c r="E1315" s="46"/>
    </row>
    <row r="1316" spans="5:5" s="1" customFormat="1" ht="24" customHeight="1">
      <c r="E1316" s="46"/>
    </row>
    <row r="1317" spans="5:5" s="1" customFormat="1" ht="24" customHeight="1">
      <c r="E1317" s="46"/>
    </row>
    <row r="1318" spans="5:5" s="1" customFormat="1" ht="24" customHeight="1">
      <c r="E1318" s="46"/>
    </row>
    <row r="1319" spans="5:5" s="1" customFormat="1" ht="24" customHeight="1">
      <c r="E1319" s="46"/>
    </row>
    <row r="1320" spans="5:5" s="1" customFormat="1" ht="24" customHeight="1">
      <c r="E1320" s="46"/>
    </row>
    <row r="1321" spans="5:5" s="1" customFormat="1" ht="24" customHeight="1">
      <c r="E1321" s="46"/>
    </row>
    <row r="1322" spans="5:5" s="1" customFormat="1" ht="24" customHeight="1">
      <c r="E1322" s="46"/>
    </row>
    <row r="1323" spans="5:5" s="1" customFormat="1" ht="24" customHeight="1">
      <c r="E1323" s="46"/>
    </row>
    <row r="1324" spans="5:5" s="1" customFormat="1" ht="24" customHeight="1">
      <c r="E1324" s="46"/>
    </row>
    <row r="1325" spans="5:5" s="1" customFormat="1" ht="24" customHeight="1">
      <c r="E1325" s="46"/>
    </row>
    <row r="1326" spans="5:5" s="1" customFormat="1" ht="24" customHeight="1">
      <c r="E1326" s="46"/>
    </row>
    <row r="1327" spans="5:5" s="1" customFormat="1" ht="24" customHeight="1">
      <c r="E1327" s="46"/>
    </row>
    <row r="1328" spans="5:5" s="1" customFormat="1" ht="24" customHeight="1">
      <c r="E1328" s="46"/>
    </row>
    <row r="1329" spans="5:5" s="1" customFormat="1" ht="24" customHeight="1">
      <c r="E1329" s="46"/>
    </row>
    <row r="1330" spans="5:5" s="1" customFormat="1" ht="24" customHeight="1">
      <c r="E1330" s="46"/>
    </row>
    <row r="1331" spans="5:5" s="1" customFormat="1" ht="24" customHeight="1">
      <c r="E1331" s="46"/>
    </row>
    <row r="1332" spans="5:5" s="1" customFormat="1" ht="24" customHeight="1">
      <c r="E1332" s="46"/>
    </row>
    <row r="1333" spans="5:5" s="1" customFormat="1" ht="24" customHeight="1">
      <c r="E1333" s="46"/>
    </row>
    <row r="1334" spans="5:5" s="1" customFormat="1" ht="24" customHeight="1">
      <c r="E1334" s="46"/>
    </row>
    <row r="1335" spans="5:5" s="1" customFormat="1" ht="24" customHeight="1">
      <c r="E1335" s="46"/>
    </row>
    <row r="1336" spans="5:5" s="1" customFormat="1" ht="24" customHeight="1">
      <c r="E1336" s="46"/>
    </row>
    <row r="1337" spans="5:5" s="1" customFormat="1" ht="24" customHeight="1">
      <c r="E1337" s="46"/>
    </row>
    <row r="1338" spans="5:5" s="1" customFormat="1" ht="24" customHeight="1">
      <c r="E1338" s="46"/>
    </row>
    <row r="1339" spans="5:5" s="1" customFormat="1" ht="24" customHeight="1">
      <c r="E1339" s="46"/>
    </row>
    <row r="1340" spans="5:5" s="1" customFormat="1" ht="24" customHeight="1">
      <c r="E1340" s="46"/>
    </row>
    <row r="1341" spans="5:5" s="1" customFormat="1" ht="24" customHeight="1">
      <c r="E1341" s="46"/>
    </row>
    <row r="1342" spans="5:5" s="1" customFormat="1" ht="24" customHeight="1">
      <c r="E1342" s="46"/>
    </row>
    <row r="1343" spans="5:5" s="1" customFormat="1" ht="24" customHeight="1">
      <c r="E1343" s="46"/>
    </row>
    <row r="1344" spans="5:5" s="1" customFormat="1" ht="24" customHeight="1">
      <c r="E1344" s="46"/>
    </row>
    <row r="1345" spans="5:5" s="1" customFormat="1" ht="24" customHeight="1">
      <c r="E1345" s="46"/>
    </row>
    <row r="1346" spans="5:5" s="1" customFormat="1" ht="24" customHeight="1">
      <c r="E1346" s="46"/>
    </row>
    <row r="1347" spans="5:5" s="1" customFormat="1" ht="24" customHeight="1">
      <c r="E1347" s="46"/>
    </row>
    <row r="1348" spans="5:5" s="1" customFormat="1" ht="24" customHeight="1">
      <c r="E1348" s="46"/>
    </row>
    <row r="1349" spans="5:5" s="1" customFormat="1" ht="24" customHeight="1">
      <c r="E1349" s="46"/>
    </row>
    <row r="1350" spans="5:5" s="1" customFormat="1" ht="24" customHeight="1">
      <c r="E1350" s="46"/>
    </row>
    <row r="1351" spans="5:5" s="1" customFormat="1" ht="24" customHeight="1">
      <c r="E1351" s="46"/>
    </row>
    <row r="1352" spans="5:5" s="1" customFormat="1" ht="24" customHeight="1">
      <c r="E1352" s="46"/>
    </row>
    <row r="1353" spans="5:5" s="1" customFormat="1" ht="24" customHeight="1">
      <c r="E1353" s="46"/>
    </row>
    <row r="1354" spans="5:5" s="1" customFormat="1" ht="24" customHeight="1">
      <c r="E1354" s="46"/>
    </row>
    <row r="1355" spans="5:5" s="1" customFormat="1" ht="24" customHeight="1">
      <c r="E1355" s="46"/>
    </row>
    <row r="1356" spans="5:5" s="1" customFormat="1" ht="24" customHeight="1">
      <c r="E1356" s="46"/>
    </row>
    <row r="1357" spans="5:5" s="1" customFormat="1" ht="24" customHeight="1">
      <c r="E1357" s="46"/>
    </row>
    <row r="1358" spans="5:5" s="1" customFormat="1" ht="24" customHeight="1">
      <c r="E1358" s="46"/>
    </row>
    <row r="1359" spans="5:5" s="1" customFormat="1" ht="24" customHeight="1">
      <c r="E1359" s="46"/>
    </row>
    <row r="1360" spans="5:5" s="1" customFormat="1" ht="24" customHeight="1">
      <c r="E1360" s="46"/>
    </row>
    <row r="1361" spans="5:5" s="1" customFormat="1" ht="24" customHeight="1">
      <c r="E1361" s="46"/>
    </row>
    <row r="1362" spans="5:5" s="1" customFormat="1" ht="24" customHeight="1">
      <c r="E1362" s="46"/>
    </row>
    <row r="1363" spans="5:5" s="1" customFormat="1" ht="24" customHeight="1">
      <c r="E1363" s="46"/>
    </row>
    <row r="1364" spans="5:5" s="1" customFormat="1" ht="24" customHeight="1">
      <c r="E1364" s="46"/>
    </row>
    <row r="1365" spans="5:5" s="1" customFormat="1" ht="24" customHeight="1">
      <c r="E1365" s="46"/>
    </row>
    <row r="1366" spans="5:5" s="1" customFormat="1" ht="24" customHeight="1">
      <c r="E1366" s="46"/>
    </row>
    <row r="1367" spans="5:5" s="1" customFormat="1" ht="24" customHeight="1">
      <c r="E1367" s="46"/>
    </row>
    <row r="1368" spans="5:5" s="1" customFormat="1" ht="24" customHeight="1">
      <c r="E1368" s="46"/>
    </row>
    <row r="1369" spans="5:5" s="1" customFormat="1" ht="24" customHeight="1">
      <c r="E1369" s="46"/>
    </row>
    <row r="1370" spans="5:5" s="1" customFormat="1" ht="24" customHeight="1">
      <c r="E1370" s="46"/>
    </row>
    <row r="1371" spans="5:5" s="1" customFormat="1" ht="24" customHeight="1">
      <c r="E1371" s="46"/>
    </row>
    <row r="1372" spans="5:5" s="1" customFormat="1" ht="24" customHeight="1">
      <c r="E1372" s="46"/>
    </row>
    <row r="1373" spans="5:5" s="1" customFormat="1" ht="24" customHeight="1">
      <c r="E1373" s="46"/>
    </row>
    <row r="1374" spans="5:5" s="1" customFormat="1" ht="24" customHeight="1">
      <c r="E1374" s="46"/>
    </row>
    <row r="1375" spans="5:5" s="1" customFormat="1" ht="24" customHeight="1">
      <c r="E1375" s="46"/>
    </row>
    <row r="1376" spans="5:5" s="1" customFormat="1" ht="24" customHeight="1">
      <c r="E1376" s="46"/>
    </row>
    <row r="1377" spans="5:5" s="1" customFormat="1" ht="24" customHeight="1">
      <c r="E1377" s="46"/>
    </row>
    <row r="1378" spans="5:5" s="1" customFormat="1" ht="24" customHeight="1">
      <c r="E1378" s="46"/>
    </row>
    <row r="1379" spans="5:5" s="1" customFormat="1" ht="24" customHeight="1">
      <c r="E1379" s="46"/>
    </row>
    <row r="1380" spans="5:5" s="1" customFormat="1" ht="24" customHeight="1">
      <c r="E1380" s="46"/>
    </row>
    <row r="1381" spans="5:5" s="1" customFormat="1" ht="24" customHeight="1">
      <c r="E1381" s="46"/>
    </row>
    <row r="1382" spans="5:5" s="1" customFormat="1" ht="24" customHeight="1">
      <c r="E1382" s="46"/>
    </row>
    <row r="1383" spans="5:5" s="1" customFormat="1" ht="24" customHeight="1">
      <c r="E1383" s="46"/>
    </row>
    <row r="1384" spans="5:5" s="1" customFormat="1" ht="24" customHeight="1">
      <c r="E1384" s="46"/>
    </row>
    <row r="1385" spans="5:5" s="1" customFormat="1" ht="24" customHeight="1">
      <c r="E1385" s="46"/>
    </row>
    <row r="1386" spans="5:5" s="1" customFormat="1" ht="24" customHeight="1">
      <c r="E1386" s="46"/>
    </row>
    <row r="1387" spans="5:5" s="1" customFormat="1" ht="24" customHeight="1">
      <c r="E1387" s="46"/>
    </row>
    <row r="1388" spans="5:5" s="1" customFormat="1" ht="24" customHeight="1">
      <c r="E1388" s="46"/>
    </row>
    <row r="1389" spans="5:5" s="1" customFormat="1" ht="24" customHeight="1">
      <c r="E1389" s="46"/>
    </row>
    <row r="1390" spans="5:5" s="1" customFormat="1" ht="24" customHeight="1">
      <c r="E1390" s="46"/>
    </row>
    <row r="1391" spans="5:5" s="1" customFormat="1" ht="24" customHeight="1">
      <c r="E1391" s="46"/>
    </row>
    <row r="1392" spans="5:5" s="1" customFormat="1" ht="24" customHeight="1">
      <c r="E1392" s="46"/>
    </row>
    <row r="1393" spans="5:5" s="1" customFormat="1" ht="24" customHeight="1">
      <c r="E1393" s="46"/>
    </row>
    <row r="1394" spans="5:5" s="1" customFormat="1" ht="24" customHeight="1">
      <c r="E1394" s="46"/>
    </row>
    <row r="1395" spans="5:5" s="1" customFormat="1" ht="24" customHeight="1">
      <c r="E1395" s="46"/>
    </row>
    <row r="1396" spans="5:5" s="1" customFormat="1" ht="24" customHeight="1">
      <c r="E1396" s="46"/>
    </row>
    <row r="1397" spans="5:5" s="1" customFormat="1" ht="24" customHeight="1">
      <c r="E1397" s="46"/>
    </row>
    <row r="1398" spans="5:5" s="1" customFormat="1" ht="24" customHeight="1">
      <c r="E1398" s="46"/>
    </row>
    <row r="1399" spans="5:5" s="1" customFormat="1" ht="24" customHeight="1">
      <c r="E1399" s="46"/>
    </row>
    <row r="1400" spans="5:5" s="1" customFormat="1" ht="24" customHeight="1">
      <c r="E1400" s="46"/>
    </row>
    <row r="1401" spans="5:5" s="1" customFormat="1" ht="24" customHeight="1">
      <c r="E1401" s="46"/>
    </row>
    <row r="1402" spans="5:5" s="1" customFormat="1" ht="24" customHeight="1">
      <c r="E1402" s="46"/>
    </row>
    <row r="1403" spans="5:5" s="1" customFormat="1" ht="24" customHeight="1">
      <c r="E1403" s="46"/>
    </row>
    <row r="1404" spans="5:5" s="1" customFormat="1" ht="24" customHeight="1">
      <c r="E1404" s="46"/>
    </row>
    <row r="1405" spans="5:5" s="1" customFormat="1" ht="24" customHeight="1">
      <c r="E1405" s="46"/>
    </row>
    <row r="1406" spans="5:5" s="1" customFormat="1" ht="24" customHeight="1">
      <c r="E1406" s="46"/>
    </row>
    <row r="1407" spans="5:5" s="1" customFormat="1" ht="24" customHeight="1">
      <c r="E1407" s="46"/>
    </row>
    <row r="1408" spans="5:5" s="1" customFormat="1" ht="24" customHeight="1">
      <c r="E1408" s="46"/>
    </row>
    <row r="1409" spans="5:5" s="1" customFormat="1" ht="24" customHeight="1">
      <c r="E1409" s="46"/>
    </row>
    <row r="1410" spans="5:5" s="1" customFormat="1" ht="24" customHeight="1">
      <c r="E1410" s="46"/>
    </row>
    <row r="1411" spans="5:5" s="1" customFormat="1" ht="24" customHeight="1">
      <c r="E1411" s="46"/>
    </row>
    <row r="1412" spans="5:5" s="1" customFormat="1" ht="24" customHeight="1">
      <c r="E1412" s="46"/>
    </row>
    <row r="1413" spans="5:5" s="1" customFormat="1" ht="24" customHeight="1">
      <c r="E1413" s="46"/>
    </row>
    <row r="1414" spans="5:5" s="1" customFormat="1" ht="24" customHeight="1">
      <c r="E1414" s="46"/>
    </row>
    <row r="1415" spans="5:5" s="1" customFormat="1" ht="24" customHeight="1">
      <c r="E1415" s="46"/>
    </row>
    <row r="1416" spans="5:5" s="1" customFormat="1" ht="24" customHeight="1">
      <c r="E1416" s="46"/>
    </row>
    <row r="1417" spans="5:5" s="1" customFormat="1" ht="24" customHeight="1">
      <c r="E1417" s="46"/>
    </row>
    <row r="1418" spans="5:5" s="1" customFormat="1" ht="24" customHeight="1">
      <c r="E1418" s="46"/>
    </row>
    <row r="1419" spans="5:5" s="1" customFormat="1" ht="24" customHeight="1">
      <c r="E1419" s="46"/>
    </row>
    <row r="1420" spans="5:5" s="1" customFormat="1" ht="24" customHeight="1">
      <c r="E1420" s="46"/>
    </row>
    <row r="1421" spans="5:5" s="1" customFormat="1" ht="24" customHeight="1">
      <c r="E1421" s="46"/>
    </row>
    <row r="1422" spans="5:5" s="1" customFormat="1" ht="24" customHeight="1">
      <c r="E1422" s="46"/>
    </row>
    <row r="1423" spans="5:5" s="1" customFormat="1" ht="24" customHeight="1">
      <c r="E1423" s="46"/>
    </row>
    <row r="1424" spans="5:5" s="1" customFormat="1" ht="24" customHeight="1">
      <c r="E1424" s="46"/>
    </row>
    <row r="1425" spans="5:5" s="1" customFormat="1" ht="24" customHeight="1">
      <c r="E1425" s="46"/>
    </row>
    <row r="1426" spans="5:5" s="1" customFormat="1" ht="24" customHeight="1">
      <c r="E1426" s="46"/>
    </row>
    <row r="1427" spans="5:5" s="1" customFormat="1" ht="24" customHeight="1">
      <c r="E1427" s="46"/>
    </row>
    <row r="1428" spans="5:5" s="1" customFormat="1" ht="24" customHeight="1">
      <c r="E1428" s="46"/>
    </row>
    <row r="1429" spans="5:5" s="1" customFormat="1" ht="24" customHeight="1">
      <c r="E1429" s="46"/>
    </row>
    <row r="1430" spans="5:5" s="1" customFormat="1" ht="24" customHeight="1">
      <c r="E1430" s="46"/>
    </row>
    <row r="1431" spans="5:5" s="1" customFormat="1" ht="24" customHeight="1">
      <c r="E1431" s="46"/>
    </row>
    <row r="1432" spans="5:5" s="1" customFormat="1" ht="24" customHeight="1">
      <c r="E1432" s="46"/>
    </row>
    <row r="1433" spans="5:5" s="1" customFormat="1" ht="24" customHeight="1">
      <c r="E1433" s="46"/>
    </row>
    <row r="1434" spans="5:5" s="1" customFormat="1" ht="24" customHeight="1">
      <c r="E1434" s="46"/>
    </row>
    <row r="1435" spans="5:5" s="1" customFormat="1" ht="24" customHeight="1">
      <c r="E1435" s="46"/>
    </row>
    <row r="1436" spans="5:5" s="1" customFormat="1" ht="24" customHeight="1">
      <c r="E1436" s="46"/>
    </row>
    <row r="1437" spans="5:5" s="1" customFormat="1" ht="24" customHeight="1">
      <c r="E1437" s="46"/>
    </row>
    <row r="1438" spans="5:5" s="1" customFormat="1" ht="24" customHeight="1">
      <c r="E1438" s="46"/>
    </row>
    <row r="1439" spans="5:5" s="1" customFormat="1" ht="24" customHeight="1">
      <c r="E1439" s="46"/>
    </row>
    <row r="1440" spans="5:5" s="1" customFormat="1" ht="24" customHeight="1">
      <c r="E1440" s="46"/>
    </row>
    <row r="1441" spans="5:5" s="1" customFormat="1" ht="24" customHeight="1">
      <c r="E1441" s="46"/>
    </row>
    <row r="1442" spans="5:5" s="1" customFormat="1" ht="24" customHeight="1">
      <c r="E1442" s="46"/>
    </row>
    <row r="1443" spans="5:5" s="1" customFormat="1" ht="24" customHeight="1">
      <c r="E1443" s="46"/>
    </row>
    <row r="1444" spans="5:5" s="1" customFormat="1" ht="24" customHeight="1">
      <c r="E1444" s="46"/>
    </row>
    <row r="1445" spans="5:5" s="1" customFormat="1" ht="24" customHeight="1">
      <c r="E1445" s="46"/>
    </row>
    <row r="1446" spans="5:5" s="1" customFormat="1" ht="24" customHeight="1">
      <c r="E1446" s="46"/>
    </row>
    <row r="1447" spans="5:5" s="1" customFormat="1" ht="24" customHeight="1">
      <c r="E1447" s="46"/>
    </row>
    <row r="1448" spans="5:5" s="1" customFormat="1" ht="24" customHeight="1">
      <c r="E1448" s="46"/>
    </row>
    <row r="1449" spans="5:5" s="1" customFormat="1" ht="24" customHeight="1">
      <c r="E1449" s="46"/>
    </row>
    <row r="1450" spans="5:5" s="1" customFormat="1" ht="24" customHeight="1">
      <c r="E1450" s="46"/>
    </row>
    <row r="1451" spans="5:5" s="1" customFormat="1" ht="24" customHeight="1">
      <c r="E1451" s="46"/>
    </row>
    <row r="1452" spans="5:5" s="1" customFormat="1" ht="24" customHeight="1">
      <c r="E1452" s="46"/>
    </row>
    <row r="1453" spans="5:5" s="1" customFormat="1" ht="24" customHeight="1">
      <c r="E1453" s="46"/>
    </row>
    <row r="1454" spans="5:5" s="1" customFormat="1" ht="24" customHeight="1">
      <c r="E1454" s="46"/>
    </row>
    <row r="1455" spans="5:5" s="1" customFormat="1" ht="24" customHeight="1">
      <c r="E1455" s="46"/>
    </row>
    <row r="1456" spans="5:5" s="1" customFormat="1" ht="24" customHeight="1">
      <c r="E1456" s="46"/>
    </row>
    <row r="1457" spans="5:5" s="1" customFormat="1" ht="24" customHeight="1">
      <c r="E1457" s="46"/>
    </row>
    <row r="1458" spans="5:5" s="1" customFormat="1" ht="24" customHeight="1">
      <c r="E1458" s="46"/>
    </row>
    <row r="1459" spans="5:5" s="1" customFormat="1" ht="24" customHeight="1">
      <c r="E1459" s="46"/>
    </row>
    <row r="1460" spans="5:5" s="1" customFormat="1" ht="24" customHeight="1">
      <c r="E1460" s="46"/>
    </row>
    <row r="1461" spans="5:5" s="1" customFormat="1" ht="24" customHeight="1">
      <c r="E1461" s="46"/>
    </row>
    <row r="1462" spans="5:5" s="1" customFormat="1" ht="24" customHeight="1">
      <c r="E1462" s="46"/>
    </row>
    <row r="1463" spans="5:5" s="1" customFormat="1" ht="24" customHeight="1">
      <c r="E1463" s="46"/>
    </row>
    <row r="1464" spans="5:5" s="1" customFormat="1" ht="24" customHeight="1">
      <c r="E1464" s="46"/>
    </row>
    <row r="1465" spans="5:5" s="1" customFormat="1" ht="24" customHeight="1">
      <c r="E1465" s="46"/>
    </row>
    <row r="1466" spans="5:5" s="1" customFormat="1" ht="24" customHeight="1">
      <c r="E1466" s="46"/>
    </row>
    <row r="1467" spans="5:5" s="1" customFormat="1" ht="24" customHeight="1">
      <c r="E1467" s="46"/>
    </row>
    <row r="1468" spans="5:5" s="1" customFormat="1" ht="24" customHeight="1">
      <c r="E1468" s="46"/>
    </row>
    <row r="1469" spans="5:5" s="1" customFormat="1" ht="24" customHeight="1">
      <c r="E1469" s="46"/>
    </row>
    <row r="1470" spans="5:5" s="1" customFormat="1" ht="24" customHeight="1">
      <c r="E1470" s="46"/>
    </row>
    <row r="1471" spans="5:5" s="1" customFormat="1" ht="24" customHeight="1">
      <c r="E1471" s="46"/>
    </row>
    <row r="1472" spans="5:5" s="1" customFormat="1" ht="24" customHeight="1">
      <c r="E1472" s="46"/>
    </row>
    <row r="1473" spans="5:5" s="1" customFormat="1" ht="24" customHeight="1">
      <c r="E1473" s="46"/>
    </row>
    <row r="1474" spans="5:5" s="1" customFormat="1" ht="24" customHeight="1">
      <c r="E1474" s="46"/>
    </row>
    <row r="1475" spans="5:5" s="1" customFormat="1" ht="24" customHeight="1">
      <c r="E1475" s="46"/>
    </row>
    <row r="1476" spans="5:5" s="1" customFormat="1" ht="24" customHeight="1">
      <c r="E1476" s="46"/>
    </row>
    <row r="1477" spans="5:5" s="1" customFormat="1" ht="24" customHeight="1">
      <c r="E1477" s="46"/>
    </row>
    <row r="1478" spans="5:5" s="1" customFormat="1" ht="24" customHeight="1">
      <c r="E1478" s="46"/>
    </row>
    <row r="1479" spans="5:5" s="1" customFormat="1" ht="24" customHeight="1">
      <c r="E1479" s="46"/>
    </row>
    <row r="1480" spans="5:5" s="1" customFormat="1" ht="24" customHeight="1">
      <c r="E1480" s="46"/>
    </row>
    <row r="1481" spans="5:5" s="1" customFormat="1" ht="24" customHeight="1">
      <c r="E1481" s="46"/>
    </row>
    <row r="1482" spans="5:5" s="1" customFormat="1" ht="24" customHeight="1">
      <c r="E1482" s="46"/>
    </row>
    <row r="1483" spans="5:5" s="1" customFormat="1" ht="24" customHeight="1">
      <c r="E1483" s="46"/>
    </row>
    <row r="1484" spans="5:5" s="1" customFormat="1" ht="24" customHeight="1">
      <c r="E1484" s="46"/>
    </row>
    <row r="1485" spans="5:5" s="1" customFormat="1" ht="24" customHeight="1">
      <c r="E1485" s="46"/>
    </row>
    <row r="1486" spans="5:5" s="1" customFormat="1" ht="24" customHeight="1">
      <c r="E1486" s="46"/>
    </row>
    <row r="1487" spans="5:5" s="1" customFormat="1" ht="24" customHeight="1">
      <c r="E1487" s="46"/>
    </row>
    <row r="1488" spans="5:5" s="1" customFormat="1" ht="24" customHeight="1">
      <c r="E1488" s="46"/>
    </row>
    <row r="1489" spans="5:5" s="1" customFormat="1" ht="24" customHeight="1">
      <c r="E1489" s="46"/>
    </row>
    <row r="1490" spans="5:5" s="1" customFormat="1" ht="24" customHeight="1">
      <c r="E1490" s="46"/>
    </row>
    <row r="1491" spans="5:5" s="1" customFormat="1" ht="24" customHeight="1">
      <c r="E1491" s="46"/>
    </row>
    <row r="1492" spans="5:5" s="1" customFormat="1" ht="24" customHeight="1">
      <c r="E1492" s="46"/>
    </row>
    <row r="1493" spans="5:5" s="1" customFormat="1" ht="24" customHeight="1">
      <c r="E1493" s="46"/>
    </row>
    <row r="1494" spans="5:5" s="1" customFormat="1" ht="24" customHeight="1">
      <c r="E1494" s="46"/>
    </row>
    <row r="1495" spans="5:5" s="1" customFormat="1" ht="24" customHeight="1">
      <c r="E1495" s="46"/>
    </row>
    <row r="1496" spans="5:5" s="1" customFormat="1" ht="24" customHeight="1">
      <c r="E1496" s="46"/>
    </row>
    <row r="1497" spans="5:5" s="1" customFormat="1" ht="24" customHeight="1">
      <c r="E1497" s="46"/>
    </row>
    <row r="1498" spans="5:5" s="1" customFormat="1" ht="24" customHeight="1">
      <c r="E1498" s="46"/>
    </row>
    <row r="1499" spans="5:5" s="1" customFormat="1" ht="24" customHeight="1">
      <c r="E1499" s="46"/>
    </row>
    <row r="1500" spans="5:5" s="1" customFormat="1" ht="24" customHeight="1">
      <c r="E1500" s="46"/>
    </row>
    <row r="1501" spans="5:5" s="1" customFormat="1" ht="24" customHeight="1">
      <c r="E1501" s="46"/>
    </row>
    <row r="1502" spans="5:5" s="1" customFormat="1" ht="24" customHeight="1">
      <c r="E1502" s="46"/>
    </row>
    <row r="1503" spans="5:5" s="1" customFormat="1" ht="24" customHeight="1">
      <c r="E1503" s="46"/>
    </row>
    <row r="1504" spans="5:5" s="1" customFormat="1" ht="24" customHeight="1">
      <c r="E1504" s="46"/>
    </row>
    <row r="1505" spans="5:5" s="1" customFormat="1" ht="24" customHeight="1">
      <c r="E1505" s="46"/>
    </row>
    <row r="1506" spans="5:5" s="1" customFormat="1" ht="24" customHeight="1">
      <c r="E1506" s="46"/>
    </row>
    <row r="1507" spans="5:5" s="1" customFormat="1" ht="24" customHeight="1">
      <c r="E1507" s="46"/>
    </row>
    <row r="1508" spans="5:5" s="1" customFormat="1" ht="24" customHeight="1">
      <c r="E1508" s="46"/>
    </row>
    <row r="1509" spans="5:5" s="1" customFormat="1" ht="24" customHeight="1">
      <c r="E1509" s="46"/>
    </row>
    <row r="1510" spans="5:5" s="1" customFormat="1" ht="24" customHeight="1">
      <c r="E1510" s="46"/>
    </row>
    <row r="1511" spans="5:5" s="1" customFormat="1" ht="24" customHeight="1">
      <c r="E1511" s="46"/>
    </row>
    <row r="1512" spans="5:5" s="1" customFormat="1" ht="24" customHeight="1">
      <c r="E1512" s="46"/>
    </row>
    <row r="1513" spans="5:5" s="1" customFormat="1" ht="24" customHeight="1">
      <c r="E1513" s="46"/>
    </row>
    <row r="1514" spans="5:5" s="1" customFormat="1" ht="24" customHeight="1">
      <c r="E1514" s="46"/>
    </row>
    <row r="1515" spans="5:5" s="1" customFormat="1" ht="24" customHeight="1">
      <c r="E1515" s="46"/>
    </row>
    <row r="1516" spans="5:5" s="1" customFormat="1" ht="24" customHeight="1">
      <c r="E1516" s="46"/>
    </row>
    <row r="1517" spans="5:5" s="1" customFormat="1" ht="24" customHeight="1">
      <c r="E1517" s="46"/>
    </row>
    <row r="1518" spans="5:5" s="1" customFormat="1" ht="24" customHeight="1">
      <c r="E1518" s="46"/>
    </row>
    <row r="1519" spans="5:5" s="1" customFormat="1" ht="24" customHeight="1">
      <c r="E1519" s="46"/>
    </row>
    <row r="1520" spans="5:5" s="1" customFormat="1" ht="24" customHeight="1">
      <c r="E1520" s="46"/>
    </row>
    <row r="1521" spans="5:5" s="1" customFormat="1" ht="24" customHeight="1">
      <c r="E1521" s="46"/>
    </row>
    <row r="1522" spans="5:5" s="1" customFormat="1" ht="24" customHeight="1">
      <c r="E1522" s="46"/>
    </row>
    <row r="1523" spans="5:5" s="1" customFormat="1" ht="24" customHeight="1">
      <c r="E1523" s="46"/>
    </row>
    <row r="1524" spans="5:5" s="1" customFormat="1" ht="24" customHeight="1">
      <c r="E1524" s="46"/>
    </row>
    <row r="1525" spans="5:5" s="1" customFormat="1" ht="24" customHeight="1">
      <c r="E1525" s="46"/>
    </row>
    <row r="1526" spans="5:5" s="1" customFormat="1" ht="24" customHeight="1">
      <c r="E1526" s="46"/>
    </row>
    <row r="1527" spans="5:5" s="1" customFormat="1" ht="24" customHeight="1">
      <c r="E1527" s="46"/>
    </row>
    <row r="1528" spans="5:5" s="1" customFormat="1" ht="24" customHeight="1">
      <c r="E1528" s="46"/>
    </row>
    <row r="1529" spans="5:5" s="1" customFormat="1" ht="24" customHeight="1">
      <c r="E1529" s="46"/>
    </row>
    <row r="1530" spans="5:5" s="1" customFormat="1" ht="24" customHeight="1">
      <c r="E1530" s="46"/>
    </row>
    <row r="1531" spans="5:5" s="1" customFormat="1" ht="24" customHeight="1">
      <c r="E1531" s="46"/>
    </row>
    <row r="1532" spans="5:5" s="1" customFormat="1" ht="24" customHeight="1">
      <c r="E1532" s="46"/>
    </row>
    <row r="1533" spans="5:5" s="1" customFormat="1" ht="24" customHeight="1">
      <c r="E1533" s="46"/>
    </row>
    <row r="1534" spans="5:5" s="1" customFormat="1" ht="24" customHeight="1">
      <c r="E1534" s="46"/>
    </row>
    <row r="1535" spans="5:5" s="1" customFormat="1" ht="24" customHeight="1">
      <c r="E1535" s="46"/>
    </row>
    <row r="1536" spans="5:5" s="1" customFormat="1" ht="24" customHeight="1">
      <c r="E1536" s="46"/>
    </row>
    <row r="1537" spans="5:5" s="1" customFormat="1" ht="24" customHeight="1">
      <c r="E1537" s="46"/>
    </row>
    <row r="1538" spans="5:5" s="1" customFormat="1" ht="24" customHeight="1">
      <c r="E1538" s="46"/>
    </row>
    <row r="1539" spans="5:5" s="1" customFormat="1" ht="24" customHeight="1">
      <c r="E1539" s="46"/>
    </row>
    <row r="1540" spans="5:5" s="1" customFormat="1" ht="24" customHeight="1">
      <c r="E1540" s="46"/>
    </row>
    <row r="1541" spans="5:5" s="1" customFormat="1" ht="24" customHeight="1">
      <c r="E1541" s="46"/>
    </row>
    <row r="1542" spans="5:5" s="1" customFormat="1" ht="24" customHeight="1">
      <c r="E1542" s="46"/>
    </row>
    <row r="1543" spans="5:5" s="1" customFormat="1" ht="24" customHeight="1">
      <c r="E1543" s="46"/>
    </row>
    <row r="1544" spans="5:5" s="1" customFormat="1" ht="24" customHeight="1">
      <c r="E1544" s="46"/>
    </row>
    <row r="1545" spans="5:5" s="1" customFormat="1" ht="24" customHeight="1">
      <c r="E1545" s="46"/>
    </row>
    <row r="1546" spans="5:5" s="1" customFormat="1" ht="24" customHeight="1">
      <c r="E1546" s="46"/>
    </row>
    <row r="1547" spans="5:5" s="1" customFormat="1" ht="24" customHeight="1">
      <c r="E1547" s="46"/>
    </row>
    <row r="1548" spans="5:5" s="1" customFormat="1" ht="24" customHeight="1">
      <c r="E1548" s="46"/>
    </row>
    <row r="1549" spans="5:5" s="1" customFormat="1" ht="24" customHeight="1">
      <c r="E1549" s="46"/>
    </row>
    <row r="1550" spans="5:5" s="1" customFormat="1" ht="24" customHeight="1">
      <c r="E1550" s="46"/>
    </row>
    <row r="1551" spans="5:5" s="1" customFormat="1" ht="24" customHeight="1">
      <c r="E1551" s="46"/>
    </row>
    <row r="1552" spans="5:5" s="1" customFormat="1" ht="24" customHeight="1">
      <c r="E1552" s="46"/>
    </row>
    <row r="1553" spans="5:5" s="1" customFormat="1" ht="24" customHeight="1">
      <c r="E1553" s="46"/>
    </row>
    <row r="1554" spans="5:5" s="1" customFormat="1" ht="24" customHeight="1">
      <c r="E1554" s="46"/>
    </row>
    <row r="1555" spans="5:5" s="1" customFormat="1" ht="24" customHeight="1">
      <c r="E1555" s="46"/>
    </row>
    <row r="1556" spans="5:5" s="1" customFormat="1" ht="24" customHeight="1">
      <c r="E1556" s="46"/>
    </row>
    <row r="1557" spans="5:5" s="1" customFormat="1" ht="24" customHeight="1">
      <c r="E1557" s="46"/>
    </row>
    <row r="1558" spans="5:5" s="1" customFormat="1" ht="24" customHeight="1">
      <c r="E1558" s="46"/>
    </row>
    <row r="1559" spans="5:5" s="1" customFormat="1" ht="24" customHeight="1">
      <c r="E1559" s="46"/>
    </row>
    <row r="1560" spans="5:5" s="1" customFormat="1" ht="24" customHeight="1">
      <c r="E1560" s="46"/>
    </row>
    <row r="1561" spans="5:5" s="1" customFormat="1" ht="24" customHeight="1">
      <c r="E1561" s="46"/>
    </row>
    <row r="1562" spans="5:5" s="1" customFormat="1" ht="24" customHeight="1">
      <c r="E1562" s="46"/>
    </row>
    <row r="1563" spans="5:5" s="1" customFormat="1" ht="24" customHeight="1">
      <c r="E1563" s="46"/>
    </row>
    <row r="1564" spans="5:5" s="1" customFormat="1" ht="24" customHeight="1">
      <c r="E1564" s="46"/>
    </row>
    <row r="1565" spans="5:5" s="1" customFormat="1" ht="24" customHeight="1">
      <c r="E1565" s="46"/>
    </row>
    <row r="1566" spans="5:5" s="1" customFormat="1" ht="24" customHeight="1">
      <c r="E1566" s="46"/>
    </row>
    <row r="1567" spans="5:5" s="1" customFormat="1" ht="24" customHeight="1">
      <c r="E1567" s="46"/>
    </row>
    <row r="1568" spans="5:5" s="1" customFormat="1" ht="24" customHeight="1">
      <c r="E1568" s="46"/>
    </row>
    <row r="1569" spans="5:5" s="1" customFormat="1" ht="24" customHeight="1">
      <c r="E1569" s="46"/>
    </row>
    <row r="1570" spans="5:5" s="1" customFormat="1" ht="24" customHeight="1">
      <c r="E1570" s="46"/>
    </row>
    <row r="1571" spans="5:5" s="1" customFormat="1" ht="24" customHeight="1">
      <c r="E1571" s="46"/>
    </row>
    <row r="1572" spans="5:5" s="1" customFormat="1" ht="24" customHeight="1">
      <c r="E1572" s="46"/>
    </row>
    <row r="1573" spans="5:5" s="1" customFormat="1" ht="24" customHeight="1">
      <c r="E1573" s="46"/>
    </row>
    <row r="1574" spans="5:5" s="1" customFormat="1" ht="24" customHeight="1">
      <c r="E1574" s="46"/>
    </row>
    <row r="1575" spans="5:5" s="1" customFormat="1" ht="24" customHeight="1">
      <c r="E1575" s="46"/>
    </row>
    <row r="1576" spans="5:5" s="1" customFormat="1" ht="24" customHeight="1">
      <c r="E1576" s="46"/>
    </row>
    <row r="1577" spans="5:5" s="1" customFormat="1" ht="24" customHeight="1">
      <c r="E1577" s="46"/>
    </row>
    <row r="1578" spans="5:5" s="1" customFormat="1" ht="24" customHeight="1">
      <c r="E1578" s="46"/>
    </row>
    <row r="1579" spans="5:5" s="1" customFormat="1" ht="24" customHeight="1">
      <c r="E1579" s="46"/>
    </row>
    <row r="1580" spans="5:5" s="1" customFormat="1" ht="24" customHeight="1">
      <c r="E1580" s="46"/>
    </row>
    <row r="1581" spans="5:5" s="1" customFormat="1" ht="24" customHeight="1">
      <c r="E1581" s="46"/>
    </row>
    <row r="1582" spans="5:5" s="1" customFormat="1" ht="24" customHeight="1">
      <c r="E1582" s="46"/>
    </row>
    <row r="1583" spans="5:5" s="1" customFormat="1" ht="24" customHeight="1">
      <c r="E1583" s="46"/>
    </row>
    <row r="1584" spans="5:5" s="1" customFormat="1" ht="24" customHeight="1">
      <c r="E1584" s="46"/>
    </row>
    <row r="1585" spans="5:5" s="1" customFormat="1" ht="24" customHeight="1">
      <c r="E1585" s="46"/>
    </row>
    <row r="1586" spans="5:5" s="1" customFormat="1" ht="24" customHeight="1">
      <c r="E1586" s="46"/>
    </row>
    <row r="1587" spans="5:5" s="1" customFormat="1" ht="24" customHeight="1">
      <c r="E1587" s="46"/>
    </row>
    <row r="1588" spans="5:5" s="1" customFormat="1" ht="24" customHeight="1">
      <c r="E1588" s="46"/>
    </row>
    <row r="1589" spans="5:5" s="1" customFormat="1" ht="24" customHeight="1">
      <c r="E1589" s="46"/>
    </row>
    <row r="1590" spans="5:5" s="1" customFormat="1" ht="24" customHeight="1">
      <c r="E1590" s="46"/>
    </row>
    <row r="1591" spans="5:5" s="1" customFormat="1" ht="24" customHeight="1">
      <c r="E1591" s="46"/>
    </row>
    <row r="1592" spans="5:5" s="1" customFormat="1" ht="24" customHeight="1">
      <c r="E1592" s="46"/>
    </row>
    <row r="1593" spans="5:5" s="1" customFormat="1" ht="24" customHeight="1">
      <c r="E1593" s="46"/>
    </row>
    <row r="1594" spans="5:5" s="1" customFormat="1" ht="24" customHeight="1">
      <c r="E1594" s="46"/>
    </row>
    <row r="1595" spans="5:5" s="1" customFormat="1" ht="24" customHeight="1">
      <c r="E1595" s="46"/>
    </row>
    <row r="1596" spans="5:5" s="1" customFormat="1" ht="24" customHeight="1">
      <c r="E1596" s="46"/>
    </row>
    <row r="1597" spans="5:5" s="1" customFormat="1" ht="24" customHeight="1">
      <c r="E1597" s="46"/>
    </row>
    <row r="1598" spans="5:5" s="1" customFormat="1" ht="24" customHeight="1">
      <c r="E1598" s="46"/>
    </row>
    <row r="1599" spans="5:5" s="1" customFormat="1" ht="24" customHeight="1">
      <c r="E1599" s="46"/>
    </row>
    <row r="1600" spans="5:5" s="1" customFormat="1" ht="24" customHeight="1">
      <c r="E1600" s="46"/>
    </row>
    <row r="1601" spans="5:5" s="1" customFormat="1" ht="24" customHeight="1">
      <c r="E1601" s="46"/>
    </row>
    <row r="1602" spans="5:5" s="1" customFormat="1" ht="24" customHeight="1">
      <c r="E1602" s="46"/>
    </row>
    <row r="1603" spans="5:5" s="1" customFormat="1" ht="24" customHeight="1">
      <c r="E1603" s="46"/>
    </row>
    <row r="1604" spans="5:5" s="1" customFormat="1" ht="24" customHeight="1">
      <c r="E1604" s="46"/>
    </row>
    <row r="1605" spans="5:5" s="1" customFormat="1" ht="24" customHeight="1">
      <c r="E1605" s="46"/>
    </row>
    <row r="1606" spans="5:5" s="1" customFormat="1" ht="24" customHeight="1">
      <c r="E1606" s="46"/>
    </row>
    <row r="1607" spans="5:5" s="1" customFormat="1" ht="24" customHeight="1">
      <c r="E1607" s="46"/>
    </row>
    <row r="1608" spans="5:5" s="1" customFormat="1" ht="24" customHeight="1">
      <c r="E1608" s="46"/>
    </row>
    <row r="1609" spans="5:5" s="1" customFormat="1" ht="24" customHeight="1">
      <c r="E1609" s="46"/>
    </row>
    <row r="1610" spans="5:5" s="1" customFormat="1" ht="24" customHeight="1">
      <c r="E1610" s="46"/>
    </row>
    <row r="1611" spans="5:5" s="1" customFormat="1" ht="24" customHeight="1">
      <c r="E1611" s="46"/>
    </row>
    <row r="1612" spans="5:5" s="1" customFormat="1" ht="24" customHeight="1">
      <c r="E1612" s="46"/>
    </row>
    <row r="1613" spans="5:5" s="1" customFormat="1" ht="24" customHeight="1">
      <c r="E1613" s="46"/>
    </row>
    <row r="1614" spans="5:5" s="1" customFormat="1" ht="24" customHeight="1">
      <c r="E1614" s="46"/>
    </row>
    <row r="1615" spans="5:5" s="1" customFormat="1" ht="24" customHeight="1">
      <c r="E1615" s="46"/>
    </row>
    <row r="1616" spans="5:5" s="1" customFormat="1" ht="24" customHeight="1">
      <c r="E1616" s="46"/>
    </row>
    <row r="1617" spans="5:5" s="1" customFormat="1" ht="24" customHeight="1">
      <c r="E1617" s="46"/>
    </row>
    <row r="1618" spans="5:5" s="1" customFormat="1" ht="24" customHeight="1">
      <c r="E1618" s="46"/>
    </row>
    <row r="1619" spans="5:5" s="1" customFormat="1" ht="24" customHeight="1">
      <c r="E1619" s="46"/>
    </row>
    <row r="1620" spans="5:5" s="1" customFormat="1" ht="24" customHeight="1">
      <c r="E1620" s="46"/>
    </row>
    <row r="1621" spans="5:5" s="1" customFormat="1" ht="24" customHeight="1">
      <c r="E1621" s="46"/>
    </row>
    <row r="1622" spans="5:5" s="1" customFormat="1" ht="24" customHeight="1">
      <c r="E1622" s="46"/>
    </row>
    <row r="1623" spans="5:5" s="1" customFormat="1" ht="24" customHeight="1">
      <c r="E1623" s="46"/>
    </row>
    <row r="1624" spans="5:5" s="1" customFormat="1" ht="24" customHeight="1">
      <c r="E1624" s="46"/>
    </row>
    <row r="1625" spans="5:5" s="1" customFormat="1" ht="24" customHeight="1">
      <c r="E1625" s="46"/>
    </row>
    <row r="1626" spans="5:5" s="1" customFormat="1" ht="24" customHeight="1">
      <c r="E1626" s="46"/>
    </row>
    <row r="1627" spans="5:5" s="1" customFormat="1" ht="24" customHeight="1">
      <c r="E1627" s="46"/>
    </row>
    <row r="1628" spans="5:5" s="1" customFormat="1" ht="24" customHeight="1">
      <c r="E1628" s="46"/>
    </row>
    <row r="1629" spans="5:5" s="1" customFormat="1" ht="24" customHeight="1">
      <c r="E1629" s="46"/>
    </row>
    <row r="1630" spans="5:5" s="1" customFormat="1" ht="24" customHeight="1">
      <c r="E1630" s="46"/>
    </row>
    <row r="1631" spans="5:5" s="1" customFormat="1" ht="24" customHeight="1">
      <c r="E1631" s="46"/>
    </row>
    <row r="1632" spans="5:5" s="1" customFormat="1" ht="24" customHeight="1">
      <c r="E1632" s="46"/>
    </row>
    <row r="1633" spans="5:5" s="1" customFormat="1" ht="24" customHeight="1">
      <c r="E1633" s="46"/>
    </row>
    <row r="1634" spans="5:5" s="1" customFormat="1" ht="24" customHeight="1">
      <c r="E1634" s="46"/>
    </row>
    <row r="1635" spans="5:5" s="1" customFormat="1" ht="24" customHeight="1">
      <c r="E1635" s="46"/>
    </row>
    <row r="1636" spans="5:5" s="1" customFormat="1" ht="24" customHeight="1">
      <c r="E1636" s="46"/>
    </row>
    <row r="1637" spans="5:5" s="1" customFormat="1" ht="24" customHeight="1">
      <c r="E1637" s="46"/>
    </row>
    <row r="1638" spans="5:5" s="1" customFormat="1" ht="24" customHeight="1">
      <c r="E1638" s="46"/>
    </row>
    <row r="1639" spans="5:5" s="1" customFormat="1" ht="24" customHeight="1">
      <c r="E1639" s="46"/>
    </row>
    <row r="1640" spans="5:5" s="1" customFormat="1" ht="24" customHeight="1">
      <c r="E1640" s="46"/>
    </row>
    <row r="1641" spans="5:5" s="1" customFormat="1" ht="24" customHeight="1">
      <c r="E1641" s="46"/>
    </row>
    <row r="1642" spans="5:5" s="1" customFormat="1" ht="24" customHeight="1">
      <c r="E1642" s="46"/>
    </row>
    <row r="1643" spans="5:5" s="1" customFormat="1" ht="24" customHeight="1">
      <c r="E1643" s="46"/>
    </row>
    <row r="1644" spans="5:5" s="1" customFormat="1" ht="24" customHeight="1">
      <c r="E1644" s="46"/>
    </row>
    <row r="1645" spans="5:5" s="1" customFormat="1" ht="24" customHeight="1">
      <c r="E1645" s="46"/>
    </row>
    <row r="1646" spans="5:5" s="1" customFormat="1" ht="24" customHeight="1">
      <c r="E1646" s="46"/>
    </row>
    <row r="1647" spans="5:5" s="1" customFormat="1" ht="24" customHeight="1">
      <c r="E1647" s="46"/>
    </row>
    <row r="1648" spans="5:5" s="1" customFormat="1" ht="24" customHeight="1">
      <c r="E1648" s="46"/>
    </row>
    <row r="1649" spans="5:5" s="1" customFormat="1" ht="24" customHeight="1">
      <c r="E1649" s="46"/>
    </row>
    <row r="1650" spans="5:5" s="1" customFormat="1" ht="24" customHeight="1">
      <c r="E1650" s="46"/>
    </row>
    <row r="1651" spans="5:5" s="1" customFormat="1" ht="24" customHeight="1">
      <c r="E1651" s="46"/>
    </row>
    <row r="1652" spans="5:5" s="1" customFormat="1" ht="24" customHeight="1">
      <c r="E1652" s="46"/>
    </row>
    <row r="1653" spans="5:5" s="1" customFormat="1" ht="24" customHeight="1">
      <c r="E1653" s="46"/>
    </row>
    <row r="1654" spans="5:5" s="1" customFormat="1" ht="24" customHeight="1">
      <c r="E1654" s="46"/>
    </row>
    <row r="1655" spans="5:5" s="1" customFormat="1" ht="24" customHeight="1">
      <c r="E1655" s="46"/>
    </row>
    <row r="1656" spans="5:5" s="1" customFormat="1" ht="24" customHeight="1">
      <c r="E1656" s="46"/>
    </row>
    <row r="1657" spans="5:5" s="1" customFormat="1" ht="24" customHeight="1">
      <c r="E1657" s="46"/>
    </row>
    <row r="1658" spans="5:5" s="1" customFormat="1" ht="24" customHeight="1">
      <c r="E1658" s="46"/>
    </row>
    <row r="1659" spans="5:5" s="1" customFormat="1" ht="24" customHeight="1">
      <c r="E1659" s="46"/>
    </row>
    <row r="1660" spans="5:5" s="1" customFormat="1" ht="24" customHeight="1">
      <c r="E1660" s="46"/>
    </row>
    <row r="1661" spans="5:5" s="1" customFormat="1" ht="24" customHeight="1">
      <c r="E1661" s="46"/>
    </row>
    <row r="1662" spans="5:5" s="1" customFormat="1" ht="24" customHeight="1">
      <c r="E1662" s="46"/>
    </row>
    <row r="1663" spans="5:5" s="1" customFormat="1" ht="24" customHeight="1">
      <c r="E1663" s="46"/>
    </row>
    <row r="1664" spans="5:5" s="1" customFormat="1" ht="24" customHeight="1">
      <c r="E1664" s="46"/>
    </row>
    <row r="1665" spans="5:5" s="1" customFormat="1" ht="24" customHeight="1">
      <c r="E1665" s="46"/>
    </row>
    <row r="1666" spans="5:5" s="1" customFormat="1" ht="24" customHeight="1">
      <c r="E1666" s="46"/>
    </row>
    <row r="1667" spans="5:5" s="1" customFormat="1" ht="24" customHeight="1">
      <c r="E1667" s="46"/>
    </row>
    <row r="1668" spans="5:5" s="1" customFormat="1" ht="24" customHeight="1">
      <c r="E1668" s="46"/>
    </row>
    <row r="1669" spans="5:5" s="1" customFormat="1" ht="24" customHeight="1">
      <c r="E1669" s="46"/>
    </row>
    <row r="1670" spans="5:5" s="1" customFormat="1" ht="24" customHeight="1">
      <c r="E1670" s="46"/>
    </row>
    <row r="1671" spans="5:5" s="1" customFormat="1" ht="24" customHeight="1">
      <c r="E1671" s="46"/>
    </row>
    <row r="1672" spans="5:5" s="1" customFormat="1" ht="24" customHeight="1">
      <c r="E1672" s="46"/>
    </row>
    <row r="1673" spans="5:5" s="1" customFormat="1" ht="24" customHeight="1">
      <c r="E1673" s="46"/>
    </row>
    <row r="1674" spans="5:5" s="1" customFormat="1" ht="24" customHeight="1">
      <c r="E1674" s="46"/>
    </row>
    <row r="1675" spans="5:5" s="1" customFormat="1" ht="24" customHeight="1">
      <c r="E1675" s="46"/>
    </row>
    <row r="1676" spans="5:5" s="1" customFormat="1" ht="24" customHeight="1">
      <c r="E1676" s="46"/>
    </row>
    <row r="1677" spans="5:5" s="1" customFormat="1" ht="24" customHeight="1">
      <c r="E1677" s="46"/>
    </row>
    <row r="1678" spans="5:5" s="1" customFormat="1" ht="24" customHeight="1">
      <c r="E1678" s="46"/>
    </row>
    <row r="1679" spans="5:5" s="1" customFormat="1" ht="24" customHeight="1">
      <c r="E1679" s="46"/>
    </row>
    <row r="1680" spans="5:5" s="1" customFormat="1" ht="24" customHeight="1">
      <c r="E1680" s="46"/>
    </row>
    <row r="1681" spans="5:5" s="1" customFormat="1" ht="24" customHeight="1">
      <c r="E1681" s="46"/>
    </row>
    <row r="1682" spans="5:5" s="1" customFormat="1" ht="24" customHeight="1">
      <c r="E1682" s="46"/>
    </row>
    <row r="1683" spans="5:5" s="1" customFormat="1" ht="24" customHeight="1">
      <c r="E1683" s="46"/>
    </row>
    <row r="1684" spans="5:5" s="1" customFormat="1" ht="24" customHeight="1">
      <c r="E1684" s="46"/>
    </row>
    <row r="1685" spans="5:5" s="1" customFormat="1" ht="24" customHeight="1">
      <c r="E1685" s="46"/>
    </row>
    <row r="1686" spans="5:5" s="1" customFormat="1" ht="24" customHeight="1">
      <c r="E1686" s="46"/>
    </row>
    <row r="1687" spans="5:5" s="1" customFormat="1" ht="24" customHeight="1">
      <c r="E1687" s="46"/>
    </row>
    <row r="1688" spans="5:5" s="1" customFormat="1" ht="24" customHeight="1">
      <c r="E1688" s="46"/>
    </row>
    <row r="1689" spans="5:5" s="1" customFormat="1" ht="24" customHeight="1">
      <c r="E1689" s="46"/>
    </row>
    <row r="1690" spans="5:5" s="1" customFormat="1" ht="24" customHeight="1">
      <c r="E1690" s="46"/>
    </row>
    <row r="1691" spans="5:5" s="1" customFormat="1" ht="24" customHeight="1">
      <c r="E1691" s="46"/>
    </row>
    <row r="1692" spans="5:5" s="1" customFormat="1" ht="24" customHeight="1">
      <c r="E1692" s="46"/>
    </row>
    <row r="1693" spans="5:5" s="1" customFormat="1" ht="24" customHeight="1">
      <c r="E1693" s="46"/>
    </row>
    <row r="1694" spans="5:5" s="1" customFormat="1" ht="24" customHeight="1">
      <c r="E1694" s="46"/>
    </row>
    <row r="1695" spans="5:5" s="1" customFormat="1" ht="24" customHeight="1">
      <c r="E1695" s="46"/>
    </row>
    <row r="1696" spans="5:5" s="1" customFormat="1" ht="24" customHeight="1">
      <c r="E1696" s="46"/>
    </row>
    <row r="1697" spans="5:5" s="1" customFormat="1" ht="24" customHeight="1">
      <c r="E1697" s="46"/>
    </row>
    <row r="1698" spans="5:5" s="1" customFormat="1" ht="24" customHeight="1">
      <c r="E1698" s="46"/>
    </row>
    <row r="1699" spans="5:5" s="1" customFormat="1" ht="24" customHeight="1">
      <c r="E1699" s="46"/>
    </row>
    <row r="1700" spans="5:5" s="1" customFormat="1" ht="24" customHeight="1">
      <c r="E1700" s="46"/>
    </row>
    <row r="1701" spans="5:5" s="1" customFormat="1" ht="24" customHeight="1">
      <c r="E1701" s="46"/>
    </row>
    <row r="1702" spans="5:5" s="1" customFormat="1" ht="24" customHeight="1">
      <c r="E1702" s="46"/>
    </row>
    <row r="1703" spans="5:5" s="1" customFormat="1" ht="24" customHeight="1">
      <c r="E1703" s="46"/>
    </row>
    <row r="1704" spans="5:5" s="1" customFormat="1" ht="24" customHeight="1">
      <c r="E1704" s="46"/>
    </row>
    <row r="1705" spans="5:5" s="1" customFormat="1" ht="24" customHeight="1">
      <c r="E1705" s="46"/>
    </row>
    <row r="1706" spans="5:5" s="1" customFormat="1" ht="24" customHeight="1">
      <c r="E1706" s="46"/>
    </row>
    <row r="1707" spans="5:5" s="1" customFormat="1" ht="24" customHeight="1">
      <c r="E1707" s="46"/>
    </row>
    <row r="1708" spans="5:5" s="1" customFormat="1" ht="24" customHeight="1">
      <c r="E1708" s="46"/>
    </row>
    <row r="1709" spans="5:5" s="1" customFormat="1" ht="24" customHeight="1">
      <c r="E1709" s="46"/>
    </row>
    <row r="1710" spans="5:5" s="1" customFormat="1" ht="24" customHeight="1">
      <c r="E1710" s="46"/>
    </row>
    <row r="1711" spans="5:5" s="1" customFormat="1" ht="24" customHeight="1">
      <c r="E1711" s="46"/>
    </row>
    <row r="1712" spans="5:5" s="1" customFormat="1" ht="24" customHeight="1">
      <c r="E1712" s="46"/>
    </row>
    <row r="1713" spans="5:5" s="1" customFormat="1" ht="24" customHeight="1">
      <c r="E1713" s="46"/>
    </row>
    <row r="1714" spans="5:5" s="1" customFormat="1" ht="24" customHeight="1">
      <c r="E1714" s="46"/>
    </row>
    <row r="1715" spans="5:5" s="1" customFormat="1" ht="24" customHeight="1">
      <c r="E1715" s="46"/>
    </row>
    <row r="1716" spans="5:5" s="1" customFormat="1" ht="24" customHeight="1">
      <c r="E1716" s="46"/>
    </row>
    <row r="1717" spans="5:5" s="1" customFormat="1" ht="24" customHeight="1">
      <c r="E1717" s="46"/>
    </row>
    <row r="1718" spans="5:5" s="1" customFormat="1" ht="24" customHeight="1">
      <c r="E1718" s="46"/>
    </row>
    <row r="1719" spans="5:5" s="1" customFormat="1" ht="24" customHeight="1">
      <c r="E1719" s="46"/>
    </row>
    <row r="1720" spans="5:5" s="1" customFormat="1" ht="24" customHeight="1">
      <c r="E1720" s="46"/>
    </row>
    <row r="1721" spans="5:5" s="1" customFormat="1" ht="24" customHeight="1">
      <c r="E1721" s="46"/>
    </row>
    <row r="1722" spans="5:5" s="1" customFormat="1" ht="24" customHeight="1">
      <c r="E1722" s="46"/>
    </row>
    <row r="1723" spans="5:5" s="1" customFormat="1" ht="24" customHeight="1">
      <c r="E1723" s="46"/>
    </row>
    <row r="1724" spans="5:5" s="1" customFormat="1" ht="24" customHeight="1">
      <c r="E1724" s="46"/>
    </row>
    <row r="1725" spans="5:5" s="1" customFormat="1" ht="24" customHeight="1">
      <c r="E1725" s="46"/>
    </row>
    <row r="1726" spans="5:5" s="1" customFormat="1" ht="24" customHeight="1">
      <c r="E1726" s="46"/>
    </row>
    <row r="1727" spans="5:5" s="1" customFormat="1" ht="24" customHeight="1">
      <c r="E1727" s="46"/>
    </row>
    <row r="1728" spans="5:5" s="1" customFormat="1" ht="24" customHeight="1">
      <c r="E1728" s="46"/>
    </row>
    <row r="1729" spans="5:5" s="1" customFormat="1" ht="24" customHeight="1">
      <c r="E1729" s="46"/>
    </row>
    <row r="1730" spans="5:5" s="1" customFormat="1" ht="24" customHeight="1">
      <c r="E1730" s="46"/>
    </row>
    <row r="1731" spans="5:5" s="1" customFormat="1" ht="24" customHeight="1">
      <c r="E1731" s="46"/>
    </row>
    <row r="1732" spans="5:5" s="1" customFormat="1" ht="24" customHeight="1">
      <c r="E1732" s="46"/>
    </row>
    <row r="1733" spans="5:5" s="1" customFormat="1" ht="24" customHeight="1">
      <c r="E1733" s="46"/>
    </row>
    <row r="1734" spans="5:5" s="1" customFormat="1" ht="24" customHeight="1">
      <c r="E1734" s="46"/>
    </row>
    <row r="1735" spans="5:5" s="1" customFormat="1" ht="24" customHeight="1">
      <c r="E1735" s="46"/>
    </row>
    <row r="1736" spans="5:5" s="1" customFormat="1" ht="24" customHeight="1">
      <c r="E1736" s="46"/>
    </row>
    <row r="1737" spans="5:5" s="1" customFormat="1" ht="24" customHeight="1">
      <c r="E1737" s="46"/>
    </row>
    <row r="1738" spans="5:5" s="1" customFormat="1" ht="24" customHeight="1">
      <c r="E1738" s="46"/>
    </row>
    <row r="1739" spans="5:5" s="1" customFormat="1" ht="24" customHeight="1">
      <c r="E1739" s="46"/>
    </row>
    <row r="1740" spans="5:5" s="1" customFormat="1" ht="24" customHeight="1">
      <c r="E1740" s="46"/>
    </row>
    <row r="1741" spans="5:5" s="1" customFormat="1" ht="24" customHeight="1">
      <c r="E1741" s="46"/>
    </row>
    <row r="1742" spans="5:5" s="1" customFormat="1" ht="24" customHeight="1">
      <c r="E1742" s="46"/>
    </row>
    <row r="1743" spans="5:5" s="1" customFormat="1" ht="24" customHeight="1">
      <c r="E1743" s="46"/>
    </row>
    <row r="1744" spans="5:5" s="1" customFormat="1" ht="24" customHeight="1">
      <c r="E1744" s="46"/>
    </row>
    <row r="1745" spans="5:5" s="1" customFormat="1" ht="24" customHeight="1">
      <c r="E1745" s="46"/>
    </row>
    <row r="1746" spans="5:5" s="1" customFormat="1" ht="24" customHeight="1">
      <c r="E1746" s="46"/>
    </row>
    <row r="1747" spans="5:5" s="1" customFormat="1" ht="24" customHeight="1">
      <c r="E1747" s="46"/>
    </row>
    <row r="1748" spans="5:5" s="1" customFormat="1" ht="24" customHeight="1">
      <c r="E1748" s="46"/>
    </row>
    <row r="1749" spans="5:5" s="1" customFormat="1" ht="24" customHeight="1">
      <c r="E1749" s="46"/>
    </row>
    <row r="1750" spans="5:5" s="1" customFormat="1" ht="24" customHeight="1">
      <c r="E1750" s="46"/>
    </row>
    <row r="1751" spans="5:5" s="1" customFormat="1" ht="24" customHeight="1">
      <c r="E1751" s="46"/>
    </row>
    <row r="1752" spans="5:5" s="1" customFormat="1" ht="24" customHeight="1">
      <c r="E1752" s="46"/>
    </row>
    <row r="1753" spans="5:5" s="1" customFormat="1" ht="24" customHeight="1">
      <c r="E1753" s="46"/>
    </row>
    <row r="1754" spans="5:5" s="1" customFormat="1" ht="24" customHeight="1">
      <c r="E1754" s="46"/>
    </row>
    <row r="1755" spans="5:5" s="1" customFormat="1" ht="24" customHeight="1">
      <c r="E1755" s="46"/>
    </row>
    <row r="1756" spans="5:5" s="1" customFormat="1" ht="24" customHeight="1">
      <c r="E1756" s="46"/>
    </row>
    <row r="1757" spans="5:5" s="1" customFormat="1" ht="24" customHeight="1">
      <c r="E1757" s="46"/>
    </row>
    <row r="1758" spans="5:5" s="1" customFormat="1" ht="24" customHeight="1">
      <c r="E1758" s="46"/>
    </row>
    <row r="1759" spans="5:5" s="1" customFormat="1" ht="24" customHeight="1">
      <c r="E1759" s="46"/>
    </row>
    <row r="1760" spans="5:5" s="1" customFormat="1" ht="24" customHeight="1">
      <c r="E1760" s="46"/>
    </row>
    <row r="1761" spans="5:5" s="1" customFormat="1" ht="24" customHeight="1">
      <c r="E1761" s="46"/>
    </row>
    <row r="1762" spans="5:5" s="1" customFormat="1" ht="24" customHeight="1">
      <c r="E1762" s="46"/>
    </row>
    <row r="1763" spans="5:5" s="1" customFormat="1" ht="24" customHeight="1">
      <c r="E1763" s="46"/>
    </row>
    <row r="1764" spans="5:5" s="1" customFormat="1" ht="24" customHeight="1">
      <c r="E1764" s="46"/>
    </row>
    <row r="1765" spans="5:5" s="1" customFormat="1" ht="24" customHeight="1">
      <c r="E1765" s="46"/>
    </row>
    <row r="1766" spans="5:5" s="1" customFormat="1" ht="24" customHeight="1">
      <c r="E1766" s="46"/>
    </row>
    <row r="1767" spans="5:5" s="1" customFormat="1" ht="24" customHeight="1">
      <c r="E1767" s="46"/>
    </row>
    <row r="1768" spans="5:5" s="1" customFormat="1" ht="24" customHeight="1">
      <c r="E1768" s="46"/>
    </row>
    <row r="1769" spans="5:5" s="1" customFormat="1" ht="24" customHeight="1">
      <c r="E1769" s="46"/>
    </row>
    <row r="1770" spans="5:5" s="1" customFormat="1" ht="24" customHeight="1">
      <c r="E1770" s="46"/>
    </row>
    <row r="1771" spans="5:5" s="1" customFormat="1" ht="24" customHeight="1">
      <c r="E1771" s="46"/>
    </row>
    <row r="1772" spans="5:5" s="1" customFormat="1" ht="24" customHeight="1">
      <c r="E1772" s="46"/>
    </row>
    <row r="1773" spans="5:5" s="1" customFormat="1" ht="24" customHeight="1">
      <c r="E1773" s="46"/>
    </row>
    <row r="1774" spans="5:5" s="1" customFormat="1" ht="24" customHeight="1">
      <c r="E1774" s="46"/>
    </row>
    <row r="1775" spans="5:5" s="1" customFormat="1" ht="24" customHeight="1">
      <c r="E1775" s="46"/>
    </row>
    <row r="1776" spans="5:5" s="1" customFormat="1" ht="24" customHeight="1">
      <c r="E1776" s="46"/>
    </row>
    <row r="1777" spans="5:5" s="1" customFormat="1" ht="24" customHeight="1">
      <c r="E1777" s="46"/>
    </row>
    <row r="1778" spans="5:5" s="1" customFormat="1" ht="24" customHeight="1">
      <c r="E1778" s="46"/>
    </row>
    <row r="1779" spans="5:5" s="1" customFormat="1" ht="24" customHeight="1">
      <c r="E1779" s="46"/>
    </row>
    <row r="1780" spans="5:5" s="1" customFormat="1" ht="24" customHeight="1">
      <c r="E1780" s="46"/>
    </row>
    <row r="1781" spans="5:5" s="1" customFormat="1" ht="24" customHeight="1">
      <c r="E1781" s="46"/>
    </row>
    <row r="1782" spans="5:5" s="1" customFormat="1" ht="24" customHeight="1">
      <c r="E1782" s="46"/>
    </row>
    <row r="1783" spans="5:5" s="1" customFormat="1" ht="24" customHeight="1">
      <c r="E1783" s="46"/>
    </row>
    <row r="1784" spans="5:5" s="1" customFormat="1" ht="24" customHeight="1">
      <c r="E1784" s="46"/>
    </row>
    <row r="1785" spans="5:5" s="1" customFormat="1" ht="24" customHeight="1">
      <c r="E1785" s="46"/>
    </row>
    <row r="1786" spans="5:5" s="1" customFormat="1" ht="24" customHeight="1">
      <c r="E1786" s="46"/>
    </row>
    <row r="1787" spans="5:5" s="1" customFormat="1" ht="24" customHeight="1">
      <c r="E1787" s="46"/>
    </row>
    <row r="1788" spans="5:5" s="1" customFormat="1" ht="24" customHeight="1">
      <c r="E1788" s="46"/>
    </row>
    <row r="1789" spans="5:5" s="1" customFormat="1" ht="24" customHeight="1">
      <c r="E1789" s="46"/>
    </row>
    <row r="1790" spans="5:5" s="1" customFormat="1" ht="24" customHeight="1">
      <c r="E1790" s="46"/>
    </row>
    <row r="1791" spans="5:5" s="1" customFormat="1" ht="24" customHeight="1">
      <c r="E1791" s="46"/>
    </row>
    <row r="1792" spans="5:5" s="1" customFormat="1" ht="24" customHeight="1">
      <c r="E1792" s="46"/>
    </row>
    <row r="1793" spans="5:5" s="1" customFormat="1" ht="24" customHeight="1">
      <c r="E1793" s="46"/>
    </row>
    <row r="1794" spans="5:5" s="1" customFormat="1" ht="24" customHeight="1">
      <c r="E1794" s="46"/>
    </row>
    <row r="1795" spans="5:5" s="1" customFormat="1" ht="24" customHeight="1">
      <c r="E1795" s="46"/>
    </row>
    <row r="1796" spans="5:5" s="1" customFormat="1" ht="24" customHeight="1">
      <c r="E1796" s="46"/>
    </row>
    <row r="1797" spans="5:5" s="1" customFormat="1" ht="24" customHeight="1">
      <c r="E1797" s="46"/>
    </row>
    <row r="1798" spans="5:5" s="1" customFormat="1" ht="24" customHeight="1">
      <c r="E1798" s="46"/>
    </row>
    <row r="1799" spans="5:5" s="1" customFormat="1" ht="24" customHeight="1">
      <c r="E1799" s="46"/>
    </row>
    <row r="1800" spans="5:5" s="1" customFormat="1" ht="24" customHeight="1">
      <c r="E1800" s="46"/>
    </row>
    <row r="1801" spans="5:5" s="1" customFormat="1" ht="24" customHeight="1">
      <c r="E1801" s="46"/>
    </row>
    <row r="1802" spans="5:5" s="1" customFormat="1" ht="24" customHeight="1">
      <c r="E1802" s="46"/>
    </row>
    <row r="1803" spans="5:5" s="1" customFormat="1" ht="24" customHeight="1">
      <c r="E1803" s="46"/>
    </row>
    <row r="1804" spans="5:5" s="1" customFormat="1" ht="24" customHeight="1">
      <c r="E1804" s="46"/>
    </row>
    <row r="1805" spans="5:5" s="1" customFormat="1" ht="24" customHeight="1">
      <c r="E1805" s="46"/>
    </row>
    <row r="1806" spans="5:5" s="1" customFormat="1" ht="24" customHeight="1">
      <c r="E1806" s="46"/>
    </row>
    <row r="1807" spans="5:5" s="1" customFormat="1" ht="24" customHeight="1">
      <c r="E1807" s="46"/>
    </row>
    <row r="1808" spans="5:5" s="1" customFormat="1" ht="24" customHeight="1">
      <c r="E1808" s="46"/>
    </row>
    <row r="1809" spans="5:5" s="1" customFormat="1" ht="24" customHeight="1">
      <c r="E1809" s="46"/>
    </row>
    <row r="1810" spans="5:5" s="1" customFormat="1" ht="24" customHeight="1">
      <c r="E1810" s="46"/>
    </row>
    <row r="1811" spans="5:5" s="1" customFormat="1" ht="24" customHeight="1">
      <c r="E1811" s="46"/>
    </row>
    <row r="1812" spans="5:5" s="1" customFormat="1" ht="24" customHeight="1">
      <c r="E1812" s="46"/>
    </row>
    <row r="1813" spans="5:5" s="1" customFormat="1" ht="24" customHeight="1">
      <c r="E1813" s="46"/>
    </row>
    <row r="1814" spans="5:5" s="1" customFormat="1" ht="24" customHeight="1">
      <c r="E1814" s="46"/>
    </row>
    <row r="1815" spans="5:5" s="1" customFormat="1" ht="24" customHeight="1">
      <c r="E1815" s="46"/>
    </row>
    <row r="1816" spans="5:5" s="1" customFormat="1" ht="24" customHeight="1">
      <c r="E1816" s="46"/>
    </row>
    <row r="1817" spans="5:5" s="1" customFormat="1" ht="24" customHeight="1">
      <c r="E1817" s="46"/>
    </row>
    <row r="1818" spans="5:5" s="1" customFormat="1" ht="24" customHeight="1">
      <c r="E1818" s="46"/>
    </row>
    <row r="1819" spans="5:5" s="1" customFormat="1" ht="24" customHeight="1">
      <c r="E1819" s="46"/>
    </row>
    <row r="1820" spans="5:5" s="1" customFormat="1" ht="24" customHeight="1">
      <c r="E1820" s="46"/>
    </row>
    <row r="1821" spans="5:5" s="1" customFormat="1" ht="24" customHeight="1">
      <c r="E1821" s="46"/>
    </row>
    <row r="1822" spans="5:5" s="1" customFormat="1" ht="24" customHeight="1">
      <c r="E1822" s="46"/>
    </row>
    <row r="1823" spans="5:5" s="1" customFormat="1" ht="24" customHeight="1">
      <c r="E1823" s="46"/>
    </row>
    <row r="1824" spans="5:5" s="1" customFormat="1" ht="24" customHeight="1">
      <c r="E1824" s="46"/>
    </row>
    <row r="1825" spans="5:5" s="1" customFormat="1" ht="24" customHeight="1">
      <c r="E1825" s="46"/>
    </row>
    <row r="1826" spans="5:5" s="1" customFormat="1" ht="24" customHeight="1">
      <c r="E1826" s="46"/>
    </row>
    <row r="1827" spans="5:5" s="1" customFormat="1" ht="24" customHeight="1">
      <c r="E1827" s="46"/>
    </row>
    <row r="1828" spans="5:5" s="1" customFormat="1" ht="24" customHeight="1">
      <c r="E1828" s="46"/>
    </row>
    <row r="1829" spans="5:5" s="1" customFormat="1" ht="24" customHeight="1">
      <c r="E1829" s="46"/>
    </row>
    <row r="1830" spans="5:5" s="1" customFormat="1" ht="24" customHeight="1">
      <c r="E1830" s="46"/>
    </row>
    <row r="1831" spans="5:5" s="1" customFormat="1" ht="24" customHeight="1">
      <c r="E1831" s="46"/>
    </row>
    <row r="1832" spans="5:5" s="1" customFormat="1" ht="24" customHeight="1">
      <c r="E1832" s="46"/>
    </row>
    <row r="1833" spans="5:5" s="1" customFormat="1" ht="24" customHeight="1">
      <c r="E1833" s="46"/>
    </row>
    <row r="1834" spans="5:5" s="1" customFormat="1" ht="24" customHeight="1">
      <c r="E1834" s="46"/>
    </row>
    <row r="1835" spans="5:5" s="1" customFormat="1" ht="24" customHeight="1">
      <c r="E1835" s="46"/>
    </row>
    <row r="1836" spans="5:5" s="1" customFormat="1" ht="24" customHeight="1">
      <c r="E1836" s="46"/>
    </row>
    <row r="1837" spans="5:5" s="1" customFormat="1" ht="24" customHeight="1">
      <c r="E1837" s="46"/>
    </row>
    <row r="1838" spans="5:5" s="1" customFormat="1" ht="24" customHeight="1">
      <c r="E1838" s="46"/>
    </row>
    <row r="1839" spans="5:5" s="1" customFormat="1" ht="24" customHeight="1">
      <c r="E1839" s="46"/>
    </row>
    <row r="1840" spans="5:5" s="1" customFormat="1" ht="24" customHeight="1">
      <c r="E1840" s="46"/>
    </row>
    <row r="1841" spans="5:5" s="1" customFormat="1" ht="24" customHeight="1">
      <c r="E1841" s="46"/>
    </row>
    <row r="1842" spans="5:5" s="1" customFormat="1" ht="24" customHeight="1">
      <c r="E1842" s="46"/>
    </row>
    <row r="1843" spans="5:5" s="1" customFormat="1" ht="24" customHeight="1">
      <c r="E1843" s="46"/>
    </row>
    <row r="1844" spans="5:5" s="1" customFormat="1" ht="24" customHeight="1">
      <c r="E1844" s="46"/>
    </row>
    <row r="1845" spans="5:5" s="1" customFormat="1" ht="24" customHeight="1">
      <c r="E1845" s="46"/>
    </row>
    <row r="1846" spans="5:5" s="1" customFormat="1" ht="24" customHeight="1">
      <c r="E1846" s="46"/>
    </row>
    <row r="1847" spans="5:5" s="1" customFormat="1" ht="24" customHeight="1">
      <c r="E1847" s="46"/>
    </row>
    <row r="1848" spans="5:5" s="1" customFormat="1" ht="24" customHeight="1">
      <c r="E1848" s="46"/>
    </row>
    <row r="1849" spans="5:5" s="1" customFormat="1" ht="24" customHeight="1">
      <c r="E1849" s="46"/>
    </row>
    <row r="1850" spans="5:5" s="1" customFormat="1" ht="24" customHeight="1">
      <c r="E1850" s="46"/>
    </row>
    <row r="1851" spans="5:5" s="1" customFormat="1" ht="24" customHeight="1">
      <c r="E1851" s="46"/>
    </row>
    <row r="1852" spans="5:5" s="1" customFormat="1" ht="24" customHeight="1">
      <c r="E1852" s="46"/>
    </row>
    <row r="1853" spans="5:5" s="1" customFormat="1" ht="24" customHeight="1">
      <c r="E1853" s="46"/>
    </row>
    <row r="1854" spans="5:5" s="1" customFormat="1" ht="24" customHeight="1">
      <c r="E1854" s="46"/>
    </row>
    <row r="1855" spans="5:5" s="1" customFormat="1" ht="24" customHeight="1">
      <c r="E1855" s="46"/>
    </row>
    <row r="1856" spans="5:5" s="1" customFormat="1" ht="24" customHeight="1">
      <c r="E1856" s="46"/>
    </row>
    <row r="1857" spans="5:5" s="1" customFormat="1" ht="24" customHeight="1">
      <c r="E1857" s="46"/>
    </row>
    <row r="1858" spans="5:5" s="1" customFormat="1" ht="24" customHeight="1">
      <c r="E1858" s="46"/>
    </row>
    <row r="1859" spans="5:5" s="1" customFormat="1" ht="24" customHeight="1">
      <c r="E1859" s="46"/>
    </row>
    <row r="1860" spans="5:5" s="1" customFormat="1" ht="24" customHeight="1">
      <c r="E1860" s="46"/>
    </row>
    <row r="1861" spans="5:5" s="1" customFormat="1" ht="24" customHeight="1">
      <c r="E1861" s="46"/>
    </row>
    <row r="1862" spans="5:5" s="1" customFormat="1" ht="24" customHeight="1">
      <c r="E1862" s="46"/>
    </row>
    <row r="1863" spans="5:5" s="1" customFormat="1" ht="24" customHeight="1">
      <c r="E1863" s="46"/>
    </row>
    <row r="1864" spans="5:5" s="1" customFormat="1" ht="24" customHeight="1">
      <c r="E1864" s="46"/>
    </row>
    <row r="1865" spans="5:5" s="1" customFormat="1" ht="24" customHeight="1">
      <c r="E1865" s="46"/>
    </row>
    <row r="1866" spans="5:5" s="1" customFormat="1" ht="24" customHeight="1">
      <c r="E1866" s="46"/>
    </row>
    <row r="1867" spans="5:5" s="1" customFormat="1" ht="24" customHeight="1">
      <c r="E1867" s="46"/>
    </row>
    <row r="1868" spans="5:5" s="1" customFormat="1" ht="24" customHeight="1">
      <c r="E1868" s="46"/>
    </row>
    <row r="1869" spans="5:5" s="1" customFormat="1" ht="24" customHeight="1">
      <c r="E1869" s="46"/>
    </row>
    <row r="1870" spans="5:5" s="1" customFormat="1" ht="24" customHeight="1">
      <c r="E1870" s="46"/>
    </row>
    <row r="1871" spans="5:5" s="1" customFormat="1" ht="24" customHeight="1">
      <c r="E1871" s="46"/>
    </row>
    <row r="1872" spans="5:5" s="1" customFormat="1" ht="24" customHeight="1">
      <c r="E1872" s="46"/>
    </row>
    <row r="1873" spans="5:5" s="1" customFormat="1" ht="24" customHeight="1">
      <c r="E1873" s="46"/>
    </row>
    <row r="1874" spans="5:5" s="1" customFormat="1" ht="24" customHeight="1">
      <c r="E1874" s="46"/>
    </row>
    <row r="1875" spans="5:5" s="1" customFormat="1" ht="24" customHeight="1">
      <c r="E1875" s="46"/>
    </row>
    <row r="1876" spans="5:5" s="1" customFormat="1" ht="24" customHeight="1">
      <c r="E1876" s="46"/>
    </row>
    <row r="1877" spans="5:5" s="1" customFormat="1" ht="24" customHeight="1">
      <c r="E1877" s="46"/>
    </row>
    <row r="1878" spans="5:5" s="1" customFormat="1" ht="24" customHeight="1">
      <c r="E1878" s="46"/>
    </row>
    <row r="1879" spans="5:5" s="1" customFormat="1" ht="24" customHeight="1">
      <c r="E1879" s="46"/>
    </row>
    <row r="1880" spans="5:5" s="1" customFormat="1" ht="24" customHeight="1">
      <c r="E1880" s="46"/>
    </row>
    <row r="1881" spans="5:5" s="1" customFormat="1" ht="24" customHeight="1">
      <c r="E1881" s="46"/>
    </row>
    <row r="1882" spans="5:5" s="1" customFormat="1" ht="24" customHeight="1">
      <c r="E1882" s="46"/>
    </row>
    <row r="1883" spans="5:5" s="1" customFormat="1" ht="24" customHeight="1">
      <c r="E1883" s="46"/>
    </row>
    <row r="1884" spans="5:5" s="1" customFormat="1" ht="24" customHeight="1">
      <c r="E1884" s="46"/>
    </row>
    <row r="1885" spans="5:5" s="1" customFormat="1" ht="24" customHeight="1">
      <c r="E1885" s="46"/>
    </row>
    <row r="1886" spans="5:5" s="1" customFormat="1" ht="24" customHeight="1">
      <c r="E1886" s="46"/>
    </row>
    <row r="1887" spans="5:5" s="1" customFormat="1" ht="24" customHeight="1">
      <c r="E1887" s="46"/>
    </row>
    <row r="1888" spans="5:5" s="1" customFormat="1" ht="24" customHeight="1">
      <c r="E1888" s="46"/>
    </row>
    <row r="1889" spans="5:5" s="1" customFormat="1" ht="24" customHeight="1">
      <c r="E1889" s="46"/>
    </row>
    <row r="1890" spans="5:5" s="1" customFormat="1" ht="24" customHeight="1">
      <c r="E1890" s="46"/>
    </row>
    <row r="1891" spans="5:5" s="1" customFormat="1" ht="24" customHeight="1">
      <c r="E1891" s="46"/>
    </row>
    <row r="1892" spans="5:5" s="1" customFormat="1" ht="24" customHeight="1">
      <c r="E1892" s="46"/>
    </row>
    <row r="1893" spans="5:5" s="1" customFormat="1" ht="24" customHeight="1">
      <c r="E1893" s="46"/>
    </row>
    <row r="1894" spans="5:5" s="1" customFormat="1" ht="24" customHeight="1">
      <c r="E1894" s="46"/>
    </row>
    <row r="1895" spans="5:5" s="1" customFormat="1" ht="24" customHeight="1">
      <c r="E1895" s="46"/>
    </row>
    <row r="1896" spans="5:5" s="1" customFormat="1" ht="24" customHeight="1">
      <c r="E1896" s="46"/>
    </row>
    <row r="1897" spans="5:5" s="1" customFormat="1" ht="24" customHeight="1">
      <c r="E1897" s="46"/>
    </row>
    <row r="1898" spans="5:5" s="1" customFormat="1" ht="24" customHeight="1">
      <c r="E1898" s="46"/>
    </row>
    <row r="1899" spans="5:5" s="1" customFormat="1" ht="24" customHeight="1">
      <c r="E1899" s="46"/>
    </row>
    <row r="1900" spans="5:5" s="1" customFormat="1" ht="24" customHeight="1">
      <c r="E1900" s="46"/>
    </row>
    <row r="1901" spans="5:5" s="1" customFormat="1" ht="24" customHeight="1">
      <c r="E1901" s="46"/>
    </row>
    <row r="1902" spans="5:5" s="1" customFormat="1" ht="24" customHeight="1">
      <c r="E1902" s="46"/>
    </row>
    <row r="1903" spans="5:5" s="1" customFormat="1" ht="24" customHeight="1">
      <c r="E1903" s="46"/>
    </row>
    <row r="1904" spans="5:5" s="1" customFormat="1" ht="24" customHeight="1">
      <c r="E1904" s="46"/>
    </row>
    <row r="1905" spans="5:5" s="1" customFormat="1" ht="24" customHeight="1">
      <c r="E1905" s="46"/>
    </row>
    <row r="1906" spans="5:5" s="1" customFormat="1" ht="24" customHeight="1">
      <c r="E1906" s="46"/>
    </row>
    <row r="1907" spans="5:5" s="1" customFormat="1" ht="24" customHeight="1">
      <c r="E1907" s="46"/>
    </row>
    <row r="1908" spans="5:5" s="1" customFormat="1" ht="24" customHeight="1">
      <c r="E1908" s="46"/>
    </row>
    <row r="1909" spans="5:5" s="1" customFormat="1" ht="24" customHeight="1">
      <c r="E1909" s="46"/>
    </row>
    <row r="1910" spans="5:5" s="1" customFormat="1" ht="24" customHeight="1">
      <c r="E1910" s="46"/>
    </row>
    <row r="1911" spans="5:5" s="1" customFormat="1" ht="24" customHeight="1">
      <c r="E1911" s="46"/>
    </row>
    <row r="1912" spans="5:5" s="1" customFormat="1" ht="24" customHeight="1">
      <c r="E1912" s="46"/>
    </row>
    <row r="1913" spans="5:5" s="1" customFormat="1" ht="24" customHeight="1">
      <c r="E1913" s="46"/>
    </row>
    <row r="1914" spans="5:5" s="1" customFormat="1" ht="24" customHeight="1">
      <c r="E1914" s="46"/>
    </row>
    <row r="1915" spans="5:5" s="1" customFormat="1" ht="24" customHeight="1">
      <c r="E1915" s="46"/>
    </row>
    <row r="1916" spans="5:5" s="1" customFormat="1" ht="24" customHeight="1">
      <c r="E1916" s="46"/>
    </row>
    <row r="1917" spans="5:5" s="1" customFormat="1" ht="24" customHeight="1">
      <c r="E1917" s="46"/>
    </row>
    <row r="1918" spans="5:5" s="1" customFormat="1" ht="24" customHeight="1">
      <c r="E1918" s="46"/>
    </row>
    <row r="1919" spans="5:5" s="1" customFormat="1" ht="24" customHeight="1">
      <c r="E1919" s="46"/>
    </row>
    <row r="1920" spans="5:5" s="1" customFormat="1" ht="24" customHeight="1">
      <c r="E1920" s="46"/>
    </row>
    <row r="1921" spans="5:5" s="1" customFormat="1" ht="24" customHeight="1">
      <c r="E1921" s="46"/>
    </row>
    <row r="1922" spans="5:5" s="1" customFormat="1" ht="24" customHeight="1">
      <c r="E1922" s="46"/>
    </row>
    <row r="1923" spans="5:5" s="1" customFormat="1" ht="24" customHeight="1">
      <c r="E1923" s="46"/>
    </row>
    <row r="1924" spans="5:5" s="1" customFormat="1" ht="24" customHeight="1">
      <c r="E1924" s="46"/>
    </row>
    <row r="1925" spans="5:5" s="1" customFormat="1" ht="24" customHeight="1">
      <c r="E1925" s="46"/>
    </row>
    <row r="1926" spans="5:5" s="1" customFormat="1" ht="24" customHeight="1">
      <c r="E1926" s="46"/>
    </row>
    <row r="1927" spans="5:5" s="1" customFormat="1" ht="24" customHeight="1">
      <c r="E1927" s="46"/>
    </row>
    <row r="1928" spans="5:5" s="1" customFormat="1" ht="24" customHeight="1">
      <c r="E1928" s="46"/>
    </row>
    <row r="1929" spans="5:5" s="1" customFormat="1" ht="24" customHeight="1">
      <c r="E1929" s="46"/>
    </row>
    <row r="1930" spans="5:5" s="1" customFormat="1" ht="24" customHeight="1">
      <c r="E1930" s="46"/>
    </row>
    <row r="1931" spans="5:5" s="1" customFormat="1" ht="24" customHeight="1">
      <c r="E1931" s="46"/>
    </row>
    <row r="1932" spans="5:5" s="1" customFormat="1" ht="24" customHeight="1">
      <c r="E1932" s="46"/>
    </row>
    <row r="1933" spans="5:5" s="1" customFormat="1" ht="24" customHeight="1">
      <c r="E1933" s="46"/>
    </row>
    <row r="1934" spans="5:5" s="1" customFormat="1" ht="24" customHeight="1">
      <c r="E1934" s="46"/>
    </row>
    <row r="1935" spans="5:5" s="1" customFormat="1" ht="24" customHeight="1">
      <c r="E1935" s="46"/>
    </row>
    <row r="1936" spans="5:5" s="1" customFormat="1" ht="24" customHeight="1">
      <c r="E1936" s="46"/>
    </row>
    <row r="1937" spans="5:5" s="1" customFormat="1" ht="24" customHeight="1">
      <c r="E1937" s="46"/>
    </row>
    <row r="1938" spans="5:5" s="1" customFormat="1" ht="24" customHeight="1">
      <c r="E1938" s="46"/>
    </row>
    <row r="1939" spans="5:5" s="1" customFormat="1" ht="24" customHeight="1">
      <c r="E1939" s="46"/>
    </row>
    <row r="1940" spans="5:5" s="1" customFormat="1" ht="24" customHeight="1">
      <c r="E1940" s="46"/>
    </row>
    <row r="1941" spans="5:5" s="1" customFormat="1" ht="24" customHeight="1">
      <c r="E1941" s="46"/>
    </row>
    <row r="1942" spans="5:5" s="1" customFormat="1" ht="24" customHeight="1">
      <c r="E1942" s="46"/>
    </row>
    <row r="1943" spans="5:5" s="1" customFormat="1" ht="24" customHeight="1">
      <c r="E1943" s="46"/>
    </row>
    <row r="1944" spans="5:5" s="1" customFormat="1" ht="24" customHeight="1">
      <c r="E1944" s="46"/>
    </row>
    <row r="1945" spans="5:5" s="1" customFormat="1" ht="24" customHeight="1">
      <c r="E1945" s="46"/>
    </row>
    <row r="1946" spans="5:5" s="1" customFormat="1" ht="24" customHeight="1">
      <c r="E1946" s="46"/>
    </row>
    <row r="1947" spans="5:5" s="1" customFormat="1" ht="24" customHeight="1">
      <c r="E1947" s="46"/>
    </row>
    <row r="1948" spans="5:5" s="1" customFormat="1" ht="24" customHeight="1">
      <c r="E1948" s="46"/>
    </row>
    <row r="1949" spans="5:5" s="1" customFormat="1" ht="24" customHeight="1">
      <c r="E1949" s="46"/>
    </row>
    <row r="1950" spans="5:5" s="1" customFormat="1" ht="24" customHeight="1">
      <c r="E1950" s="46"/>
    </row>
    <row r="1951" spans="5:5" s="1" customFormat="1" ht="24" customHeight="1">
      <c r="E1951" s="46"/>
    </row>
    <row r="1952" spans="5:5" s="1" customFormat="1" ht="24" customHeight="1">
      <c r="E1952" s="46"/>
    </row>
    <row r="1953" spans="4:17" ht="24" customHeight="1">
      <c r="D1953" s="1"/>
      <c r="E1953" s="46"/>
      <c r="G1953" s="1"/>
      <c r="I1953" s="1"/>
      <c r="K1953" s="1"/>
      <c r="M1953" s="1"/>
      <c r="O1953" s="1"/>
      <c r="Q1953" s="1"/>
    </row>
    <row r="1954" spans="4:17" ht="24" customHeight="1">
      <c r="D1954" s="1"/>
      <c r="E1954" s="46"/>
      <c r="G1954" s="1"/>
      <c r="I1954" s="1"/>
      <c r="K1954" s="1"/>
      <c r="M1954" s="1"/>
      <c r="O1954" s="1"/>
      <c r="Q1954" s="1"/>
    </row>
    <row r="1955" spans="4:17" ht="24" customHeight="1">
      <c r="D1955" s="1"/>
      <c r="E1955" s="46"/>
      <c r="G1955" s="1"/>
      <c r="I1955" s="1"/>
      <c r="K1955" s="1"/>
      <c r="M1955" s="1"/>
      <c r="O1955" s="1"/>
      <c r="Q1955" s="1"/>
    </row>
    <row r="1956" spans="4:17" ht="24" customHeight="1">
      <c r="D1956" s="1"/>
      <c r="E1956" s="46"/>
      <c r="G1956" s="1"/>
      <c r="I1956" s="1"/>
      <c r="K1956" s="1"/>
      <c r="M1956" s="1"/>
      <c r="O1956" s="1"/>
      <c r="Q1956" s="1"/>
    </row>
    <row r="1957" spans="4:17" ht="24" customHeight="1">
      <c r="D1957" s="1"/>
      <c r="E1957" s="46"/>
      <c r="G1957" s="1"/>
      <c r="I1957" s="1"/>
      <c r="K1957" s="1"/>
      <c r="M1957" s="1"/>
      <c r="O1957" s="1"/>
      <c r="Q1957" s="1"/>
    </row>
    <row r="1958" spans="4:17" ht="24" customHeight="1">
      <c r="D1958" s="1"/>
      <c r="E1958" s="46"/>
      <c r="G1958" s="1"/>
      <c r="I1958" s="1"/>
      <c r="K1958" s="1"/>
      <c r="M1958" s="1"/>
      <c r="O1958" s="1"/>
      <c r="Q1958" s="1"/>
    </row>
    <row r="1959" spans="4:17" ht="24" customHeight="1">
      <c r="D1959" s="1"/>
      <c r="E1959" s="46"/>
      <c r="G1959" s="1"/>
      <c r="I1959" s="1"/>
      <c r="K1959" s="1"/>
      <c r="M1959" s="1"/>
      <c r="O1959" s="1"/>
      <c r="Q1959" s="1"/>
    </row>
    <row r="1960" spans="4:17" ht="24" customHeight="1">
      <c r="E1960" s="63"/>
    </row>
    <row r="1961" spans="4:17" ht="24" customHeight="1">
      <c r="E1961" s="63"/>
    </row>
    <row r="1964" spans="4:17" ht="24" customHeight="1">
      <c r="E1964" s="63"/>
    </row>
    <row r="1965" spans="4:17" ht="24" customHeight="1">
      <c r="E1965" s="63"/>
    </row>
    <row r="65526" spans="5:5" ht="24" customHeight="1">
      <c r="E65526" s="135">
        <f>'01'!K7</f>
        <v>0</v>
      </c>
    </row>
  </sheetData>
  <mergeCells count="15">
    <mergeCell ref="I3:O3"/>
    <mergeCell ref="I4:O4"/>
    <mergeCell ref="P3:Q3"/>
    <mergeCell ref="B5:D6"/>
    <mergeCell ref="E1:O1"/>
    <mergeCell ref="O5:P5"/>
    <mergeCell ref="A2:R2"/>
    <mergeCell ref="A5:A6"/>
    <mergeCell ref="A3:D3"/>
    <mergeCell ref="E5:F5"/>
    <mergeCell ref="G5:H5"/>
    <mergeCell ref="M5:N5"/>
    <mergeCell ref="Q5:R5"/>
    <mergeCell ref="K5:L5"/>
    <mergeCell ref="I5:J5"/>
  </mergeCells>
  <pageMargins left="0.19685039370078999" right="0" top="0.23622047244093999" bottom="3.9370078740157001E-2" header="0.31496062992126" footer="0.31496062992126"/>
  <pageSetup paperSize="9" scale="98" orientation="landscape" r:id="rId1"/>
  <rowBreaks count="1" manualBreakCount="1">
    <brk id="46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FF0000"/>
  </sheetPr>
  <dimension ref="A1:R65526"/>
  <sheetViews>
    <sheetView view="pageBreakPreview" zoomScale="120" workbookViewId="0">
      <selection activeCell="X20" sqref="X20"/>
    </sheetView>
  </sheetViews>
  <sheetFormatPr defaultColWidth="9.140625" defaultRowHeight="24" customHeight="1"/>
  <cols>
    <col min="1" max="1" width="4.7109375" style="1" customWidth="1"/>
    <col min="2" max="2" width="6.85546875" style="1" customWidth="1"/>
    <col min="3" max="3" width="10" style="1" customWidth="1"/>
    <col min="4" max="4" width="24.28515625" style="62" customWidth="1"/>
    <col min="5" max="5" width="3.7109375" style="64" customWidth="1"/>
    <col min="6" max="6" width="9.140625" style="1"/>
    <col min="7" max="7" width="3.140625" style="64" customWidth="1"/>
    <col min="8" max="8" width="9" style="1" customWidth="1"/>
    <col min="9" max="9" width="3" style="64" customWidth="1"/>
    <col min="10" max="10" width="9.85546875" style="1" customWidth="1"/>
    <col min="11" max="11" width="3.7109375" style="64" customWidth="1"/>
    <col min="12" max="12" width="9" style="1" customWidth="1"/>
    <col min="13" max="13" width="3" style="64" customWidth="1"/>
    <col min="14" max="14" width="9.7109375" style="1" customWidth="1"/>
    <col min="15" max="15" width="3" style="64" customWidth="1"/>
    <col min="16" max="16" width="11" style="1" customWidth="1"/>
    <col min="17" max="17" width="3" style="64" customWidth="1"/>
    <col min="18" max="18" width="12.85546875" style="1" customWidth="1"/>
  </cols>
  <sheetData>
    <row r="1" spans="1:18" s="46" customFormat="1" ht="24" customHeight="1">
      <c r="A1" s="44"/>
      <c r="B1" s="44"/>
      <c r="C1" s="44"/>
      <c r="D1" s="45"/>
      <c r="E1" s="179" t="s">
        <v>140</v>
      </c>
      <c r="F1" s="179"/>
      <c r="G1" s="179"/>
      <c r="H1" s="179"/>
      <c r="I1" s="179"/>
      <c r="J1" s="179"/>
      <c r="K1" s="179"/>
      <c r="L1" s="179"/>
      <c r="M1" s="179"/>
      <c r="N1" s="179"/>
      <c r="O1" s="179"/>
    </row>
    <row r="2" spans="1:18" s="46" customFormat="1" ht="24" customHeight="1">
      <c r="A2" s="182" t="str">
        <f>ข้อมูล!C7</f>
        <v>โรงเรียนเทศบาลท่าอิฐ อำเภอเมือง จังหวัดอุตรดิตถ์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</row>
    <row r="3" spans="1:18" s="46" customFormat="1" ht="24" customHeight="1">
      <c r="A3" s="179" t="str">
        <f>ข้อมูล!C1</f>
        <v>ชั้นประถมศึกษาปีที่</v>
      </c>
      <c r="B3" s="179"/>
      <c r="C3" s="179"/>
      <c r="D3" s="179"/>
      <c r="E3" s="48"/>
      <c r="F3" s="49" t="str">
        <f>ข้อมูล!C2</f>
        <v>6/3</v>
      </c>
      <c r="G3" s="44"/>
      <c r="H3" s="50" t="s">
        <v>128</v>
      </c>
      <c r="I3" s="171" t="str">
        <f>ข้อมูล!C5</f>
        <v>นางสาวพอใจ  สุขหา</v>
      </c>
      <c r="J3" s="171"/>
      <c r="K3" s="171"/>
      <c r="L3" s="171"/>
      <c r="M3" s="171"/>
      <c r="N3" s="171"/>
      <c r="O3" s="171"/>
      <c r="P3" s="172" t="s">
        <v>129</v>
      </c>
      <c r="Q3" s="172"/>
      <c r="R3" s="51">
        <f>ข้อมูล!C4</f>
        <v>2568</v>
      </c>
    </row>
    <row r="4" spans="1:18" s="46" customFormat="1" ht="24" customHeight="1">
      <c r="A4" s="47"/>
      <c r="B4" s="47"/>
      <c r="C4" s="47"/>
      <c r="D4" s="47"/>
      <c r="E4" s="48"/>
      <c r="F4" s="52"/>
      <c r="G4" s="44"/>
      <c r="H4" s="44"/>
      <c r="I4" s="171" t="str">
        <f>ข้อมูล!C6</f>
        <v>นางสาวพอใจ  สุขหา</v>
      </c>
      <c r="J4" s="171"/>
      <c r="K4" s="171"/>
      <c r="L4" s="171"/>
      <c r="M4" s="171"/>
      <c r="N4" s="171"/>
      <c r="O4" s="171"/>
      <c r="R4" s="52"/>
    </row>
    <row r="5" spans="1:18" ht="24" customHeight="1">
      <c r="A5" s="183" t="s">
        <v>130</v>
      </c>
      <c r="B5" s="173" t="s">
        <v>131</v>
      </c>
      <c r="C5" s="174"/>
      <c r="D5" s="175"/>
      <c r="E5" s="185" t="s">
        <v>117</v>
      </c>
      <c r="F5" s="185"/>
      <c r="G5" s="186" t="s">
        <v>132</v>
      </c>
      <c r="H5" s="187"/>
      <c r="I5" s="186" t="s">
        <v>133</v>
      </c>
      <c r="J5" s="187"/>
      <c r="K5" s="186" t="s">
        <v>134</v>
      </c>
      <c r="L5" s="187"/>
      <c r="M5" s="188" t="s">
        <v>135</v>
      </c>
      <c r="N5" s="189"/>
      <c r="O5" s="180" t="s">
        <v>136</v>
      </c>
      <c r="P5" s="181"/>
      <c r="Q5" s="190" t="s">
        <v>137</v>
      </c>
      <c r="R5" s="191"/>
    </row>
    <row r="6" spans="1:18" ht="63" customHeight="1">
      <c r="A6" s="184"/>
      <c r="B6" s="176"/>
      <c r="C6" s="177"/>
      <c r="D6" s="178"/>
      <c r="E6" s="53" t="s">
        <v>138</v>
      </c>
      <c r="F6" s="54" t="s">
        <v>139</v>
      </c>
      <c r="G6" s="55" t="s">
        <v>138</v>
      </c>
      <c r="H6" s="54" t="s">
        <v>139</v>
      </c>
      <c r="I6" s="55" t="s">
        <v>138</v>
      </c>
      <c r="J6" s="54" t="s">
        <v>139</v>
      </c>
      <c r="K6" s="55" t="s">
        <v>138</v>
      </c>
      <c r="L6" s="54" t="s">
        <v>139</v>
      </c>
      <c r="M6" s="55" t="s">
        <v>138</v>
      </c>
      <c r="N6" s="56" t="s">
        <v>139</v>
      </c>
      <c r="O6" s="53" t="s">
        <v>138</v>
      </c>
      <c r="P6" s="57" t="s">
        <v>139</v>
      </c>
      <c r="Q6" s="55" t="s">
        <v>138</v>
      </c>
      <c r="R6" s="54" t="s">
        <v>139</v>
      </c>
    </row>
    <row r="7" spans="1:18" ht="24" customHeight="1">
      <c r="A7" s="101">
        <v>1</v>
      </c>
      <c r="B7" s="100" t="str">
        <f>รายชื่อ!B1</f>
        <v>เด็กชาย</v>
      </c>
      <c r="C7" s="112" t="str">
        <f>รายชื่อ!C1</f>
        <v>ณฐวัฒน์</v>
      </c>
      <c r="D7" s="113" t="str">
        <f>รายชื่อ!D1</f>
        <v>ขวัญมุข</v>
      </c>
      <c r="E7" s="132">
        <f>'01'!W7</f>
        <v>0</v>
      </c>
      <c r="F7" s="59" t="str">
        <f t="shared" ref="F7:F46" si="0">IF(E7&gt;5,"เสี่ยง/มีปัญหา","ปกติ")</f>
        <v>ปกติ</v>
      </c>
      <c r="G7" s="132">
        <f>'01'!W12</f>
        <v>2</v>
      </c>
      <c r="H7" s="59" t="str">
        <f t="shared" ref="H7:H46" si="1">IF(G7&gt;4,"เสี่ยง/มีปัญหา","ปกติ")</f>
        <v>ปกติ</v>
      </c>
      <c r="I7" s="132">
        <f>'01'!W17</f>
        <v>0</v>
      </c>
      <c r="J7" s="59" t="str">
        <f t="shared" ref="J7:J46" si="2">IF(I7&gt;5,"เสี่ยง/มีปัญหา","ปกติ")</f>
        <v>ปกติ</v>
      </c>
      <c r="K7" s="58">
        <f>'01'!W22</f>
        <v>0</v>
      </c>
      <c r="L7" s="59" t="str">
        <f t="shared" ref="L7:L46" si="3">IF(K7&gt;3,"เสี่ยง/มีปัญหา","ปกติ")</f>
        <v>ปกติ</v>
      </c>
      <c r="M7" s="58">
        <f t="shared" ref="M7:M46" si="4">E7+G7+I7+K7</f>
        <v>2</v>
      </c>
      <c r="N7" s="59" t="str">
        <f t="shared" ref="N7:N46" si="5">IF(M7&gt;16,"เสี่ยง/มีปัญหา","ปกติ")</f>
        <v>ปกติ</v>
      </c>
      <c r="O7" s="132">
        <f>'01'!W27</f>
        <v>0</v>
      </c>
      <c r="P7" s="60" t="str">
        <f t="shared" ref="P7:P46" si="6">IF(O7&gt;3,"มีจุดแข็ง","ไม่มีจุดแข็ง")</f>
        <v>ไม่มีจุดแข็ง</v>
      </c>
      <c r="Q7" s="58">
        <f>'01'!W37</f>
        <v>0</v>
      </c>
      <c r="R7" s="60" t="str">
        <f t="shared" ref="R7:R46" si="7">IF(Q7&gt;0,"เสี่ยง/มีปัญหา","ปกติ")</f>
        <v>ปกติ</v>
      </c>
    </row>
    <row r="8" spans="1:18" ht="24" customHeight="1">
      <c r="A8" s="101">
        <v>2</v>
      </c>
      <c r="B8" s="100" t="str">
        <f>รายชื่อ!B2</f>
        <v>เด็กชาย</v>
      </c>
      <c r="C8" s="112" t="str">
        <f>รายชื่อ!C2</f>
        <v>นพธรรศ</v>
      </c>
      <c r="D8" s="113" t="str">
        <f>รายชื่อ!D2</f>
        <v>ปั่นจีด</v>
      </c>
      <c r="E8" s="132">
        <f>'02'!W7</f>
        <v>0</v>
      </c>
      <c r="F8" s="59" t="str">
        <f t="shared" si="0"/>
        <v>ปกติ</v>
      </c>
      <c r="G8" s="132">
        <f>'02'!W12</f>
        <v>2</v>
      </c>
      <c r="H8" s="59" t="str">
        <f t="shared" si="1"/>
        <v>ปกติ</v>
      </c>
      <c r="I8" s="134">
        <f>'02'!W17</f>
        <v>0</v>
      </c>
      <c r="J8" s="59" t="str">
        <f t="shared" si="2"/>
        <v>ปกติ</v>
      </c>
      <c r="K8" s="134">
        <f>'02'!W22</f>
        <v>0</v>
      </c>
      <c r="L8" s="59" t="str">
        <f t="shared" si="3"/>
        <v>ปกติ</v>
      </c>
      <c r="M8" s="58">
        <f t="shared" si="4"/>
        <v>2</v>
      </c>
      <c r="N8" s="59" t="str">
        <f t="shared" si="5"/>
        <v>ปกติ</v>
      </c>
      <c r="O8" s="134">
        <f>'02'!W27</f>
        <v>0</v>
      </c>
      <c r="P8" s="60" t="str">
        <f t="shared" si="6"/>
        <v>ไม่มีจุดแข็ง</v>
      </c>
      <c r="Q8" s="134">
        <f>'02'!W37</f>
        <v>0</v>
      </c>
      <c r="R8" s="60" t="str">
        <f t="shared" si="7"/>
        <v>ปกติ</v>
      </c>
    </row>
    <row r="9" spans="1:18" ht="24" customHeight="1">
      <c r="A9" s="101">
        <v>3</v>
      </c>
      <c r="B9" s="100" t="str">
        <f>รายชื่อ!B3</f>
        <v>เด็กชาย</v>
      </c>
      <c r="C9" s="112" t="str">
        <f>รายชื่อ!C3</f>
        <v>นภัทร</v>
      </c>
      <c r="D9" s="113" t="str">
        <f>รายชื่อ!D3</f>
        <v>เอมเทศ</v>
      </c>
      <c r="E9" s="134">
        <f>'03'!W7</f>
        <v>0</v>
      </c>
      <c r="F9" s="59" t="str">
        <f t="shared" si="0"/>
        <v>ปกติ</v>
      </c>
      <c r="G9" s="132">
        <f>'03'!W12</f>
        <v>2</v>
      </c>
      <c r="H9" s="59" t="str">
        <f t="shared" si="1"/>
        <v>ปกติ</v>
      </c>
      <c r="I9" s="134">
        <f>'03'!W17</f>
        <v>0</v>
      </c>
      <c r="J9" s="59" t="str">
        <f t="shared" si="2"/>
        <v>ปกติ</v>
      </c>
      <c r="K9" s="134">
        <f>'03'!W22</f>
        <v>2</v>
      </c>
      <c r="L9" s="59" t="str">
        <f t="shared" si="3"/>
        <v>ปกติ</v>
      </c>
      <c r="M9" s="58">
        <f t="shared" si="4"/>
        <v>4</v>
      </c>
      <c r="N9" s="59" t="str">
        <f t="shared" si="5"/>
        <v>ปกติ</v>
      </c>
      <c r="O9" s="134">
        <f>'03'!W27</f>
        <v>0</v>
      </c>
      <c r="P9" s="60" t="str">
        <f t="shared" si="6"/>
        <v>ไม่มีจุดแข็ง</v>
      </c>
      <c r="Q9" s="134">
        <f>'03'!W37</f>
        <v>0</v>
      </c>
      <c r="R9" s="60" t="str">
        <f t="shared" si="7"/>
        <v>ปกติ</v>
      </c>
    </row>
    <row r="10" spans="1:18" ht="24" customHeight="1">
      <c r="A10" s="101">
        <v>4</v>
      </c>
      <c r="B10" s="100" t="str">
        <f>รายชื่อ!B4</f>
        <v>เด็กชาย</v>
      </c>
      <c r="C10" s="112" t="str">
        <f>รายชื่อ!C4</f>
        <v>ภูมิพัฒน์</v>
      </c>
      <c r="D10" s="113" t="str">
        <f>รายชื่อ!D4</f>
        <v>เต็งวิลัย</v>
      </c>
      <c r="E10" s="134">
        <f>'04'!W7</f>
        <v>0</v>
      </c>
      <c r="F10" s="59" t="str">
        <f t="shared" si="0"/>
        <v>ปกติ</v>
      </c>
      <c r="G10" s="132">
        <f>'04'!W12</f>
        <v>2</v>
      </c>
      <c r="H10" s="59" t="str">
        <f t="shared" si="1"/>
        <v>ปกติ</v>
      </c>
      <c r="I10" s="134">
        <f>'04'!W17</f>
        <v>0</v>
      </c>
      <c r="J10" s="59" t="str">
        <f t="shared" si="2"/>
        <v>ปกติ</v>
      </c>
      <c r="K10" s="134">
        <f>'04'!W22</f>
        <v>0</v>
      </c>
      <c r="L10" s="59" t="str">
        <f t="shared" si="3"/>
        <v>ปกติ</v>
      </c>
      <c r="M10" s="58">
        <f t="shared" si="4"/>
        <v>2</v>
      </c>
      <c r="N10" s="59" t="str">
        <f t="shared" si="5"/>
        <v>ปกติ</v>
      </c>
      <c r="O10" s="134">
        <f>'04'!W27</f>
        <v>0</v>
      </c>
      <c r="P10" s="60" t="str">
        <f t="shared" si="6"/>
        <v>ไม่มีจุดแข็ง</v>
      </c>
      <c r="Q10" s="134">
        <f>'04'!W37</f>
        <v>0</v>
      </c>
      <c r="R10" s="60" t="str">
        <f t="shared" si="7"/>
        <v>ปกติ</v>
      </c>
    </row>
    <row r="11" spans="1:18" ht="24" customHeight="1">
      <c r="A11" s="101">
        <v>5</v>
      </c>
      <c r="B11" s="100" t="str">
        <f>รายชื่อ!B5</f>
        <v>เด็กชาย</v>
      </c>
      <c r="C11" s="112" t="str">
        <f>รายชื่อ!C5</f>
        <v>ฑิติพัฒน์</v>
      </c>
      <c r="D11" s="113" t="str">
        <f>รายชื่อ!D5</f>
        <v>เชตุทอง</v>
      </c>
      <c r="E11" s="134">
        <f>'05'!W7</f>
        <v>0</v>
      </c>
      <c r="F11" s="59" t="str">
        <f t="shared" si="0"/>
        <v>ปกติ</v>
      </c>
      <c r="G11" s="132">
        <f>'05'!W12</f>
        <v>2</v>
      </c>
      <c r="H11" s="59" t="str">
        <f t="shared" si="1"/>
        <v>ปกติ</v>
      </c>
      <c r="I11" s="134">
        <f>'05'!W17</f>
        <v>0</v>
      </c>
      <c r="J11" s="59" t="str">
        <f t="shared" si="2"/>
        <v>ปกติ</v>
      </c>
      <c r="K11" s="134">
        <f>'05'!W22</f>
        <v>0</v>
      </c>
      <c r="L11" s="59" t="str">
        <f t="shared" si="3"/>
        <v>ปกติ</v>
      </c>
      <c r="M11" s="58">
        <f t="shared" si="4"/>
        <v>2</v>
      </c>
      <c r="N11" s="59" t="str">
        <f t="shared" si="5"/>
        <v>ปกติ</v>
      </c>
      <c r="O11" s="134">
        <f>'05'!W27</f>
        <v>0</v>
      </c>
      <c r="P11" s="60" t="str">
        <f t="shared" si="6"/>
        <v>ไม่มีจุดแข็ง</v>
      </c>
      <c r="Q11" s="134">
        <f>'05'!W37</f>
        <v>0</v>
      </c>
      <c r="R11" s="60" t="str">
        <f t="shared" si="7"/>
        <v>ปกติ</v>
      </c>
    </row>
    <row r="12" spans="1:18" ht="24" customHeight="1">
      <c r="A12" s="101">
        <v>6</v>
      </c>
      <c r="B12" s="100" t="str">
        <f>รายชื่อ!B6</f>
        <v>เด็กชาย</v>
      </c>
      <c r="C12" s="112" t="str">
        <f>รายชื่อ!C6</f>
        <v>กฤษณพล</v>
      </c>
      <c r="D12" s="113" t="str">
        <f>รายชื่อ!D6</f>
        <v>สมศรี</v>
      </c>
      <c r="E12" s="134">
        <f>'06'!W7</f>
        <v>0</v>
      </c>
      <c r="F12" s="59" t="str">
        <f t="shared" si="0"/>
        <v>ปกติ</v>
      </c>
      <c r="G12" s="132">
        <f>'06'!W12</f>
        <v>2</v>
      </c>
      <c r="H12" s="59" t="str">
        <f t="shared" si="1"/>
        <v>ปกติ</v>
      </c>
      <c r="I12" s="134">
        <f>'06'!W17</f>
        <v>0</v>
      </c>
      <c r="J12" s="59" t="str">
        <f t="shared" si="2"/>
        <v>ปกติ</v>
      </c>
      <c r="K12" s="134">
        <f>'06'!W22</f>
        <v>2</v>
      </c>
      <c r="L12" s="59" t="str">
        <f t="shared" si="3"/>
        <v>ปกติ</v>
      </c>
      <c r="M12" s="58">
        <f t="shared" si="4"/>
        <v>4</v>
      </c>
      <c r="N12" s="59" t="str">
        <f t="shared" si="5"/>
        <v>ปกติ</v>
      </c>
      <c r="O12" s="134">
        <f>'06'!W27</f>
        <v>0</v>
      </c>
      <c r="P12" s="60" t="str">
        <f t="shared" si="6"/>
        <v>ไม่มีจุดแข็ง</v>
      </c>
      <c r="Q12" s="134">
        <f>'06'!W37</f>
        <v>0</v>
      </c>
      <c r="R12" s="60" t="str">
        <f t="shared" si="7"/>
        <v>ปกติ</v>
      </c>
    </row>
    <row r="13" spans="1:18" ht="24" customHeight="1">
      <c r="A13" s="101">
        <v>7</v>
      </c>
      <c r="B13" s="100" t="str">
        <f>รายชื่อ!B7</f>
        <v>เด็กชาย</v>
      </c>
      <c r="C13" s="112" t="str">
        <f>รายชื่อ!C7</f>
        <v>จักรภัทร</v>
      </c>
      <c r="D13" s="113" t="str">
        <f>รายชื่อ!D7</f>
        <v>วิเศษสุวรรณภูมิ</v>
      </c>
      <c r="E13" s="134">
        <f>'07'!W7</f>
        <v>0</v>
      </c>
      <c r="F13" s="59" t="str">
        <f t="shared" si="0"/>
        <v>ปกติ</v>
      </c>
      <c r="G13" s="132">
        <f>'07'!W12</f>
        <v>2</v>
      </c>
      <c r="H13" s="59" t="str">
        <f t="shared" si="1"/>
        <v>ปกติ</v>
      </c>
      <c r="I13" s="134">
        <f>'07'!W17</f>
        <v>2</v>
      </c>
      <c r="J13" s="59" t="str">
        <f t="shared" si="2"/>
        <v>ปกติ</v>
      </c>
      <c r="K13" s="134">
        <f>'07'!W22</f>
        <v>0</v>
      </c>
      <c r="L13" s="59" t="str">
        <f t="shared" si="3"/>
        <v>ปกติ</v>
      </c>
      <c r="M13" s="58">
        <f t="shared" si="4"/>
        <v>4</v>
      </c>
      <c r="N13" s="59" t="str">
        <f t="shared" si="5"/>
        <v>ปกติ</v>
      </c>
      <c r="O13" s="134">
        <f>'07'!W27</f>
        <v>0</v>
      </c>
      <c r="P13" s="60" t="str">
        <f t="shared" si="6"/>
        <v>ไม่มีจุดแข็ง</v>
      </c>
      <c r="Q13" s="134">
        <f>'07'!W37</f>
        <v>0</v>
      </c>
      <c r="R13" s="60" t="str">
        <f t="shared" si="7"/>
        <v>ปกติ</v>
      </c>
    </row>
    <row r="14" spans="1:18" ht="24" customHeight="1">
      <c r="A14" s="101">
        <v>8</v>
      </c>
      <c r="B14" s="100" t="str">
        <f>รายชื่อ!B8</f>
        <v>เด็กชาย</v>
      </c>
      <c r="C14" s="112" t="str">
        <f>รายชื่อ!C8</f>
        <v>จิรายุ</v>
      </c>
      <c r="D14" s="113" t="str">
        <f>รายชื่อ!D8</f>
        <v>บุญเนตร</v>
      </c>
      <c r="E14" s="134">
        <f>'08'!W7</f>
        <v>0</v>
      </c>
      <c r="F14" s="59" t="str">
        <f t="shared" si="0"/>
        <v>ปกติ</v>
      </c>
      <c r="G14" s="132">
        <f>'08'!W12</f>
        <v>2</v>
      </c>
      <c r="H14" s="59" t="str">
        <f t="shared" si="1"/>
        <v>ปกติ</v>
      </c>
      <c r="I14" s="134">
        <f>'08'!W17</f>
        <v>0</v>
      </c>
      <c r="J14" s="59" t="str">
        <f t="shared" si="2"/>
        <v>ปกติ</v>
      </c>
      <c r="K14" s="134">
        <f>'08'!W22</f>
        <v>0</v>
      </c>
      <c r="L14" s="59" t="str">
        <f t="shared" si="3"/>
        <v>ปกติ</v>
      </c>
      <c r="M14" s="58">
        <f t="shared" si="4"/>
        <v>2</v>
      </c>
      <c r="N14" s="59" t="str">
        <f t="shared" si="5"/>
        <v>ปกติ</v>
      </c>
      <c r="O14" s="134">
        <f>'08'!W27</f>
        <v>0</v>
      </c>
      <c r="P14" s="60" t="str">
        <f t="shared" si="6"/>
        <v>ไม่มีจุดแข็ง</v>
      </c>
      <c r="Q14" s="134">
        <f>'08'!W37</f>
        <v>0</v>
      </c>
      <c r="R14" s="60" t="str">
        <f t="shared" si="7"/>
        <v>ปกติ</v>
      </c>
    </row>
    <row r="15" spans="1:18" ht="24" customHeight="1">
      <c r="A15" s="101">
        <v>9</v>
      </c>
      <c r="B15" s="100" t="str">
        <f>รายชื่อ!B9</f>
        <v>เด็กชาย</v>
      </c>
      <c r="C15" s="112" t="str">
        <f>รายชื่อ!C9</f>
        <v>สรศักดิ์</v>
      </c>
      <c r="D15" s="113" t="str">
        <f>รายชื่อ!D9</f>
        <v>เกิดสา</v>
      </c>
      <c r="E15" s="134">
        <f>'09'!W7</f>
        <v>0</v>
      </c>
      <c r="F15" s="59" t="str">
        <f t="shared" si="0"/>
        <v>ปกติ</v>
      </c>
      <c r="G15" s="132">
        <f>'09'!W12</f>
        <v>2</v>
      </c>
      <c r="H15" s="59" t="str">
        <f t="shared" si="1"/>
        <v>ปกติ</v>
      </c>
      <c r="I15" s="134">
        <f>'09'!W17</f>
        <v>2</v>
      </c>
      <c r="J15" s="59" t="str">
        <f t="shared" si="2"/>
        <v>ปกติ</v>
      </c>
      <c r="K15" s="134">
        <f>'09'!W22</f>
        <v>0</v>
      </c>
      <c r="L15" s="59" t="str">
        <f t="shared" si="3"/>
        <v>ปกติ</v>
      </c>
      <c r="M15" s="58">
        <f t="shared" si="4"/>
        <v>4</v>
      </c>
      <c r="N15" s="59" t="str">
        <f t="shared" si="5"/>
        <v>ปกติ</v>
      </c>
      <c r="O15" s="134">
        <f>'09'!W27</f>
        <v>0</v>
      </c>
      <c r="P15" s="60" t="str">
        <f t="shared" si="6"/>
        <v>ไม่มีจุดแข็ง</v>
      </c>
      <c r="Q15" s="134">
        <f>'09'!W37</f>
        <v>0</v>
      </c>
      <c r="R15" s="60" t="str">
        <f t="shared" si="7"/>
        <v>ปกติ</v>
      </c>
    </row>
    <row r="16" spans="1:18" ht="24" customHeight="1">
      <c r="A16" s="101">
        <v>10</v>
      </c>
      <c r="B16" s="100" t="str">
        <f>รายชื่อ!B10</f>
        <v>เด็กชาย</v>
      </c>
      <c r="C16" s="112" t="str">
        <f>รายชื่อ!C10</f>
        <v>ธีรภัทร</v>
      </c>
      <c r="D16" s="113" t="str">
        <f>รายชื่อ!D10</f>
        <v>ทวีชัยการ</v>
      </c>
      <c r="E16" s="134">
        <f>'10'!W7</f>
        <v>0</v>
      </c>
      <c r="F16" s="59" t="str">
        <f t="shared" si="0"/>
        <v>ปกติ</v>
      </c>
      <c r="G16" s="132">
        <f>'10'!W12</f>
        <v>2</v>
      </c>
      <c r="H16" s="59" t="str">
        <f t="shared" si="1"/>
        <v>ปกติ</v>
      </c>
      <c r="I16" s="134">
        <f>'10'!W17</f>
        <v>0</v>
      </c>
      <c r="J16" s="59" t="str">
        <f t="shared" si="2"/>
        <v>ปกติ</v>
      </c>
      <c r="K16" s="134">
        <f>'10'!W22</f>
        <v>0</v>
      </c>
      <c r="L16" s="59" t="str">
        <f t="shared" si="3"/>
        <v>ปกติ</v>
      </c>
      <c r="M16" s="58">
        <f t="shared" si="4"/>
        <v>2</v>
      </c>
      <c r="N16" s="59" t="str">
        <f t="shared" si="5"/>
        <v>ปกติ</v>
      </c>
      <c r="O16" s="134">
        <f>'10'!W27</f>
        <v>0</v>
      </c>
      <c r="P16" s="60" t="str">
        <f t="shared" si="6"/>
        <v>ไม่มีจุดแข็ง</v>
      </c>
      <c r="Q16" s="134">
        <f>'10'!W37</f>
        <v>0</v>
      </c>
      <c r="R16" s="60" t="str">
        <f t="shared" si="7"/>
        <v>ปกติ</v>
      </c>
    </row>
    <row r="17" spans="1:18" ht="24" customHeight="1">
      <c r="A17" s="101">
        <v>11</v>
      </c>
      <c r="B17" s="100" t="str">
        <f>รายชื่อ!B11</f>
        <v>เด็กชาย</v>
      </c>
      <c r="C17" s="112" t="str">
        <f>รายชื่อ!C11</f>
        <v>นัธทวัฒน์</v>
      </c>
      <c r="D17" s="113" t="str">
        <f>รายชื่อ!D11</f>
        <v>เหล่าจันอัน</v>
      </c>
      <c r="E17" s="134">
        <f>'11'!W7</f>
        <v>0</v>
      </c>
      <c r="F17" s="59" t="str">
        <f t="shared" si="0"/>
        <v>ปกติ</v>
      </c>
      <c r="G17" s="132">
        <f>'11'!W12</f>
        <v>2</v>
      </c>
      <c r="H17" s="59" t="str">
        <f t="shared" si="1"/>
        <v>ปกติ</v>
      </c>
      <c r="I17" s="134">
        <f>'11'!W17</f>
        <v>2</v>
      </c>
      <c r="J17" s="59" t="str">
        <f t="shared" si="2"/>
        <v>ปกติ</v>
      </c>
      <c r="K17" s="134">
        <f>'11'!W22</f>
        <v>0</v>
      </c>
      <c r="L17" s="59" t="str">
        <f t="shared" si="3"/>
        <v>ปกติ</v>
      </c>
      <c r="M17" s="58">
        <f t="shared" si="4"/>
        <v>4</v>
      </c>
      <c r="N17" s="59" t="str">
        <f t="shared" si="5"/>
        <v>ปกติ</v>
      </c>
      <c r="O17" s="134">
        <f>'11'!W27</f>
        <v>0</v>
      </c>
      <c r="P17" s="60" t="str">
        <f t="shared" si="6"/>
        <v>ไม่มีจุดแข็ง</v>
      </c>
      <c r="Q17" s="134">
        <f>'11'!W37</f>
        <v>0</v>
      </c>
      <c r="R17" s="60" t="str">
        <f t="shared" si="7"/>
        <v>ปกติ</v>
      </c>
    </row>
    <row r="18" spans="1:18" ht="24" customHeight="1">
      <c r="A18" s="101">
        <v>12</v>
      </c>
      <c r="B18" s="100" t="str">
        <f>รายชื่อ!B12</f>
        <v>เด็กชาย</v>
      </c>
      <c r="C18" s="112" t="str">
        <f>รายชื่อ!C12</f>
        <v>พงศพัศ</v>
      </c>
      <c r="D18" s="113" t="str">
        <f>รายชื่อ!D12</f>
        <v>เกื้อเกตุ</v>
      </c>
      <c r="E18" s="134">
        <f>'12'!W7</f>
        <v>0</v>
      </c>
      <c r="F18" s="59" t="str">
        <f t="shared" si="0"/>
        <v>ปกติ</v>
      </c>
      <c r="G18" s="132">
        <f>'12'!W12</f>
        <v>2</v>
      </c>
      <c r="H18" s="59" t="str">
        <f t="shared" si="1"/>
        <v>ปกติ</v>
      </c>
      <c r="I18" s="134">
        <f>'12'!W17</f>
        <v>2</v>
      </c>
      <c r="J18" s="59" t="str">
        <f t="shared" si="2"/>
        <v>ปกติ</v>
      </c>
      <c r="K18" s="134">
        <f>'12'!W22</f>
        <v>0</v>
      </c>
      <c r="L18" s="59" t="str">
        <f t="shared" si="3"/>
        <v>ปกติ</v>
      </c>
      <c r="M18" s="58">
        <f t="shared" si="4"/>
        <v>4</v>
      </c>
      <c r="N18" s="59" t="str">
        <f t="shared" si="5"/>
        <v>ปกติ</v>
      </c>
      <c r="O18" s="134">
        <f>'12'!W27</f>
        <v>0</v>
      </c>
      <c r="P18" s="60" t="str">
        <f t="shared" si="6"/>
        <v>ไม่มีจุดแข็ง</v>
      </c>
      <c r="Q18" s="134">
        <f>'12'!W37</f>
        <v>0</v>
      </c>
      <c r="R18" s="60" t="str">
        <f t="shared" si="7"/>
        <v>ปกติ</v>
      </c>
    </row>
    <row r="19" spans="1:18" ht="24" customHeight="1">
      <c r="A19" s="101">
        <v>13</v>
      </c>
      <c r="B19" s="100" t="str">
        <f>รายชื่อ!B13</f>
        <v>เด็กชาย</v>
      </c>
      <c r="C19" s="112" t="str">
        <f>รายชื่อ!C13</f>
        <v>ณัฐภัทร</v>
      </c>
      <c r="D19" s="113" t="str">
        <f>รายชื่อ!D13</f>
        <v>องอาจ</v>
      </c>
      <c r="E19" s="134">
        <f>'13'!W7</f>
        <v>0</v>
      </c>
      <c r="F19" s="59" t="str">
        <f t="shared" si="0"/>
        <v>ปกติ</v>
      </c>
      <c r="G19" s="132">
        <f>'13'!W12</f>
        <v>2</v>
      </c>
      <c r="H19" s="59" t="str">
        <f t="shared" si="1"/>
        <v>ปกติ</v>
      </c>
      <c r="I19" s="134">
        <f>'13'!W17</f>
        <v>0</v>
      </c>
      <c r="J19" s="59" t="str">
        <f t="shared" si="2"/>
        <v>ปกติ</v>
      </c>
      <c r="K19" s="134">
        <f>'13'!W22</f>
        <v>0</v>
      </c>
      <c r="L19" s="59" t="str">
        <f t="shared" si="3"/>
        <v>ปกติ</v>
      </c>
      <c r="M19" s="58">
        <f t="shared" si="4"/>
        <v>2</v>
      </c>
      <c r="N19" s="59" t="str">
        <f t="shared" si="5"/>
        <v>ปกติ</v>
      </c>
      <c r="O19" s="134">
        <f>'13'!W27</f>
        <v>0</v>
      </c>
      <c r="P19" s="60" t="str">
        <f t="shared" si="6"/>
        <v>ไม่มีจุดแข็ง</v>
      </c>
      <c r="Q19" s="134">
        <f>'13'!W37</f>
        <v>0</v>
      </c>
      <c r="R19" s="60" t="str">
        <f t="shared" si="7"/>
        <v>ปกติ</v>
      </c>
    </row>
    <row r="20" spans="1:18" ht="24" customHeight="1">
      <c r="A20" s="101">
        <v>14</v>
      </c>
      <c r="B20" s="100" t="str">
        <f>รายชื่อ!B14</f>
        <v>เด็กชาย</v>
      </c>
      <c r="C20" s="112" t="str">
        <f>รายชื่อ!C14</f>
        <v>วิศรุตย์</v>
      </c>
      <c r="D20" s="113" t="str">
        <f>รายชื่อ!D14</f>
        <v>เถื่อนทับ</v>
      </c>
      <c r="E20" s="134">
        <f>'14'!W7</f>
        <v>0</v>
      </c>
      <c r="F20" s="59" t="str">
        <f t="shared" si="0"/>
        <v>ปกติ</v>
      </c>
      <c r="G20" s="132">
        <f>'14'!W12</f>
        <v>2</v>
      </c>
      <c r="H20" s="59" t="str">
        <f t="shared" si="1"/>
        <v>ปกติ</v>
      </c>
      <c r="I20" s="134">
        <f>'14'!W17</f>
        <v>0</v>
      </c>
      <c r="J20" s="59" t="str">
        <f t="shared" si="2"/>
        <v>ปกติ</v>
      </c>
      <c r="K20" s="134">
        <f>'14'!W22</f>
        <v>0</v>
      </c>
      <c r="L20" s="59" t="str">
        <f t="shared" si="3"/>
        <v>ปกติ</v>
      </c>
      <c r="M20" s="58">
        <f t="shared" si="4"/>
        <v>2</v>
      </c>
      <c r="N20" s="59" t="str">
        <f t="shared" si="5"/>
        <v>ปกติ</v>
      </c>
      <c r="O20" s="134">
        <f>'14'!W27</f>
        <v>2</v>
      </c>
      <c r="P20" s="60" t="str">
        <f t="shared" si="6"/>
        <v>ไม่มีจุดแข็ง</v>
      </c>
      <c r="Q20" s="134">
        <f>'14'!W37</f>
        <v>0</v>
      </c>
      <c r="R20" s="60" t="str">
        <f t="shared" si="7"/>
        <v>ปกติ</v>
      </c>
    </row>
    <row r="21" spans="1:18" ht="24" customHeight="1">
      <c r="A21" s="101">
        <v>15</v>
      </c>
      <c r="B21" s="100" t="str">
        <f>รายชื่อ!B15</f>
        <v>เด็กชาย</v>
      </c>
      <c r="C21" s="112" t="str">
        <f>รายชื่อ!C15</f>
        <v>ชนันธร</v>
      </c>
      <c r="D21" s="113" t="str">
        <f>รายชื่อ!D15</f>
        <v>อุดเลิศ</v>
      </c>
      <c r="E21" s="134">
        <f>'15'!W7</f>
        <v>0</v>
      </c>
      <c r="F21" s="59" t="str">
        <f t="shared" si="0"/>
        <v>ปกติ</v>
      </c>
      <c r="G21" s="132">
        <f>'15'!W12</f>
        <v>2</v>
      </c>
      <c r="H21" s="59" t="str">
        <f t="shared" si="1"/>
        <v>ปกติ</v>
      </c>
      <c r="I21" s="134">
        <f>'15'!W17</f>
        <v>2</v>
      </c>
      <c r="J21" s="59" t="str">
        <f t="shared" si="2"/>
        <v>ปกติ</v>
      </c>
      <c r="K21" s="134">
        <f>'15'!W22</f>
        <v>0</v>
      </c>
      <c r="L21" s="59" t="str">
        <f t="shared" si="3"/>
        <v>ปกติ</v>
      </c>
      <c r="M21" s="58">
        <f t="shared" si="4"/>
        <v>4</v>
      </c>
      <c r="N21" s="59" t="str">
        <f t="shared" si="5"/>
        <v>ปกติ</v>
      </c>
      <c r="O21" s="134">
        <f>'15'!W27</f>
        <v>0</v>
      </c>
      <c r="P21" s="60" t="str">
        <f t="shared" si="6"/>
        <v>ไม่มีจุดแข็ง</v>
      </c>
      <c r="Q21" s="134">
        <f>'15'!W37</f>
        <v>0</v>
      </c>
      <c r="R21" s="60" t="str">
        <f t="shared" si="7"/>
        <v>ปกติ</v>
      </c>
    </row>
    <row r="22" spans="1:18" ht="24" customHeight="1">
      <c r="A22" s="101">
        <v>16</v>
      </c>
      <c r="B22" s="100" t="str">
        <f>รายชื่อ!B16</f>
        <v>เด็กหญิง</v>
      </c>
      <c r="C22" s="112" t="str">
        <f>รายชื่อ!C16</f>
        <v>นันท์นภัส</v>
      </c>
      <c r="D22" s="113" t="str">
        <f>รายชื่อ!D16</f>
        <v>พัฒน์เชาวฤทธิ์</v>
      </c>
      <c r="E22" s="134">
        <f>'16'!W7</f>
        <v>0</v>
      </c>
      <c r="F22" s="59" t="str">
        <f t="shared" si="0"/>
        <v>ปกติ</v>
      </c>
      <c r="G22" s="132">
        <f>'16'!W12</f>
        <v>2</v>
      </c>
      <c r="H22" s="59" t="str">
        <f t="shared" si="1"/>
        <v>ปกติ</v>
      </c>
      <c r="I22" s="134">
        <f>'16'!W17</f>
        <v>2</v>
      </c>
      <c r="J22" s="59" t="str">
        <f t="shared" si="2"/>
        <v>ปกติ</v>
      </c>
      <c r="K22" s="134">
        <f>'16'!W22</f>
        <v>0</v>
      </c>
      <c r="L22" s="59" t="str">
        <f t="shared" si="3"/>
        <v>ปกติ</v>
      </c>
      <c r="M22" s="58">
        <f t="shared" si="4"/>
        <v>4</v>
      </c>
      <c r="N22" s="59" t="str">
        <f t="shared" si="5"/>
        <v>ปกติ</v>
      </c>
      <c r="O22" s="134">
        <f>'16'!W27</f>
        <v>0</v>
      </c>
      <c r="P22" s="60" t="str">
        <f t="shared" si="6"/>
        <v>ไม่มีจุดแข็ง</v>
      </c>
      <c r="Q22" s="134">
        <f>'16'!W37</f>
        <v>0</v>
      </c>
      <c r="R22" s="60" t="str">
        <f t="shared" si="7"/>
        <v>ปกติ</v>
      </c>
    </row>
    <row r="23" spans="1:18" ht="24" customHeight="1">
      <c r="A23" s="101">
        <v>17</v>
      </c>
      <c r="B23" s="100" t="str">
        <f>รายชื่อ!B17</f>
        <v>เด็กหญิง</v>
      </c>
      <c r="C23" s="112" t="str">
        <f>รายชื่อ!C17</f>
        <v>ชัยมากา</v>
      </c>
      <c r="D23" s="113" t="str">
        <f>รายชื่อ!D17</f>
        <v>อีเคชูกวู</v>
      </c>
      <c r="E23" s="132">
        <f>'17'!W7</f>
        <v>0</v>
      </c>
      <c r="F23" s="59" t="str">
        <f t="shared" si="0"/>
        <v>ปกติ</v>
      </c>
      <c r="G23" s="132">
        <f>'17'!W12</f>
        <v>4</v>
      </c>
      <c r="H23" s="59" t="str">
        <f t="shared" si="1"/>
        <v>ปกติ</v>
      </c>
      <c r="I23" s="134">
        <f>'17'!W17</f>
        <v>0</v>
      </c>
      <c r="J23" s="59" t="str">
        <f t="shared" si="2"/>
        <v>ปกติ</v>
      </c>
      <c r="K23" s="134">
        <f>'17'!W22</f>
        <v>0</v>
      </c>
      <c r="L23" s="59" t="str">
        <f t="shared" si="3"/>
        <v>ปกติ</v>
      </c>
      <c r="M23" s="58">
        <f t="shared" si="4"/>
        <v>4</v>
      </c>
      <c r="N23" s="59" t="str">
        <f t="shared" si="5"/>
        <v>ปกติ</v>
      </c>
      <c r="O23" s="134">
        <f>'17'!W27</f>
        <v>0</v>
      </c>
      <c r="P23" s="60" t="str">
        <f t="shared" si="6"/>
        <v>ไม่มีจุดแข็ง</v>
      </c>
      <c r="Q23" s="134">
        <f>'17'!W37</f>
        <v>0</v>
      </c>
      <c r="R23" s="60" t="str">
        <f t="shared" si="7"/>
        <v>ปกติ</v>
      </c>
    </row>
    <row r="24" spans="1:18" ht="24" customHeight="1">
      <c r="A24" s="101">
        <v>18</v>
      </c>
      <c r="B24" s="100" t="str">
        <f>รายชื่อ!B18</f>
        <v>เด็กหญิง</v>
      </c>
      <c r="C24" s="112" t="str">
        <f>รายชื่อ!C18</f>
        <v>ภาสินี</v>
      </c>
      <c r="D24" s="113" t="str">
        <f>รายชื่อ!D18</f>
        <v>ภู่ดัด</v>
      </c>
      <c r="E24" s="132">
        <f>'18'!W7</f>
        <v>0</v>
      </c>
      <c r="F24" s="59" t="str">
        <f t="shared" si="0"/>
        <v>ปกติ</v>
      </c>
      <c r="G24" s="132">
        <f>'18'!W12</f>
        <v>2</v>
      </c>
      <c r="H24" s="59" t="str">
        <f t="shared" si="1"/>
        <v>ปกติ</v>
      </c>
      <c r="I24" s="134">
        <f>'18'!W17</f>
        <v>0</v>
      </c>
      <c r="J24" s="59" t="str">
        <f t="shared" si="2"/>
        <v>ปกติ</v>
      </c>
      <c r="K24" s="134">
        <f>'18'!W22</f>
        <v>0</v>
      </c>
      <c r="L24" s="59" t="str">
        <f t="shared" si="3"/>
        <v>ปกติ</v>
      </c>
      <c r="M24" s="58">
        <f t="shared" si="4"/>
        <v>2</v>
      </c>
      <c r="N24" s="59" t="str">
        <f t="shared" si="5"/>
        <v>ปกติ</v>
      </c>
      <c r="O24" s="134">
        <f>'18'!W27</f>
        <v>0</v>
      </c>
      <c r="P24" s="60" t="str">
        <f t="shared" si="6"/>
        <v>ไม่มีจุดแข็ง</v>
      </c>
      <c r="Q24" s="134">
        <f>'18'!W37</f>
        <v>0</v>
      </c>
      <c r="R24" s="60" t="str">
        <f t="shared" si="7"/>
        <v>ปกติ</v>
      </c>
    </row>
    <row r="25" spans="1:18" ht="24" customHeight="1">
      <c r="A25" s="101">
        <v>19</v>
      </c>
      <c r="B25" s="100" t="str">
        <f>รายชื่อ!B19</f>
        <v>เด็กหญิง</v>
      </c>
      <c r="C25" s="112" t="str">
        <f>รายชื่อ!C19</f>
        <v>ณัฐณิชา</v>
      </c>
      <c r="D25" s="113" t="str">
        <f>รายชื่อ!D19</f>
        <v>เจริญเรือง</v>
      </c>
      <c r="E25" s="132">
        <f>'19'!W7</f>
        <v>0</v>
      </c>
      <c r="F25" s="59" t="str">
        <f t="shared" si="0"/>
        <v>ปกติ</v>
      </c>
      <c r="G25" s="132">
        <f>'19'!W12</f>
        <v>2</v>
      </c>
      <c r="H25" s="59" t="str">
        <f t="shared" si="1"/>
        <v>ปกติ</v>
      </c>
      <c r="I25" s="134">
        <f>'19'!W17</f>
        <v>2</v>
      </c>
      <c r="J25" s="59" t="str">
        <f t="shared" si="2"/>
        <v>ปกติ</v>
      </c>
      <c r="K25" s="134">
        <f>'19'!W22</f>
        <v>0</v>
      </c>
      <c r="L25" s="59" t="str">
        <f t="shared" si="3"/>
        <v>ปกติ</v>
      </c>
      <c r="M25" s="58">
        <f t="shared" si="4"/>
        <v>4</v>
      </c>
      <c r="N25" s="59" t="str">
        <f t="shared" si="5"/>
        <v>ปกติ</v>
      </c>
      <c r="O25" s="134">
        <f>'19'!W27</f>
        <v>0</v>
      </c>
      <c r="P25" s="60" t="str">
        <f t="shared" si="6"/>
        <v>ไม่มีจุดแข็ง</v>
      </c>
      <c r="Q25" s="134">
        <f>'19'!W37</f>
        <v>0</v>
      </c>
      <c r="R25" s="60" t="str">
        <f t="shared" si="7"/>
        <v>ปกติ</v>
      </c>
    </row>
    <row r="26" spans="1:18" ht="24" customHeight="1">
      <c r="A26" s="101">
        <v>20</v>
      </c>
      <c r="B26" s="100" t="str">
        <f>รายชื่อ!B20</f>
        <v>เด็กหญิง</v>
      </c>
      <c r="C26" s="112" t="str">
        <f>รายชื่อ!C20</f>
        <v>ธนัญภรณ์</v>
      </c>
      <c r="D26" s="113" t="str">
        <f>รายชื่อ!D20</f>
        <v>คำปลิว</v>
      </c>
      <c r="E26" s="132">
        <f>'20'!W7</f>
        <v>0</v>
      </c>
      <c r="F26" s="59" t="str">
        <f t="shared" si="0"/>
        <v>ปกติ</v>
      </c>
      <c r="G26" s="132">
        <f>'20'!W12</f>
        <v>0</v>
      </c>
      <c r="H26" s="59" t="str">
        <f t="shared" si="1"/>
        <v>ปกติ</v>
      </c>
      <c r="I26" s="134">
        <f>'20'!W17</f>
        <v>0</v>
      </c>
      <c r="J26" s="59" t="str">
        <f t="shared" si="2"/>
        <v>ปกติ</v>
      </c>
      <c r="K26" s="134">
        <f>'20'!W22</f>
        <v>0</v>
      </c>
      <c r="L26" s="59" t="str">
        <f t="shared" si="3"/>
        <v>ปกติ</v>
      </c>
      <c r="M26" s="58">
        <f t="shared" si="4"/>
        <v>0</v>
      </c>
      <c r="N26" s="59" t="str">
        <f t="shared" si="5"/>
        <v>ปกติ</v>
      </c>
      <c r="O26" s="134">
        <f>'20'!W27</f>
        <v>2</v>
      </c>
      <c r="P26" s="60" t="str">
        <f t="shared" si="6"/>
        <v>ไม่มีจุดแข็ง</v>
      </c>
      <c r="Q26" s="134">
        <f>'20'!W37</f>
        <v>0</v>
      </c>
      <c r="R26" s="60" t="str">
        <f t="shared" si="7"/>
        <v>ปกติ</v>
      </c>
    </row>
    <row r="27" spans="1:18" ht="24" customHeight="1">
      <c r="A27" s="101">
        <v>21</v>
      </c>
      <c r="B27" s="100" t="str">
        <f>รายชื่อ!B21</f>
        <v>เด็กหญิง</v>
      </c>
      <c r="C27" s="112" t="str">
        <f>รายชื่อ!C21</f>
        <v>กัญญารัตน์</v>
      </c>
      <c r="D27" s="113" t="str">
        <f>รายชื่อ!D21</f>
        <v>ผาเจริญ</v>
      </c>
      <c r="E27" s="132">
        <f>'21'!W7</f>
        <v>0</v>
      </c>
      <c r="F27" s="59" t="str">
        <f t="shared" si="0"/>
        <v>ปกติ</v>
      </c>
      <c r="G27" s="132">
        <f>'21'!W12</f>
        <v>2</v>
      </c>
      <c r="H27" s="59" t="str">
        <f t="shared" si="1"/>
        <v>ปกติ</v>
      </c>
      <c r="I27" s="134">
        <f>'21'!W17</f>
        <v>2</v>
      </c>
      <c r="J27" s="59" t="str">
        <f t="shared" si="2"/>
        <v>ปกติ</v>
      </c>
      <c r="K27" s="134">
        <f>'21'!W22</f>
        <v>0</v>
      </c>
      <c r="L27" s="59" t="str">
        <f t="shared" si="3"/>
        <v>ปกติ</v>
      </c>
      <c r="M27" s="58">
        <f t="shared" si="4"/>
        <v>4</v>
      </c>
      <c r="N27" s="59" t="str">
        <f t="shared" si="5"/>
        <v>ปกติ</v>
      </c>
      <c r="O27" s="134">
        <f>'21'!W27</f>
        <v>0</v>
      </c>
      <c r="P27" s="60" t="str">
        <f t="shared" si="6"/>
        <v>ไม่มีจุดแข็ง</v>
      </c>
      <c r="Q27" s="134">
        <f>'21'!W37</f>
        <v>0</v>
      </c>
      <c r="R27" s="60" t="str">
        <f t="shared" si="7"/>
        <v>ปกติ</v>
      </c>
    </row>
    <row r="28" spans="1:18" ht="24" customHeight="1">
      <c r="A28" s="101">
        <v>22</v>
      </c>
      <c r="B28" s="100" t="str">
        <f>รายชื่อ!B22</f>
        <v>เด็กหญิง</v>
      </c>
      <c r="C28" s="112" t="str">
        <f>รายชื่อ!C22</f>
        <v>ณหทัย</v>
      </c>
      <c r="D28" s="113" t="str">
        <f>รายชื่อ!D22</f>
        <v>แดงกองโค</v>
      </c>
      <c r="E28" s="132">
        <f>'22'!W7</f>
        <v>0</v>
      </c>
      <c r="F28" s="59" t="str">
        <f t="shared" si="0"/>
        <v>ปกติ</v>
      </c>
      <c r="G28" s="132">
        <f>'22'!W12</f>
        <v>2</v>
      </c>
      <c r="H28" s="59" t="str">
        <f t="shared" si="1"/>
        <v>ปกติ</v>
      </c>
      <c r="I28" s="134">
        <f>'22'!W17</f>
        <v>2</v>
      </c>
      <c r="J28" s="59" t="str">
        <f t="shared" si="2"/>
        <v>ปกติ</v>
      </c>
      <c r="K28" s="134">
        <f>'22'!W22</f>
        <v>0</v>
      </c>
      <c r="L28" s="59" t="str">
        <f t="shared" si="3"/>
        <v>ปกติ</v>
      </c>
      <c r="M28" s="58">
        <f t="shared" si="4"/>
        <v>4</v>
      </c>
      <c r="N28" s="59" t="str">
        <f t="shared" si="5"/>
        <v>ปกติ</v>
      </c>
      <c r="O28" s="134">
        <f>'22'!W27</f>
        <v>0</v>
      </c>
      <c r="P28" s="60" t="str">
        <f t="shared" si="6"/>
        <v>ไม่มีจุดแข็ง</v>
      </c>
      <c r="Q28" s="134">
        <f>'22'!W37</f>
        <v>0</v>
      </c>
      <c r="R28" s="60" t="str">
        <f t="shared" si="7"/>
        <v>ปกติ</v>
      </c>
    </row>
    <row r="29" spans="1:18" ht="24" customHeight="1">
      <c r="A29" s="101">
        <v>23</v>
      </c>
      <c r="B29" s="100" t="str">
        <f>รายชื่อ!B23</f>
        <v>เด็กหญิง</v>
      </c>
      <c r="C29" s="112" t="str">
        <f>รายชื่อ!C23</f>
        <v>อภิษฐา</v>
      </c>
      <c r="D29" s="113" t="str">
        <f>รายชื่อ!D23</f>
        <v>ชูชื่น</v>
      </c>
      <c r="E29" s="132">
        <f>'23'!W7</f>
        <v>0</v>
      </c>
      <c r="F29" s="59" t="str">
        <f t="shared" si="0"/>
        <v>ปกติ</v>
      </c>
      <c r="G29" s="132">
        <f>'23'!W12</f>
        <v>2</v>
      </c>
      <c r="H29" s="59" t="str">
        <f t="shared" si="1"/>
        <v>ปกติ</v>
      </c>
      <c r="I29" s="134">
        <f>'23'!W17</f>
        <v>2</v>
      </c>
      <c r="J29" s="59" t="str">
        <f t="shared" si="2"/>
        <v>ปกติ</v>
      </c>
      <c r="K29" s="134">
        <f>'23'!W22</f>
        <v>0</v>
      </c>
      <c r="L29" s="59" t="str">
        <f t="shared" si="3"/>
        <v>ปกติ</v>
      </c>
      <c r="M29" s="58">
        <f t="shared" si="4"/>
        <v>4</v>
      </c>
      <c r="N29" s="59" t="str">
        <f t="shared" si="5"/>
        <v>ปกติ</v>
      </c>
      <c r="O29" s="134">
        <f>'23'!W27</f>
        <v>0</v>
      </c>
      <c r="P29" s="60" t="str">
        <f t="shared" si="6"/>
        <v>ไม่มีจุดแข็ง</v>
      </c>
      <c r="Q29" s="134">
        <f>'23'!W37</f>
        <v>0</v>
      </c>
      <c r="R29" s="60" t="str">
        <f t="shared" si="7"/>
        <v>ปกติ</v>
      </c>
    </row>
    <row r="30" spans="1:18" ht="24" customHeight="1">
      <c r="A30" s="101">
        <v>24</v>
      </c>
      <c r="B30" s="100" t="str">
        <f>รายชื่อ!B24</f>
        <v>เด็กหญิง</v>
      </c>
      <c r="C30" s="112" t="str">
        <f>รายชื่อ!C24</f>
        <v>อภิษฎา</v>
      </c>
      <c r="D30" s="113" t="str">
        <f>รายชื่อ!D24</f>
        <v>โม่งเมือง</v>
      </c>
      <c r="E30" s="132">
        <f>'24'!W7</f>
        <v>0</v>
      </c>
      <c r="F30" s="59" t="str">
        <f t="shared" si="0"/>
        <v>ปกติ</v>
      </c>
      <c r="G30" s="132">
        <f>'24'!W12</f>
        <v>2</v>
      </c>
      <c r="H30" s="59" t="str">
        <f t="shared" si="1"/>
        <v>ปกติ</v>
      </c>
      <c r="I30" s="134">
        <f>'24'!W17</f>
        <v>0</v>
      </c>
      <c r="J30" s="59" t="str">
        <f t="shared" si="2"/>
        <v>ปกติ</v>
      </c>
      <c r="K30" s="134">
        <f>'24'!W22</f>
        <v>0</v>
      </c>
      <c r="L30" s="59" t="str">
        <f t="shared" si="3"/>
        <v>ปกติ</v>
      </c>
      <c r="M30" s="58">
        <f t="shared" si="4"/>
        <v>2</v>
      </c>
      <c r="N30" s="59" t="str">
        <f t="shared" si="5"/>
        <v>ปกติ</v>
      </c>
      <c r="O30" s="134">
        <f>'24'!W27</f>
        <v>0</v>
      </c>
      <c r="P30" s="60" t="str">
        <f t="shared" si="6"/>
        <v>ไม่มีจุดแข็ง</v>
      </c>
      <c r="Q30" s="134">
        <f>'24'!W37</f>
        <v>0</v>
      </c>
      <c r="R30" s="60" t="str">
        <f t="shared" si="7"/>
        <v>ปกติ</v>
      </c>
    </row>
    <row r="31" spans="1:18" ht="24" customHeight="1">
      <c r="A31" s="101">
        <v>25</v>
      </c>
      <c r="B31" s="100" t="str">
        <f>รายชื่อ!B25</f>
        <v>เด็กหญิง</v>
      </c>
      <c r="C31" s="112" t="str">
        <f>รายชื่อ!C25</f>
        <v>ณิชาพร</v>
      </c>
      <c r="D31" s="113" t="str">
        <f>รายชื่อ!D25</f>
        <v>โตเย็น</v>
      </c>
      <c r="E31" s="132">
        <f>'25'!W7</f>
        <v>0</v>
      </c>
      <c r="F31" s="59" t="str">
        <f t="shared" si="0"/>
        <v>ปกติ</v>
      </c>
      <c r="G31" s="132">
        <f>'25'!W12</f>
        <v>2</v>
      </c>
      <c r="H31" s="59" t="str">
        <f t="shared" si="1"/>
        <v>ปกติ</v>
      </c>
      <c r="I31" s="134">
        <f>'25'!W17</f>
        <v>2</v>
      </c>
      <c r="J31" s="59" t="str">
        <f t="shared" si="2"/>
        <v>ปกติ</v>
      </c>
      <c r="K31" s="134">
        <f>'25'!W22</f>
        <v>0</v>
      </c>
      <c r="L31" s="59" t="str">
        <f t="shared" si="3"/>
        <v>ปกติ</v>
      </c>
      <c r="M31" s="58">
        <f t="shared" si="4"/>
        <v>4</v>
      </c>
      <c r="N31" s="59" t="str">
        <f t="shared" si="5"/>
        <v>ปกติ</v>
      </c>
      <c r="O31" s="134">
        <f>'25'!W27</f>
        <v>0</v>
      </c>
      <c r="P31" s="60" t="str">
        <f t="shared" si="6"/>
        <v>ไม่มีจุดแข็ง</v>
      </c>
      <c r="Q31" s="134">
        <f>'25'!W37</f>
        <v>0</v>
      </c>
      <c r="R31" s="60" t="str">
        <f t="shared" si="7"/>
        <v>ปกติ</v>
      </c>
    </row>
    <row r="32" spans="1:18" ht="24" customHeight="1">
      <c r="A32" s="101">
        <v>26</v>
      </c>
      <c r="B32" s="100" t="str">
        <f>รายชื่อ!B26</f>
        <v>เด็กหญิง</v>
      </c>
      <c r="C32" s="112" t="str">
        <f>รายชื่อ!C26</f>
        <v>วาทการณ์</v>
      </c>
      <c r="D32" s="113" t="str">
        <f>รายชื่อ!D26</f>
        <v>อินดวง</v>
      </c>
      <c r="E32" s="132">
        <f>'26'!W7</f>
        <v>0</v>
      </c>
      <c r="F32" s="59" t="str">
        <f t="shared" si="0"/>
        <v>ปกติ</v>
      </c>
      <c r="G32" s="132">
        <f>'26'!W12</f>
        <v>2</v>
      </c>
      <c r="H32" s="59" t="str">
        <f t="shared" si="1"/>
        <v>ปกติ</v>
      </c>
      <c r="I32" s="134">
        <f>'26'!W17</f>
        <v>0</v>
      </c>
      <c r="J32" s="59" t="str">
        <f t="shared" si="2"/>
        <v>ปกติ</v>
      </c>
      <c r="K32" s="134">
        <f>'26'!W22</f>
        <v>0</v>
      </c>
      <c r="L32" s="59" t="str">
        <f t="shared" si="3"/>
        <v>ปกติ</v>
      </c>
      <c r="M32" s="58">
        <f t="shared" si="4"/>
        <v>2</v>
      </c>
      <c r="N32" s="59" t="str">
        <f t="shared" si="5"/>
        <v>ปกติ</v>
      </c>
      <c r="O32" s="134">
        <f>'26'!W27</f>
        <v>0</v>
      </c>
      <c r="P32" s="60" t="str">
        <f t="shared" si="6"/>
        <v>ไม่มีจุดแข็ง</v>
      </c>
      <c r="Q32" s="134">
        <f>'26'!W37</f>
        <v>0</v>
      </c>
      <c r="R32" s="60" t="str">
        <f t="shared" si="7"/>
        <v>ปกติ</v>
      </c>
    </row>
    <row r="33" spans="1:18" ht="24" customHeight="1">
      <c r="A33" s="101">
        <v>27</v>
      </c>
      <c r="B33" s="100" t="str">
        <f>รายชื่อ!B27</f>
        <v>เด็กหญิง</v>
      </c>
      <c r="C33" s="112" t="str">
        <f>รายชื่อ!C27</f>
        <v>ยิ่งลักษณ์</v>
      </c>
      <c r="D33" s="113" t="str">
        <f>รายชื่อ!D27</f>
        <v>ลักษณพิสุทธิ์</v>
      </c>
      <c r="E33" s="132">
        <f>'27'!W7</f>
        <v>0</v>
      </c>
      <c r="F33" s="59" t="str">
        <f t="shared" si="0"/>
        <v>ปกติ</v>
      </c>
      <c r="G33" s="132">
        <f>'27'!W12</f>
        <v>2</v>
      </c>
      <c r="H33" s="59" t="str">
        <f t="shared" si="1"/>
        <v>ปกติ</v>
      </c>
      <c r="I33" s="134">
        <f>'27'!W17</f>
        <v>0</v>
      </c>
      <c r="J33" s="59" t="str">
        <f t="shared" si="2"/>
        <v>ปกติ</v>
      </c>
      <c r="K33" s="134">
        <f>'27'!W22</f>
        <v>0</v>
      </c>
      <c r="L33" s="59" t="str">
        <f t="shared" si="3"/>
        <v>ปกติ</v>
      </c>
      <c r="M33" s="58">
        <f t="shared" si="4"/>
        <v>2</v>
      </c>
      <c r="N33" s="59" t="str">
        <f t="shared" si="5"/>
        <v>ปกติ</v>
      </c>
      <c r="O33" s="134">
        <f>'27'!W27</f>
        <v>0</v>
      </c>
      <c r="P33" s="60" t="str">
        <f t="shared" si="6"/>
        <v>ไม่มีจุดแข็ง</v>
      </c>
      <c r="Q33" s="134">
        <f>'27'!W37</f>
        <v>0</v>
      </c>
      <c r="R33" s="60" t="str">
        <f t="shared" si="7"/>
        <v>ปกติ</v>
      </c>
    </row>
    <row r="34" spans="1:18" ht="24" customHeight="1">
      <c r="A34" s="101">
        <v>28</v>
      </c>
      <c r="B34" s="100">
        <f>รายชื่อ!B28</f>
        <v>0</v>
      </c>
      <c r="C34" s="112">
        <f>รายชื่อ!C28</f>
        <v>0</v>
      </c>
      <c r="D34" s="113">
        <f>รายชื่อ!D28</f>
        <v>0</v>
      </c>
      <c r="E34" s="132">
        <f>'28'!W7</f>
        <v>0</v>
      </c>
      <c r="F34" s="59" t="str">
        <f t="shared" si="0"/>
        <v>ปกติ</v>
      </c>
      <c r="G34" s="132">
        <f>'28'!W12</f>
        <v>0</v>
      </c>
      <c r="H34" s="59" t="str">
        <f t="shared" si="1"/>
        <v>ปกติ</v>
      </c>
      <c r="I34" s="134">
        <f>'28'!W17</f>
        <v>0</v>
      </c>
      <c r="J34" s="59" t="str">
        <f t="shared" si="2"/>
        <v>ปกติ</v>
      </c>
      <c r="K34" s="134">
        <f>'28'!W22</f>
        <v>0</v>
      </c>
      <c r="L34" s="59" t="str">
        <f t="shared" si="3"/>
        <v>ปกติ</v>
      </c>
      <c r="M34" s="58">
        <f t="shared" si="4"/>
        <v>0</v>
      </c>
      <c r="N34" s="59" t="str">
        <f t="shared" si="5"/>
        <v>ปกติ</v>
      </c>
      <c r="O34" s="134">
        <f>'28'!W27</f>
        <v>0</v>
      </c>
      <c r="P34" s="60" t="str">
        <f t="shared" si="6"/>
        <v>ไม่มีจุดแข็ง</v>
      </c>
      <c r="Q34" s="134">
        <f>'28'!W37</f>
        <v>0</v>
      </c>
      <c r="R34" s="60" t="str">
        <f t="shared" si="7"/>
        <v>ปกติ</v>
      </c>
    </row>
    <row r="35" spans="1:18" ht="24" customHeight="1">
      <c r="A35" s="101">
        <v>29</v>
      </c>
      <c r="B35" s="100">
        <f>รายชื่อ!B29</f>
        <v>0</v>
      </c>
      <c r="C35" s="112">
        <f>รายชื่อ!C29</f>
        <v>0</v>
      </c>
      <c r="D35" s="113">
        <f>รายชื่อ!D29</f>
        <v>0</v>
      </c>
      <c r="E35" s="132">
        <f>'29'!W7</f>
        <v>0</v>
      </c>
      <c r="F35" s="59" t="str">
        <f t="shared" si="0"/>
        <v>ปกติ</v>
      </c>
      <c r="G35" s="132">
        <f>'29'!W12</f>
        <v>0</v>
      </c>
      <c r="H35" s="59" t="str">
        <f t="shared" si="1"/>
        <v>ปกติ</v>
      </c>
      <c r="I35" s="134">
        <f>'29'!W17</f>
        <v>0</v>
      </c>
      <c r="J35" s="59" t="str">
        <f t="shared" si="2"/>
        <v>ปกติ</v>
      </c>
      <c r="K35" s="134">
        <f>'29'!W22</f>
        <v>0</v>
      </c>
      <c r="L35" s="59" t="str">
        <f t="shared" si="3"/>
        <v>ปกติ</v>
      </c>
      <c r="M35" s="58">
        <f t="shared" si="4"/>
        <v>0</v>
      </c>
      <c r="N35" s="59" t="str">
        <f t="shared" si="5"/>
        <v>ปกติ</v>
      </c>
      <c r="O35" s="134">
        <f>'29'!W27</f>
        <v>0</v>
      </c>
      <c r="P35" s="60" t="str">
        <f t="shared" si="6"/>
        <v>ไม่มีจุดแข็ง</v>
      </c>
      <c r="Q35" s="134">
        <f>'29'!W37</f>
        <v>0</v>
      </c>
      <c r="R35" s="60" t="str">
        <f t="shared" si="7"/>
        <v>ปกติ</v>
      </c>
    </row>
    <row r="36" spans="1:18" ht="24" customHeight="1">
      <c r="A36" s="101">
        <v>30</v>
      </c>
      <c r="B36" s="100">
        <f>รายชื่อ!B30</f>
        <v>0</v>
      </c>
      <c r="C36" s="112">
        <f>รายชื่อ!C30</f>
        <v>0</v>
      </c>
      <c r="D36" s="113">
        <f>รายชื่อ!D30</f>
        <v>0</v>
      </c>
      <c r="E36" s="132">
        <f>'30'!W7</f>
        <v>0</v>
      </c>
      <c r="F36" s="59" t="str">
        <f t="shared" si="0"/>
        <v>ปกติ</v>
      </c>
      <c r="G36" s="132">
        <f>'30'!W12</f>
        <v>0</v>
      </c>
      <c r="H36" s="59" t="str">
        <f t="shared" si="1"/>
        <v>ปกติ</v>
      </c>
      <c r="I36" s="134">
        <f>'30'!W17</f>
        <v>0</v>
      </c>
      <c r="J36" s="59" t="str">
        <f t="shared" si="2"/>
        <v>ปกติ</v>
      </c>
      <c r="K36" s="134">
        <f>'30'!W22</f>
        <v>0</v>
      </c>
      <c r="L36" s="59" t="str">
        <f t="shared" si="3"/>
        <v>ปกติ</v>
      </c>
      <c r="M36" s="58">
        <f t="shared" si="4"/>
        <v>0</v>
      </c>
      <c r="N36" s="59" t="str">
        <f t="shared" si="5"/>
        <v>ปกติ</v>
      </c>
      <c r="O36" s="134">
        <f>'30'!W27</f>
        <v>0</v>
      </c>
      <c r="P36" s="60" t="str">
        <f t="shared" si="6"/>
        <v>ไม่มีจุดแข็ง</v>
      </c>
      <c r="Q36" s="134">
        <f>'30'!W37</f>
        <v>0</v>
      </c>
      <c r="R36" s="60" t="str">
        <f t="shared" si="7"/>
        <v>ปกติ</v>
      </c>
    </row>
    <row r="37" spans="1:18" ht="24" customHeight="1">
      <c r="A37" s="101">
        <v>31</v>
      </c>
      <c r="B37" s="100">
        <f>รายชื่อ!B31</f>
        <v>0</v>
      </c>
      <c r="C37" s="112">
        <f>รายชื่อ!C31</f>
        <v>0</v>
      </c>
      <c r="D37" s="113">
        <f>รายชื่อ!D31</f>
        <v>0</v>
      </c>
      <c r="E37" s="132">
        <f>'31'!W7</f>
        <v>0</v>
      </c>
      <c r="F37" s="59" t="str">
        <f t="shared" si="0"/>
        <v>ปกติ</v>
      </c>
      <c r="G37" s="132">
        <f>'31'!W12</f>
        <v>0</v>
      </c>
      <c r="H37" s="59" t="str">
        <f t="shared" si="1"/>
        <v>ปกติ</v>
      </c>
      <c r="I37" s="134">
        <f>'31'!W17</f>
        <v>0</v>
      </c>
      <c r="J37" s="59" t="str">
        <f t="shared" si="2"/>
        <v>ปกติ</v>
      </c>
      <c r="K37" s="134">
        <f>'31'!W22</f>
        <v>0</v>
      </c>
      <c r="L37" s="59" t="str">
        <f t="shared" si="3"/>
        <v>ปกติ</v>
      </c>
      <c r="M37" s="58">
        <f t="shared" si="4"/>
        <v>0</v>
      </c>
      <c r="N37" s="59" t="str">
        <f t="shared" si="5"/>
        <v>ปกติ</v>
      </c>
      <c r="O37" s="134">
        <f>'31'!W27</f>
        <v>0</v>
      </c>
      <c r="P37" s="60" t="str">
        <f t="shared" si="6"/>
        <v>ไม่มีจุดแข็ง</v>
      </c>
      <c r="Q37" s="134">
        <f>'31'!W37</f>
        <v>0</v>
      </c>
      <c r="R37" s="60" t="str">
        <f t="shared" si="7"/>
        <v>ปกติ</v>
      </c>
    </row>
    <row r="38" spans="1:18" ht="24" customHeight="1">
      <c r="A38" s="101">
        <v>32</v>
      </c>
      <c r="B38" s="100">
        <f>รายชื่อ!B32</f>
        <v>0</v>
      </c>
      <c r="C38" s="112">
        <f>รายชื่อ!C32</f>
        <v>0</v>
      </c>
      <c r="D38" s="113">
        <f>รายชื่อ!D32</f>
        <v>0</v>
      </c>
      <c r="E38" s="132">
        <f>'32'!W7</f>
        <v>0</v>
      </c>
      <c r="F38" s="59" t="str">
        <f t="shared" si="0"/>
        <v>ปกติ</v>
      </c>
      <c r="G38" s="132">
        <f>'32'!W12</f>
        <v>0</v>
      </c>
      <c r="H38" s="59" t="str">
        <f t="shared" si="1"/>
        <v>ปกติ</v>
      </c>
      <c r="I38" s="134">
        <f>'32'!W17</f>
        <v>0</v>
      </c>
      <c r="J38" s="59" t="str">
        <f t="shared" si="2"/>
        <v>ปกติ</v>
      </c>
      <c r="K38" s="134">
        <f>'32'!W22</f>
        <v>0</v>
      </c>
      <c r="L38" s="59" t="str">
        <f t="shared" si="3"/>
        <v>ปกติ</v>
      </c>
      <c r="M38" s="58">
        <f t="shared" si="4"/>
        <v>0</v>
      </c>
      <c r="N38" s="59" t="str">
        <f t="shared" si="5"/>
        <v>ปกติ</v>
      </c>
      <c r="O38" s="134">
        <f>'32'!W27</f>
        <v>0</v>
      </c>
      <c r="P38" s="60" t="str">
        <f t="shared" si="6"/>
        <v>ไม่มีจุดแข็ง</v>
      </c>
      <c r="Q38" s="134">
        <f>'32'!W37</f>
        <v>0</v>
      </c>
      <c r="R38" s="60" t="str">
        <f t="shared" si="7"/>
        <v>ปกติ</v>
      </c>
    </row>
    <row r="39" spans="1:18" ht="24" customHeight="1">
      <c r="A39" s="101">
        <v>33</v>
      </c>
      <c r="B39" s="100">
        <f>รายชื่อ!B33</f>
        <v>0</v>
      </c>
      <c r="C39" s="112">
        <f>รายชื่อ!C33</f>
        <v>0</v>
      </c>
      <c r="D39" s="113">
        <f>รายชื่อ!D33</f>
        <v>0</v>
      </c>
      <c r="E39" s="132">
        <f>'33'!W7</f>
        <v>0</v>
      </c>
      <c r="F39" s="59" t="str">
        <f t="shared" si="0"/>
        <v>ปกติ</v>
      </c>
      <c r="G39" s="132">
        <f>'33'!W12</f>
        <v>0</v>
      </c>
      <c r="H39" s="59" t="str">
        <f t="shared" si="1"/>
        <v>ปกติ</v>
      </c>
      <c r="I39" s="134">
        <f>'33'!W17</f>
        <v>0</v>
      </c>
      <c r="J39" s="59" t="str">
        <f t="shared" si="2"/>
        <v>ปกติ</v>
      </c>
      <c r="K39" s="134">
        <f>'33'!W22</f>
        <v>0</v>
      </c>
      <c r="L39" s="59" t="str">
        <f t="shared" si="3"/>
        <v>ปกติ</v>
      </c>
      <c r="M39" s="58">
        <f t="shared" si="4"/>
        <v>0</v>
      </c>
      <c r="N39" s="59" t="str">
        <f t="shared" si="5"/>
        <v>ปกติ</v>
      </c>
      <c r="O39" s="134">
        <f>'33'!W27</f>
        <v>0</v>
      </c>
      <c r="P39" s="60" t="str">
        <f t="shared" si="6"/>
        <v>ไม่มีจุดแข็ง</v>
      </c>
      <c r="Q39" s="134">
        <f>'33'!W37</f>
        <v>0</v>
      </c>
      <c r="R39" s="60" t="str">
        <f t="shared" si="7"/>
        <v>ปกติ</v>
      </c>
    </row>
    <row r="40" spans="1:18" ht="24" customHeight="1">
      <c r="A40" s="101">
        <v>34</v>
      </c>
      <c r="B40" s="100">
        <f>รายชื่อ!B34</f>
        <v>0</v>
      </c>
      <c r="C40" s="112">
        <f>รายชื่อ!C34</f>
        <v>0</v>
      </c>
      <c r="D40" s="113">
        <f>รายชื่อ!D34</f>
        <v>0</v>
      </c>
      <c r="E40" s="132">
        <f>'34'!W7</f>
        <v>0</v>
      </c>
      <c r="F40" s="59" t="str">
        <f t="shared" si="0"/>
        <v>ปกติ</v>
      </c>
      <c r="G40" s="132">
        <f>'34'!W12</f>
        <v>0</v>
      </c>
      <c r="H40" s="59" t="str">
        <f t="shared" si="1"/>
        <v>ปกติ</v>
      </c>
      <c r="I40" s="134">
        <f>'34'!W17</f>
        <v>0</v>
      </c>
      <c r="J40" s="59" t="str">
        <f t="shared" si="2"/>
        <v>ปกติ</v>
      </c>
      <c r="K40" s="134">
        <f>'34'!W22</f>
        <v>0</v>
      </c>
      <c r="L40" s="59" t="str">
        <f t="shared" si="3"/>
        <v>ปกติ</v>
      </c>
      <c r="M40" s="58">
        <f t="shared" si="4"/>
        <v>0</v>
      </c>
      <c r="N40" s="59" t="str">
        <f t="shared" si="5"/>
        <v>ปกติ</v>
      </c>
      <c r="O40" s="134">
        <f>'34'!W27</f>
        <v>0</v>
      </c>
      <c r="P40" s="60" t="str">
        <f t="shared" si="6"/>
        <v>ไม่มีจุดแข็ง</v>
      </c>
      <c r="Q40" s="134">
        <f>'34'!W37</f>
        <v>0</v>
      </c>
      <c r="R40" s="60" t="str">
        <f t="shared" si="7"/>
        <v>ปกติ</v>
      </c>
    </row>
    <row r="41" spans="1:18" ht="24" customHeight="1">
      <c r="A41" s="101">
        <v>35</v>
      </c>
      <c r="B41" s="100">
        <f>รายชื่อ!B35</f>
        <v>0</v>
      </c>
      <c r="C41" s="112">
        <f>รายชื่อ!C35</f>
        <v>0</v>
      </c>
      <c r="D41" s="113">
        <f>รายชื่อ!D35</f>
        <v>0</v>
      </c>
      <c r="E41" s="132">
        <f>'35'!W7</f>
        <v>0</v>
      </c>
      <c r="F41" s="59" t="str">
        <f t="shared" si="0"/>
        <v>ปกติ</v>
      </c>
      <c r="G41" s="132">
        <f>'35'!W12</f>
        <v>0</v>
      </c>
      <c r="H41" s="59" t="str">
        <f t="shared" si="1"/>
        <v>ปกติ</v>
      </c>
      <c r="I41" s="134">
        <f>'35'!W17</f>
        <v>0</v>
      </c>
      <c r="J41" s="59" t="str">
        <f t="shared" si="2"/>
        <v>ปกติ</v>
      </c>
      <c r="K41" s="134">
        <f>'35'!W22</f>
        <v>0</v>
      </c>
      <c r="L41" s="59" t="str">
        <f t="shared" si="3"/>
        <v>ปกติ</v>
      </c>
      <c r="M41" s="58">
        <f t="shared" si="4"/>
        <v>0</v>
      </c>
      <c r="N41" s="59" t="str">
        <f t="shared" si="5"/>
        <v>ปกติ</v>
      </c>
      <c r="O41" s="134">
        <f>'35'!W27</f>
        <v>0</v>
      </c>
      <c r="P41" s="60" t="str">
        <f t="shared" si="6"/>
        <v>ไม่มีจุดแข็ง</v>
      </c>
      <c r="Q41" s="134">
        <f>'35'!W37</f>
        <v>0</v>
      </c>
      <c r="R41" s="60" t="str">
        <f t="shared" si="7"/>
        <v>ปกติ</v>
      </c>
    </row>
    <row r="42" spans="1:18" ht="24" customHeight="1">
      <c r="A42" s="101">
        <v>36</v>
      </c>
      <c r="B42" s="100">
        <f>รายชื่อ!B36</f>
        <v>0</v>
      </c>
      <c r="C42" s="112">
        <f>รายชื่อ!C36</f>
        <v>0</v>
      </c>
      <c r="D42" s="113">
        <f>รายชื่อ!D36</f>
        <v>0</v>
      </c>
      <c r="E42" s="132">
        <f>'36'!W7</f>
        <v>0</v>
      </c>
      <c r="F42" s="59" t="str">
        <f t="shared" si="0"/>
        <v>ปกติ</v>
      </c>
      <c r="G42" s="132">
        <f>'36'!W12</f>
        <v>0</v>
      </c>
      <c r="H42" s="59" t="str">
        <f t="shared" si="1"/>
        <v>ปกติ</v>
      </c>
      <c r="I42" s="134">
        <f>'36'!W17</f>
        <v>0</v>
      </c>
      <c r="J42" s="59" t="str">
        <f t="shared" si="2"/>
        <v>ปกติ</v>
      </c>
      <c r="K42" s="134">
        <f>'36'!W22</f>
        <v>0</v>
      </c>
      <c r="L42" s="59" t="str">
        <f t="shared" si="3"/>
        <v>ปกติ</v>
      </c>
      <c r="M42" s="58">
        <f t="shared" si="4"/>
        <v>0</v>
      </c>
      <c r="N42" s="59" t="str">
        <f t="shared" si="5"/>
        <v>ปกติ</v>
      </c>
      <c r="O42" s="134">
        <f>'36'!W27</f>
        <v>0</v>
      </c>
      <c r="P42" s="60" t="str">
        <f t="shared" si="6"/>
        <v>ไม่มีจุดแข็ง</v>
      </c>
      <c r="Q42" s="134">
        <f>'36'!W37</f>
        <v>0</v>
      </c>
      <c r="R42" s="60" t="str">
        <f t="shared" si="7"/>
        <v>ปกติ</v>
      </c>
    </row>
    <row r="43" spans="1:18" ht="24" customHeight="1">
      <c r="A43" s="61">
        <v>37</v>
      </c>
      <c r="B43" s="100">
        <f>รายชื่อ!B37</f>
        <v>0</v>
      </c>
      <c r="C43" s="112">
        <f>รายชื่อ!C37</f>
        <v>0</v>
      </c>
      <c r="D43" s="113">
        <f>รายชื่อ!D37</f>
        <v>0</v>
      </c>
      <c r="E43" s="132">
        <f>'37'!W7</f>
        <v>0</v>
      </c>
      <c r="F43" s="59" t="str">
        <f t="shared" si="0"/>
        <v>ปกติ</v>
      </c>
      <c r="G43" s="132">
        <f>'37'!W12</f>
        <v>0</v>
      </c>
      <c r="H43" s="59" t="str">
        <f t="shared" si="1"/>
        <v>ปกติ</v>
      </c>
      <c r="I43" s="134">
        <f>'37'!W17</f>
        <v>0</v>
      </c>
      <c r="J43" s="59" t="str">
        <f t="shared" si="2"/>
        <v>ปกติ</v>
      </c>
      <c r="K43" s="134">
        <f>'37'!W22</f>
        <v>0</v>
      </c>
      <c r="L43" s="59" t="str">
        <f t="shared" si="3"/>
        <v>ปกติ</v>
      </c>
      <c r="M43" s="58">
        <f t="shared" si="4"/>
        <v>0</v>
      </c>
      <c r="N43" s="59" t="str">
        <f t="shared" si="5"/>
        <v>ปกติ</v>
      </c>
      <c r="O43" s="134">
        <f>'37'!W27</f>
        <v>0</v>
      </c>
      <c r="P43" s="60" t="str">
        <f t="shared" si="6"/>
        <v>ไม่มีจุดแข็ง</v>
      </c>
      <c r="Q43" s="134">
        <f>'37'!W37</f>
        <v>0</v>
      </c>
      <c r="R43" s="60" t="str">
        <f t="shared" si="7"/>
        <v>ปกติ</v>
      </c>
    </row>
    <row r="44" spans="1:18" ht="24" customHeight="1">
      <c r="A44" s="100">
        <v>38</v>
      </c>
      <c r="B44" s="100">
        <f>รายชื่อ!B38</f>
        <v>0</v>
      </c>
      <c r="C44" s="112">
        <f>รายชื่อ!C38</f>
        <v>0</v>
      </c>
      <c r="D44" s="113">
        <f>รายชื่อ!D38</f>
        <v>0</v>
      </c>
      <c r="E44" s="132">
        <f>'38'!W7</f>
        <v>0</v>
      </c>
      <c r="F44" s="59" t="str">
        <f t="shared" si="0"/>
        <v>ปกติ</v>
      </c>
      <c r="G44" s="132">
        <f>'38'!W12</f>
        <v>0</v>
      </c>
      <c r="H44" s="59" t="str">
        <f t="shared" si="1"/>
        <v>ปกติ</v>
      </c>
      <c r="I44" s="134">
        <f>'38'!W17</f>
        <v>0</v>
      </c>
      <c r="J44" s="59" t="str">
        <f t="shared" si="2"/>
        <v>ปกติ</v>
      </c>
      <c r="K44" s="134">
        <f>'38'!W22</f>
        <v>0</v>
      </c>
      <c r="L44" s="59" t="str">
        <f t="shared" si="3"/>
        <v>ปกติ</v>
      </c>
      <c r="M44" s="58">
        <f t="shared" si="4"/>
        <v>0</v>
      </c>
      <c r="N44" s="59" t="str">
        <f t="shared" si="5"/>
        <v>ปกติ</v>
      </c>
      <c r="O44" s="134">
        <f>'38'!W27</f>
        <v>0</v>
      </c>
      <c r="P44" s="60" t="str">
        <f t="shared" si="6"/>
        <v>ไม่มีจุดแข็ง</v>
      </c>
      <c r="Q44" s="134">
        <f>'38'!W37</f>
        <v>0</v>
      </c>
      <c r="R44" s="60" t="str">
        <f t="shared" si="7"/>
        <v>ปกติ</v>
      </c>
    </row>
    <row r="45" spans="1:18" ht="24" customHeight="1">
      <c r="A45" s="101">
        <v>39</v>
      </c>
      <c r="B45" s="100">
        <f>รายชื่อ!B39</f>
        <v>0</v>
      </c>
      <c r="C45" s="112">
        <f>รายชื่อ!C39</f>
        <v>0</v>
      </c>
      <c r="D45" s="113">
        <f>รายชื่อ!D39</f>
        <v>0</v>
      </c>
      <c r="E45" s="132">
        <f>'39'!W7</f>
        <v>0</v>
      </c>
      <c r="F45" s="59" t="str">
        <f t="shared" si="0"/>
        <v>ปกติ</v>
      </c>
      <c r="G45" s="132">
        <f>'39'!W12</f>
        <v>0</v>
      </c>
      <c r="H45" s="59" t="str">
        <f t="shared" si="1"/>
        <v>ปกติ</v>
      </c>
      <c r="I45" s="134">
        <f>'39'!W17</f>
        <v>0</v>
      </c>
      <c r="J45" s="59" t="str">
        <f t="shared" si="2"/>
        <v>ปกติ</v>
      </c>
      <c r="K45" s="134">
        <f>'39'!W22</f>
        <v>0</v>
      </c>
      <c r="L45" s="59" t="str">
        <f t="shared" si="3"/>
        <v>ปกติ</v>
      </c>
      <c r="M45" s="58">
        <f t="shared" si="4"/>
        <v>0</v>
      </c>
      <c r="N45" s="59" t="str">
        <f t="shared" si="5"/>
        <v>ปกติ</v>
      </c>
      <c r="O45" s="134">
        <f>'39'!W27</f>
        <v>0</v>
      </c>
      <c r="P45" s="60" t="str">
        <f t="shared" si="6"/>
        <v>ไม่มีจุดแข็ง</v>
      </c>
      <c r="Q45" s="134">
        <f>'39'!W37</f>
        <v>0</v>
      </c>
      <c r="R45" s="60" t="str">
        <f t="shared" si="7"/>
        <v>ปกติ</v>
      </c>
    </row>
    <row r="46" spans="1:18" ht="24" customHeight="1">
      <c r="A46" s="101">
        <v>40</v>
      </c>
      <c r="B46" s="100">
        <f>รายชื่อ!B40</f>
        <v>0</v>
      </c>
      <c r="C46" s="112">
        <f>รายชื่อ!C40</f>
        <v>0</v>
      </c>
      <c r="D46" s="113">
        <f>รายชื่อ!D40</f>
        <v>0</v>
      </c>
      <c r="E46" s="132">
        <f>'40'!W7</f>
        <v>0</v>
      </c>
      <c r="F46" s="59" t="str">
        <f t="shared" si="0"/>
        <v>ปกติ</v>
      </c>
      <c r="G46" s="132">
        <f>'40'!W12</f>
        <v>0</v>
      </c>
      <c r="H46" s="59" t="str">
        <f t="shared" si="1"/>
        <v>ปกติ</v>
      </c>
      <c r="I46" s="134">
        <f>'40'!W17</f>
        <v>0</v>
      </c>
      <c r="J46" s="59" t="str">
        <f t="shared" si="2"/>
        <v>ปกติ</v>
      </c>
      <c r="K46" s="134">
        <f>'40'!W22</f>
        <v>0</v>
      </c>
      <c r="L46" s="59" t="str">
        <f t="shared" si="3"/>
        <v>ปกติ</v>
      </c>
      <c r="M46" s="58">
        <f t="shared" si="4"/>
        <v>0</v>
      </c>
      <c r="N46" s="59" t="str">
        <f t="shared" si="5"/>
        <v>ปกติ</v>
      </c>
      <c r="O46" s="134">
        <f>'40'!W27</f>
        <v>0</v>
      </c>
      <c r="P46" s="60" t="str">
        <f t="shared" si="6"/>
        <v>ไม่มีจุดแข็ง</v>
      </c>
      <c r="Q46" s="134">
        <f>'40'!W37</f>
        <v>0</v>
      </c>
      <c r="R46" s="60" t="str">
        <f t="shared" si="7"/>
        <v>ปกติ</v>
      </c>
    </row>
    <row r="47" spans="1:18" ht="24" customHeight="1">
      <c r="D47" s="1"/>
      <c r="E47" s="135"/>
      <c r="G47" s="102"/>
      <c r="I47" s="133"/>
      <c r="K47" s="133"/>
      <c r="M47" s="1"/>
      <c r="O47" s="133"/>
      <c r="Q47" s="133"/>
    </row>
    <row r="48" spans="1:18" ht="24" customHeight="1">
      <c r="D48" s="1"/>
      <c r="E48" s="46"/>
      <c r="G48" s="1"/>
      <c r="I48" s="1"/>
      <c r="K48" s="1"/>
      <c r="M48" s="1"/>
      <c r="O48" s="1"/>
      <c r="Q48" s="1"/>
    </row>
    <row r="49" spans="5:5" s="1" customFormat="1" ht="24" customHeight="1">
      <c r="E49" s="46"/>
    </row>
    <row r="50" spans="5:5" s="1" customFormat="1" ht="24" customHeight="1">
      <c r="E50" s="46"/>
    </row>
    <row r="51" spans="5:5" s="1" customFormat="1" ht="24" customHeight="1">
      <c r="E51" s="46"/>
    </row>
    <row r="52" spans="5:5" s="1" customFormat="1" ht="24" customHeight="1">
      <c r="E52" s="46"/>
    </row>
    <row r="53" spans="5:5" s="1" customFormat="1" ht="24" customHeight="1">
      <c r="E53" s="46"/>
    </row>
    <row r="54" spans="5:5" s="1" customFormat="1" ht="24" customHeight="1">
      <c r="E54" s="46"/>
    </row>
    <row r="55" spans="5:5" s="1" customFormat="1" ht="24" customHeight="1">
      <c r="E55" s="46"/>
    </row>
    <row r="56" spans="5:5" s="1" customFormat="1" ht="24" customHeight="1">
      <c r="E56" s="46"/>
    </row>
    <row r="57" spans="5:5" s="1" customFormat="1" ht="24" customHeight="1">
      <c r="E57" s="46"/>
    </row>
    <row r="58" spans="5:5" s="1" customFormat="1" ht="24" customHeight="1">
      <c r="E58" s="46"/>
    </row>
    <row r="59" spans="5:5" s="1" customFormat="1" ht="24" customHeight="1">
      <c r="E59" s="46"/>
    </row>
    <row r="60" spans="5:5" s="1" customFormat="1" ht="24" customHeight="1">
      <c r="E60" s="46"/>
    </row>
    <row r="61" spans="5:5" s="1" customFormat="1" ht="24" customHeight="1">
      <c r="E61" s="46"/>
    </row>
    <row r="62" spans="5:5" s="1" customFormat="1" ht="24" customHeight="1">
      <c r="E62" s="46"/>
    </row>
    <row r="63" spans="5:5" s="1" customFormat="1" ht="24" customHeight="1">
      <c r="E63" s="46"/>
    </row>
    <row r="64" spans="5:5" s="1" customFormat="1" ht="24" customHeight="1">
      <c r="E64" s="46"/>
    </row>
    <row r="65" spans="5:5" s="1" customFormat="1" ht="24" customHeight="1">
      <c r="E65" s="46"/>
    </row>
    <row r="66" spans="5:5" s="1" customFormat="1" ht="24" customHeight="1">
      <c r="E66" s="46"/>
    </row>
    <row r="67" spans="5:5" s="1" customFormat="1" ht="24" customHeight="1">
      <c r="E67" s="46"/>
    </row>
    <row r="68" spans="5:5" s="1" customFormat="1" ht="24" customHeight="1">
      <c r="E68" s="46"/>
    </row>
    <row r="69" spans="5:5" s="1" customFormat="1" ht="24" customHeight="1">
      <c r="E69" s="46"/>
    </row>
    <row r="70" spans="5:5" s="1" customFormat="1" ht="24" customHeight="1">
      <c r="E70" s="46"/>
    </row>
    <row r="71" spans="5:5" s="1" customFormat="1" ht="24" customHeight="1">
      <c r="E71" s="46"/>
    </row>
    <row r="72" spans="5:5" s="1" customFormat="1" ht="24" customHeight="1">
      <c r="E72" s="46"/>
    </row>
    <row r="73" spans="5:5" s="1" customFormat="1" ht="24" customHeight="1">
      <c r="E73" s="46"/>
    </row>
    <row r="74" spans="5:5" s="1" customFormat="1" ht="24" customHeight="1">
      <c r="E74" s="46"/>
    </row>
    <row r="75" spans="5:5" s="1" customFormat="1" ht="24" customHeight="1">
      <c r="E75" s="46"/>
    </row>
    <row r="76" spans="5:5" s="1" customFormat="1" ht="24" customHeight="1">
      <c r="E76" s="46"/>
    </row>
    <row r="77" spans="5:5" s="1" customFormat="1" ht="24" customHeight="1">
      <c r="E77" s="46"/>
    </row>
    <row r="78" spans="5:5" s="1" customFormat="1" ht="24" customHeight="1">
      <c r="E78" s="46"/>
    </row>
    <row r="79" spans="5:5" s="1" customFormat="1" ht="24" customHeight="1">
      <c r="E79" s="46"/>
    </row>
    <row r="80" spans="5:5" s="1" customFormat="1" ht="24" customHeight="1">
      <c r="E80" s="46"/>
    </row>
    <row r="81" spans="5:5" s="1" customFormat="1" ht="24" customHeight="1">
      <c r="E81" s="46"/>
    </row>
    <row r="82" spans="5:5" s="1" customFormat="1" ht="24" customHeight="1">
      <c r="E82" s="46"/>
    </row>
    <row r="83" spans="5:5" s="1" customFormat="1" ht="24" customHeight="1">
      <c r="E83" s="46"/>
    </row>
    <row r="84" spans="5:5" s="1" customFormat="1" ht="24" customHeight="1">
      <c r="E84" s="46"/>
    </row>
    <row r="85" spans="5:5" s="1" customFormat="1" ht="24" customHeight="1">
      <c r="E85" s="46"/>
    </row>
    <row r="86" spans="5:5" s="1" customFormat="1" ht="24" customHeight="1">
      <c r="E86" s="46"/>
    </row>
    <row r="87" spans="5:5" s="1" customFormat="1" ht="24" customHeight="1">
      <c r="E87" s="46"/>
    </row>
    <row r="88" spans="5:5" s="1" customFormat="1" ht="24" customHeight="1">
      <c r="E88" s="46"/>
    </row>
    <row r="89" spans="5:5" s="1" customFormat="1" ht="24" customHeight="1">
      <c r="E89" s="46"/>
    </row>
    <row r="90" spans="5:5" s="1" customFormat="1" ht="24" customHeight="1">
      <c r="E90" s="46"/>
    </row>
    <row r="91" spans="5:5" s="1" customFormat="1" ht="24" customHeight="1">
      <c r="E91" s="46"/>
    </row>
    <row r="92" spans="5:5" s="1" customFormat="1" ht="24" customHeight="1">
      <c r="E92" s="46"/>
    </row>
    <row r="93" spans="5:5" s="1" customFormat="1" ht="24" customHeight="1">
      <c r="E93" s="46"/>
    </row>
    <row r="94" spans="5:5" s="1" customFormat="1" ht="24" customHeight="1">
      <c r="E94" s="46"/>
    </row>
    <row r="95" spans="5:5" s="1" customFormat="1" ht="24" customHeight="1">
      <c r="E95" s="46"/>
    </row>
    <row r="96" spans="5:5" s="1" customFormat="1" ht="24" customHeight="1">
      <c r="E96" s="46"/>
    </row>
    <row r="97" spans="5:5" s="1" customFormat="1" ht="24" customHeight="1">
      <c r="E97" s="46"/>
    </row>
    <row r="98" spans="5:5" s="1" customFormat="1" ht="24" customHeight="1">
      <c r="E98" s="46"/>
    </row>
    <row r="99" spans="5:5" s="1" customFormat="1" ht="24" customHeight="1">
      <c r="E99" s="46"/>
    </row>
    <row r="100" spans="5:5" s="1" customFormat="1" ht="24" customHeight="1">
      <c r="E100" s="46"/>
    </row>
    <row r="101" spans="5:5" s="1" customFormat="1" ht="24" customHeight="1">
      <c r="E101" s="46"/>
    </row>
    <row r="102" spans="5:5" s="1" customFormat="1" ht="24" customHeight="1">
      <c r="E102" s="46"/>
    </row>
    <row r="103" spans="5:5" s="1" customFormat="1" ht="24" customHeight="1">
      <c r="E103" s="46"/>
    </row>
    <row r="104" spans="5:5" s="1" customFormat="1" ht="24" customHeight="1">
      <c r="E104" s="46"/>
    </row>
    <row r="105" spans="5:5" s="1" customFormat="1" ht="24" customHeight="1">
      <c r="E105" s="46"/>
    </row>
    <row r="106" spans="5:5" s="1" customFormat="1" ht="24" customHeight="1">
      <c r="E106" s="46"/>
    </row>
    <row r="107" spans="5:5" s="1" customFormat="1" ht="24" customHeight="1">
      <c r="E107" s="46"/>
    </row>
    <row r="108" spans="5:5" s="1" customFormat="1" ht="24" customHeight="1">
      <c r="E108" s="46"/>
    </row>
    <row r="109" spans="5:5" s="1" customFormat="1" ht="24" customHeight="1">
      <c r="E109" s="46"/>
    </row>
    <row r="110" spans="5:5" s="1" customFormat="1" ht="24" customHeight="1">
      <c r="E110" s="46"/>
    </row>
    <row r="111" spans="5:5" s="1" customFormat="1" ht="24" customHeight="1">
      <c r="E111" s="46"/>
    </row>
    <row r="112" spans="5:5" s="1" customFormat="1" ht="24" customHeight="1">
      <c r="E112" s="46"/>
    </row>
    <row r="113" spans="5:5" s="1" customFormat="1" ht="24" customHeight="1">
      <c r="E113" s="46"/>
    </row>
    <row r="114" spans="5:5" s="1" customFormat="1" ht="24" customHeight="1">
      <c r="E114" s="46"/>
    </row>
    <row r="115" spans="5:5" s="1" customFormat="1" ht="24" customHeight="1">
      <c r="E115" s="46"/>
    </row>
    <row r="116" spans="5:5" s="1" customFormat="1" ht="24" customHeight="1">
      <c r="E116" s="46"/>
    </row>
    <row r="117" spans="5:5" s="1" customFormat="1" ht="24" customHeight="1">
      <c r="E117" s="46"/>
    </row>
    <row r="118" spans="5:5" s="1" customFormat="1" ht="24" customHeight="1">
      <c r="E118" s="46"/>
    </row>
    <row r="119" spans="5:5" s="1" customFormat="1" ht="24" customHeight="1">
      <c r="E119" s="46"/>
    </row>
    <row r="120" spans="5:5" s="1" customFormat="1" ht="24" customHeight="1">
      <c r="E120" s="46"/>
    </row>
    <row r="121" spans="5:5" s="1" customFormat="1" ht="24" customHeight="1">
      <c r="E121" s="46"/>
    </row>
    <row r="122" spans="5:5" s="1" customFormat="1" ht="24" customHeight="1">
      <c r="E122" s="46"/>
    </row>
    <row r="123" spans="5:5" s="1" customFormat="1" ht="24" customHeight="1">
      <c r="E123" s="46"/>
    </row>
    <row r="124" spans="5:5" s="1" customFormat="1" ht="24" customHeight="1">
      <c r="E124" s="46"/>
    </row>
    <row r="125" spans="5:5" s="1" customFormat="1" ht="24" customHeight="1">
      <c r="E125" s="46"/>
    </row>
    <row r="126" spans="5:5" s="1" customFormat="1" ht="24" customHeight="1">
      <c r="E126" s="46"/>
    </row>
    <row r="127" spans="5:5" s="1" customFormat="1" ht="24" customHeight="1">
      <c r="E127" s="46"/>
    </row>
    <row r="128" spans="5:5" s="1" customFormat="1" ht="24" customHeight="1">
      <c r="E128" s="46"/>
    </row>
    <row r="129" spans="5:5" s="1" customFormat="1" ht="24" customHeight="1">
      <c r="E129" s="46"/>
    </row>
    <row r="130" spans="5:5" s="1" customFormat="1" ht="24" customHeight="1">
      <c r="E130" s="46"/>
    </row>
    <row r="131" spans="5:5" s="1" customFormat="1" ht="24" customHeight="1">
      <c r="E131" s="46"/>
    </row>
    <row r="132" spans="5:5" s="1" customFormat="1" ht="24" customHeight="1">
      <c r="E132" s="46"/>
    </row>
    <row r="133" spans="5:5" s="1" customFormat="1" ht="24" customHeight="1">
      <c r="E133" s="46"/>
    </row>
    <row r="134" spans="5:5" s="1" customFormat="1" ht="24" customHeight="1">
      <c r="E134" s="46"/>
    </row>
    <row r="135" spans="5:5" s="1" customFormat="1" ht="24" customHeight="1">
      <c r="E135" s="46"/>
    </row>
    <row r="136" spans="5:5" s="1" customFormat="1" ht="24" customHeight="1">
      <c r="E136" s="46"/>
    </row>
    <row r="137" spans="5:5" s="1" customFormat="1" ht="24" customHeight="1">
      <c r="E137" s="46"/>
    </row>
    <row r="138" spans="5:5" s="1" customFormat="1" ht="24" customHeight="1">
      <c r="E138" s="46"/>
    </row>
    <row r="139" spans="5:5" s="1" customFormat="1" ht="24" customHeight="1">
      <c r="E139" s="46"/>
    </row>
    <row r="140" spans="5:5" s="1" customFormat="1" ht="24" customHeight="1">
      <c r="E140" s="46"/>
    </row>
    <row r="141" spans="5:5" s="1" customFormat="1" ht="24" customHeight="1">
      <c r="E141" s="46"/>
    </row>
    <row r="142" spans="5:5" s="1" customFormat="1" ht="24" customHeight="1">
      <c r="E142" s="46"/>
    </row>
    <row r="143" spans="5:5" s="1" customFormat="1" ht="24" customHeight="1">
      <c r="E143" s="46"/>
    </row>
    <row r="144" spans="5:5" s="1" customFormat="1" ht="24" customHeight="1">
      <c r="E144" s="46"/>
    </row>
    <row r="145" spans="5:5" s="1" customFormat="1" ht="24" customHeight="1">
      <c r="E145" s="46"/>
    </row>
    <row r="146" spans="5:5" s="1" customFormat="1" ht="24" customHeight="1">
      <c r="E146" s="46"/>
    </row>
    <row r="147" spans="5:5" s="1" customFormat="1" ht="24" customHeight="1">
      <c r="E147" s="46"/>
    </row>
    <row r="148" spans="5:5" s="1" customFormat="1" ht="24" customHeight="1">
      <c r="E148" s="46"/>
    </row>
    <row r="149" spans="5:5" s="1" customFormat="1" ht="24" customHeight="1">
      <c r="E149" s="46"/>
    </row>
    <row r="150" spans="5:5" s="1" customFormat="1" ht="24" customHeight="1">
      <c r="E150" s="46"/>
    </row>
    <row r="151" spans="5:5" s="1" customFormat="1" ht="24" customHeight="1">
      <c r="E151" s="46"/>
    </row>
    <row r="152" spans="5:5" s="1" customFormat="1" ht="24" customHeight="1">
      <c r="E152" s="46"/>
    </row>
    <row r="153" spans="5:5" s="1" customFormat="1" ht="24" customHeight="1">
      <c r="E153" s="46"/>
    </row>
    <row r="154" spans="5:5" s="1" customFormat="1" ht="24" customHeight="1">
      <c r="E154" s="46"/>
    </row>
    <row r="155" spans="5:5" s="1" customFormat="1" ht="24" customHeight="1">
      <c r="E155" s="46"/>
    </row>
    <row r="156" spans="5:5" s="1" customFormat="1" ht="24" customHeight="1">
      <c r="E156" s="46"/>
    </row>
    <row r="157" spans="5:5" s="1" customFormat="1" ht="24" customHeight="1">
      <c r="E157" s="46"/>
    </row>
    <row r="158" spans="5:5" s="1" customFormat="1" ht="24" customHeight="1">
      <c r="E158" s="46"/>
    </row>
    <row r="159" spans="5:5" s="1" customFormat="1" ht="24" customHeight="1">
      <c r="E159" s="46"/>
    </row>
    <row r="160" spans="5:5" s="1" customFormat="1" ht="24" customHeight="1">
      <c r="E160" s="46"/>
    </row>
    <row r="161" spans="5:5" s="1" customFormat="1" ht="24" customHeight="1">
      <c r="E161" s="46"/>
    </row>
    <row r="162" spans="5:5" s="1" customFormat="1" ht="24" customHeight="1">
      <c r="E162" s="46"/>
    </row>
    <row r="163" spans="5:5" s="1" customFormat="1" ht="24" customHeight="1">
      <c r="E163" s="46"/>
    </row>
    <row r="164" spans="5:5" s="1" customFormat="1" ht="24" customHeight="1">
      <c r="E164" s="46"/>
    </row>
    <row r="165" spans="5:5" s="1" customFormat="1" ht="24" customHeight="1">
      <c r="E165" s="46"/>
    </row>
    <row r="166" spans="5:5" s="1" customFormat="1" ht="24" customHeight="1">
      <c r="E166" s="46"/>
    </row>
    <row r="167" spans="5:5" s="1" customFormat="1" ht="24" customHeight="1">
      <c r="E167" s="46"/>
    </row>
    <row r="168" spans="5:5" s="1" customFormat="1" ht="24" customHeight="1">
      <c r="E168" s="46"/>
    </row>
    <row r="169" spans="5:5" s="1" customFormat="1" ht="24" customHeight="1">
      <c r="E169" s="46"/>
    </row>
    <row r="170" spans="5:5" s="1" customFormat="1" ht="24" customHeight="1">
      <c r="E170" s="46"/>
    </row>
    <row r="171" spans="5:5" s="1" customFormat="1" ht="24" customHeight="1">
      <c r="E171" s="46"/>
    </row>
    <row r="172" spans="5:5" s="1" customFormat="1" ht="24" customHeight="1">
      <c r="E172" s="46"/>
    </row>
    <row r="173" spans="5:5" s="1" customFormat="1" ht="24" customHeight="1">
      <c r="E173" s="46"/>
    </row>
    <row r="174" spans="5:5" s="1" customFormat="1" ht="24" customHeight="1">
      <c r="E174" s="46"/>
    </row>
    <row r="175" spans="5:5" s="1" customFormat="1" ht="24" customHeight="1">
      <c r="E175" s="46"/>
    </row>
    <row r="176" spans="5:5" s="1" customFormat="1" ht="24" customHeight="1">
      <c r="E176" s="46"/>
    </row>
    <row r="177" spans="5:5" s="1" customFormat="1" ht="24" customHeight="1">
      <c r="E177" s="46"/>
    </row>
    <row r="178" spans="5:5" s="1" customFormat="1" ht="24" customHeight="1">
      <c r="E178" s="46"/>
    </row>
    <row r="179" spans="5:5" s="1" customFormat="1" ht="24" customHeight="1">
      <c r="E179" s="46"/>
    </row>
    <row r="180" spans="5:5" s="1" customFormat="1" ht="24" customHeight="1">
      <c r="E180" s="46"/>
    </row>
    <row r="181" spans="5:5" s="1" customFormat="1" ht="24" customHeight="1">
      <c r="E181" s="46"/>
    </row>
    <row r="182" spans="5:5" s="1" customFormat="1" ht="24" customHeight="1">
      <c r="E182" s="46"/>
    </row>
    <row r="183" spans="5:5" s="1" customFormat="1" ht="24" customHeight="1">
      <c r="E183" s="46"/>
    </row>
    <row r="184" spans="5:5" s="1" customFormat="1" ht="24" customHeight="1">
      <c r="E184" s="46"/>
    </row>
    <row r="185" spans="5:5" s="1" customFormat="1" ht="24" customHeight="1">
      <c r="E185" s="46"/>
    </row>
    <row r="186" spans="5:5" s="1" customFormat="1" ht="24" customHeight="1">
      <c r="E186" s="46"/>
    </row>
    <row r="187" spans="5:5" s="1" customFormat="1" ht="24" customHeight="1">
      <c r="E187" s="46"/>
    </row>
    <row r="188" spans="5:5" s="1" customFormat="1" ht="24" customHeight="1">
      <c r="E188" s="46"/>
    </row>
    <row r="189" spans="5:5" s="1" customFormat="1" ht="24" customHeight="1">
      <c r="E189" s="46"/>
    </row>
    <row r="190" spans="5:5" s="1" customFormat="1" ht="24" customHeight="1">
      <c r="E190" s="46"/>
    </row>
    <row r="191" spans="5:5" s="1" customFormat="1" ht="24" customHeight="1">
      <c r="E191" s="46"/>
    </row>
    <row r="192" spans="5:5" s="1" customFormat="1" ht="24" customHeight="1">
      <c r="E192" s="46"/>
    </row>
    <row r="193" spans="5:5" s="1" customFormat="1" ht="24" customHeight="1">
      <c r="E193" s="46"/>
    </row>
    <row r="194" spans="5:5" s="1" customFormat="1" ht="24" customHeight="1">
      <c r="E194" s="46"/>
    </row>
    <row r="195" spans="5:5" s="1" customFormat="1" ht="24" customHeight="1">
      <c r="E195" s="46"/>
    </row>
    <row r="196" spans="5:5" s="1" customFormat="1" ht="24" customHeight="1">
      <c r="E196" s="46"/>
    </row>
    <row r="197" spans="5:5" s="1" customFormat="1" ht="24" customHeight="1">
      <c r="E197" s="46"/>
    </row>
    <row r="198" spans="5:5" s="1" customFormat="1" ht="24" customHeight="1">
      <c r="E198" s="46"/>
    </row>
    <row r="199" spans="5:5" s="1" customFormat="1" ht="24" customHeight="1">
      <c r="E199" s="46"/>
    </row>
    <row r="200" spans="5:5" s="1" customFormat="1" ht="24" customHeight="1">
      <c r="E200" s="46"/>
    </row>
    <row r="201" spans="5:5" s="1" customFormat="1" ht="24" customHeight="1">
      <c r="E201" s="46"/>
    </row>
    <row r="202" spans="5:5" s="1" customFormat="1" ht="24" customHeight="1">
      <c r="E202" s="46"/>
    </row>
    <row r="203" spans="5:5" s="1" customFormat="1" ht="24" customHeight="1">
      <c r="E203" s="46"/>
    </row>
    <row r="204" spans="5:5" s="1" customFormat="1" ht="24" customHeight="1">
      <c r="E204" s="46"/>
    </row>
    <row r="205" spans="5:5" s="1" customFormat="1" ht="24" customHeight="1">
      <c r="E205" s="46"/>
    </row>
    <row r="206" spans="5:5" s="1" customFormat="1" ht="24" customHeight="1">
      <c r="E206" s="46"/>
    </row>
    <row r="207" spans="5:5" s="1" customFormat="1" ht="24" customHeight="1">
      <c r="E207" s="46"/>
    </row>
    <row r="208" spans="5:5" s="1" customFormat="1" ht="24" customHeight="1">
      <c r="E208" s="46"/>
    </row>
    <row r="209" spans="5:5" s="1" customFormat="1" ht="24" customHeight="1">
      <c r="E209" s="46"/>
    </row>
    <row r="210" spans="5:5" s="1" customFormat="1" ht="24" customHeight="1">
      <c r="E210" s="46"/>
    </row>
    <row r="211" spans="5:5" s="1" customFormat="1" ht="24" customHeight="1">
      <c r="E211" s="46"/>
    </row>
    <row r="212" spans="5:5" s="1" customFormat="1" ht="24" customHeight="1">
      <c r="E212" s="46"/>
    </row>
    <row r="213" spans="5:5" s="1" customFormat="1" ht="24" customHeight="1">
      <c r="E213" s="46"/>
    </row>
    <row r="214" spans="5:5" s="1" customFormat="1" ht="24" customHeight="1">
      <c r="E214" s="46"/>
    </row>
    <row r="215" spans="5:5" s="1" customFormat="1" ht="24" customHeight="1">
      <c r="E215" s="46"/>
    </row>
    <row r="216" spans="5:5" s="1" customFormat="1" ht="24" customHeight="1">
      <c r="E216" s="46"/>
    </row>
    <row r="217" spans="5:5" s="1" customFormat="1" ht="24" customHeight="1">
      <c r="E217" s="46"/>
    </row>
    <row r="218" spans="5:5" s="1" customFormat="1" ht="24" customHeight="1">
      <c r="E218" s="46"/>
    </row>
    <row r="219" spans="5:5" s="1" customFormat="1" ht="24" customHeight="1">
      <c r="E219" s="46"/>
    </row>
    <row r="220" spans="5:5" s="1" customFormat="1" ht="24" customHeight="1">
      <c r="E220" s="46"/>
    </row>
    <row r="221" spans="5:5" s="1" customFormat="1" ht="24" customHeight="1">
      <c r="E221" s="46"/>
    </row>
    <row r="222" spans="5:5" s="1" customFormat="1" ht="24" customHeight="1">
      <c r="E222" s="46"/>
    </row>
    <row r="223" spans="5:5" s="1" customFormat="1" ht="24" customHeight="1">
      <c r="E223" s="46"/>
    </row>
    <row r="224" spans="5:5" s="1" customFormat="1" ht="24" customHeight="1">
      <c r="E224" s="46"/>
    </row>
    <row r="225" spans="5:5" s="1" customFormat="1" ht="24" customHeight="1">
      <c r="E225" s="46"/>
    </row>
    <row r="226" spans="5:5" s="1" customFormat="1" ht="24" customHeight="1">
      <c r="E226" s="46"/>
    </row>
    <row r="227" spans="5:5" s="1" customFormat="1" ht="24" customHeight="1">
      <c r="E227" s="46"/>
    </row>
    <row r="228" spans="5:5" s="1" customFormat="1" ht="24" customHeight="1">
      <c r="E228" s="46"/>
    </row>
    <row r="229" spans="5:5" s="1" customFormat="1" ht="24" customHeight="1">
      <c r="E229" s="46"/>
    </row>
    <row r="230" spans="5:5" s="1" customFormat="1" ht="24" customHeight="1">
      <c r="E230" s="46"/>
    </row>
    <row r="231" spans="5:5" s="1" customFormat="1" ht="24" customHeight="1">
      <c r="E231" s="46"/>
    </row>
    <row r="232" spans="5:5" s="1" customFormat="1" ht="24" customHeight="1">
      <c r="E232" s="46"/>
    </row>
    <row r="233" spans="5:5" s="1" customFormat="1" ht="24" customHeight="1">
      <c r="E233" s="46"/>
    </row>
    <row r="234" spans="5:5" s="1" customFormat="1" ht="24" customHeight="1">
      <c r="E234" s="46"/>
    </row>
    <row r="235" spans="5:5" s="1" customFormat="1" ht="24" customHeight="1">
      <c r="E235" s="46"/>
    </row>
    <row r="236" spans="5:5" s="1" customFormat="1" ht="24" customHeight="1">
      <c r="E236" s="46"/>
    </row>
    <row r="237" spans="5:5" s="1" customFormat="1" ht="24" customHeight="1">
      <c r="E237" s="46"/>
    </row>
    <row r="238" spans="5:5" s="1" customFormat="1" ht="24" customHeight="1">
      <c r="E238" s="46"/>
    </row>
    <row r="239" spans="5:5" s="1" customFormat="1" ht="24" customHeight="1">
      <c r="E239" s="46"/>
    </row>
    <row r="240" spans="5:5" s="1" customFormat="1" ht="24" customHeight="1">
      <c r="E240" s="46"/>
    </row>
    <row r="241" spans="5:5" s="1" customFormat="1" ht="24" customHeight="1">
      <c r="E241" s="46"/>
    </row>
    <row r="242" spans="5:5" s="1" customFormat="1" ht="24" customHeight="1">
      <c r="E242" s="46"/>
    </row>
    <row r="243" spans="5:5" s="1" customFormat="1" ht="24" customHeight="1">
      <c r="E243" s="46"/>
    </row>
    <row r="244" spans="5:5" s="1" customFormat="1" ht="24" customHeight="1">
      <c r="E244" s="46"/>
    </row>
    <row r="245" spans="5:5" s="1" customFormat="1" ht="24" customHeight="1">
      <c r="E245" s="46"/>
    </row>
    <row r="246" spans="5:5" s="1" customFormat="1" ht="24" customHeight="1">
      <c r="E246" s="46"/>
    </row>
    <row r="247" spans="5:5" s="1" customFormat="1" ht="24" customHeight="1">
      <c r="E247" s="46"/>
    </row>
    <row r="248" spans="5:5" s="1" customFormat="1" ht="24" customHeight="1">
      <c r="E248" s="46"/>
    </row>
    <row r="249" spans="5:5" s="1" customFormat="1" ht="24" customHeight="1">
      <c r="E249" s="46"/>
    </row>
    <row r="250" spans="5:5" s="1" customFormat="1" ht="24" customHeight="1">
      <c r="E250" s="46"/>
    </row>
    <row r="251" spans="5:5" s="1" customFormat="1" ht="24" customHeight="1">
      <c r="E251" s="46"/>
    </row>
    <row r="252" spans="5:5" s="1" customFormat="1" ht="24" customHeight="1">
      <c r="E252" s="46"/>
    </row>
    <row r="253" spans="5:5" s="1" customFormat="1" ht="24" customHeight="1">
      <c r="E253" s="46"/>
    </row>
    <row r="254" spans="5:5" s="1" customFormat="1" ht="24" customHeight="1">
      <c r="E254" s="46"/>
    </row>
    <row r="255" spans="5:5" s="1" customFormat="1" ht="24" customHeight="1">
      <c r="E255" s="46"/>
    </row>
    <row r="256" spans="5:5" s="1" customFormat="1" ht="24" customHeight="1">
      <c r="E256" s="46"/>
    </row>
    <row r="257" spans="5:5" s="1" customFormat="1" ht="24" customHeight="1">
      <c r="E257" s="46"/>
    </row>
    <row r="258" spans="5:5" s="1" customFormat="1" ht="24" customHeight="1">
      <c r="E258" s="46"/>
    </row>
    <row r="259" spans="5:5" s="1" customFormat="1" ht="24" customHeight="1">
      <c r="E259" s="46"/>
    </row>
    <row r="260" spans="5:5" s="1" customFormat="1" ht="24" customHeight="1">
      <c r="E260" s="46"/>
    </row>
    <row r="261" spans="5:5" s="1" customFormat="1" ht="24" customHeight="1">
      <c r="E261" s="46"/>
    </row>
    <row r="262" spans="5:5" s="1" customFormat="1" ht="24" customHeight="1">
      <c r="E262" s="46"/>
    </row>
    <row r="263" spans="5:5" s="1" customFormat="1" ht="24" customHeight="1">
      <c r="E263" s="46"/>
    </row>
    <row r="264" spans="5:5" s="1" customFormat="1" ht="24" customHeight="1">
      <c r="E264" s="46"/>
    </row>
    <row r="265" spans="5:5" s="1" customFormat="1" ht="24" customHeight="1">
      <c r="E265" s="46"/>
    </row>
    <row r="266" spans="5:5" s="1" customFormat="1" ht="24" customHeight="1">
      <c r="E266" s="46"/>
    </row>
    <row r="267" spans="5:5" s="1" customFormat="1" ht="24" customHeight="1">
      <c r="E267" s="46"/>
    </row>
    <row r="268" spans="5:5" s="1" customFormat="1" ht="24" customHeight="1">
      <c r="E268" s="46"/>
    </row>
    <row r="269" spans="5:5" s="1" customFormat="1" ht="24" customHeight="1">
      <c r="E269" s="46"/>
    </row>
    <row r="270" spans="5:5" s="1" customFormat="1" ht="24" customHeight="1">
      <c r="E270" s="46"/>
    </row>
    <row r="271" spans="5:5" s="1" customFormat="1" ht="24" customHeight="1">
      <c r="E271" s="46"/>
    </row>
    <row r="272" spans="5:5" s="1" customFormat="1" ht="24" customHeight="1">
      <c r="E272" s="46"/>
    </row>
    <row r="273" spans="5:5" s="1" customFormat="1" ht="24" customHeight="1">
      <c r="E273" s="46"/>
    </row>
    <row r="274" spans="5:5" s="1" customFormat="1" ht="24" customHeight="1">
      <c r="E274" s="46"/>
    </row>
    <row r="275" spans="5:5" s="1" customFormat="1" ht="24" customHeight="1">
      <c r="E275" s="46"/>
    </row>
    <row r="276" spans="5:5" s="1" customFormat="1" ht="24" customHeight="1">
      <c r="E276" s="46"/>
    </row>
    <row r="277" spans="5:5" s="1" customFormat="1" ht="24" customHeight="1">
      <c r="E277" s="46"/>
    </row>
    <row r="278" spans="5:5" s="1" customFormat="1" ht="24" customHeight="1">
      <c r="E278" s="46"/>
    </row>
    <row r="279" spans="5:5" s="1" customFormat="1" ht="24" customHeight="1">
      <c r="E279" s="46"/>
    </row>
    <row r="280" spans="5:5" s="1" customFormat="1" ht="24" customHeight="1">
      <c r="E280" s="46"/>
    </row>
    <row r="281" spans="5:5" s="1" customFormat="1" ht="24" customHeight="1">
      <c r="E281" s="46"/>
    </row>
    <row r="282" spans="5:5" s="1" customFormat="1" ht="24" customHeight="1">
      <c r="E282" s="46"/>
    </row>
    <row r="283" spans="5:5" s="1" customFormat="1" ht="24" customHeight="1">
      <c r="E283" s="46"/>
    </row>
    <row r="284" spans="5:5" s="1" customFormat="1" ht="24" customHeight="1">
      <c r="E284" s="46"/>
    </row>
    <row r="285" spans="5:5" s="1" customFormat="1" ht="24" customHeight="1">
      <c r="E285" s="46"/>
    </row>
    <row r="286" spans="5:5" s="1" customFormat="1" ht="24" customHeight="1">
      <c r="E286" s="46"/>
    </row>
    <row r="287" spans="5:5" s="1" customFormat="1" ht="24" customHeight="1">
      <c r="E287" s="46"/>
    </row>
    <row r="288" spans="5:5" s="1" customFormat="1" ht="24" customHeight="1">
      <c r="E288" s="46"/>
    </row>
    <row r="289" spans="5:5" s="1" customFormat="1" ht="24" customHeight="1">
      <c r="E289" s="46"/>
    </row>
    <row r="290" spans="5:5" s="1" customFormat="1" ht="24" customHeight="1">
      <c r="E290" s="46"/>
    </row>
    <row r="291" spans="5:5" s="1" customFormat="1" ht="24" customHeight="1">
      <c r="E291" s="46"/>
    </row>
    <row r="292" spans="5:5" s="1" customFormat="1" ht="24" customHeight="1">
      <c r="E292" s="46"/>
    </row>
    <row r="293" spans="5:5" s="1" customFormat="1" ht="24" customHeight="1">
      <c r="E293" s="46"/>
    </row>
    <row r="294" spans="5:5" s="1" customFormat="1" ht="24" customHeight="1">
      <c r="E294" s="46"/>
    </row>
    <row r="295" spans="5:5" s="1" customFormat="1" ht="24" customHeight="1">
      <c r="E295" s="46"/>
    </row>
    <row r="296" spans="5:5" s="1" customFormat="1" ht="24" customHeight="1">
      <c r="E296" s="46"/>
    </row>
    <row r="297" spans="5:5" s="1" customFormat="1" ht="24" customHeight="1">
      <c r="E297" s="46"/>
    </row>
    <row r="298" spans="5:5" s="1" customFormat="1" ht="24" customHeight="1">
      <c r="E298" s="46"/>
    </row>
    <row r="299" spans="5:5" s="1" customFormat="1" ht="24" customHeight="1">
      <c r="E299" s="46"/>
    </row>
    <row r="300" spans="5:5" s="1" customFormat="1" ht="24" customHeight="1">
      <c r="E300" s="46"/>
    </row>
    <row r="301" spans="5:5" s="1" customFormat="1" ht="24" customHeight="1">
      <c r="E301" s="46"/>
    </row>
    <row r="302" spans="5:5" s="1" customFormat="1" ht="24" customHeight="1">
      <c r="E302" s="46"/>
    </row>
    <row r="303" spans="5:5" s="1" customFormat="1" ht="24" customHeight="1">
      <c r="E303" s="46"/>
    </row>
    <row r="304" spans="5:5" s="1" customFormat="1" ht="24" customHeight="1">
      <c r="E304" s="46"/>
    </row>
    <row r="305" spans="5:5" s="1" customFormat="1" ht="24" customHeight="1">
      <c r="E305" s="46"/>
    </row>
    <row r="306" spans="5:5" s="1" customFormat="1" ht="24" customHeight="1">
      <c r="E306" s="46"/>
    </row>
    <row r="307" spans="5:5" s="1" customFormat="1" ht="24" customHeight="1">
      <c r="E307" s="46"/>
    </row>
    <row r="308" spans="5:5" s="1" customFormat="1" ht="24" customHeight="1">
      <c r="E308" s="46"/>
    </row>
    <row r="309" spans="5:5" s="1" customFormat="1" ht="24" customHeight="1">
      <c r="E309" s="46"/>
    </row>
    <row r="310" spans="5:5" s="1" customFormat="1" ht="24" customHeight="1">
      <c r="E310" s="46"/>
    </row>
    <row r="311" spans="5:5" s="1" customFormat="1" ht="24" customHeight="1">
      <c r="E311" s="46"/>
    </row>
    <row r="312" spans="5:5" s="1" customFormat="1" ht="24" customHeight="1">
      <c r="E312" s="46"/>
    </row>
    <row r="313" spans="5:5" s="1" customFormat="1" ht="24" customHeight="1">
      <c r="E313" s="46"/>
    </row>
    <row r="314" spans="5:5" s="1" customFormat="1" ht="24" customHeight="1">
      <c r="E314" s="46"/>
    </row>
    <row r="315" spans="5:5" s="1" customFormat="1" ht="24" customHeight="1">
      <c r="E315" s="46"/>
    </row>
    <row r="316" spans="5:5" s="1" customFormat="1" ht="24" customHeight="1">
      <c r="E316" s="46"/>
    </row>
    <row r="317" spans="5:5" s="1" customFormat="1" ht="24" customHeight="1">
      <c r="E317" s="46"/>
    </row>
    <row r="318" spans="5:5" s="1" customFormat="1" ht="24" customHeight="1">
      <c r="E318" s="46"/>
    </row>
    <row r="319" spans="5:5" s="1" customFormat="1" ht="24" customHeight="1">
      <c r="E319" s="46"/>
    </row>
    <row r="320" spans="5:5" s="1" customFormat="1" ht="24" customHeight="1">
      <c r="E320" s="46"/>
    </row>
    <row r="321" spans="5:5" s="1" customFormat="1" ht="24" customHeight="1">
      <c r="E321" s="46"/>
    </row>
    <row r="322" spans="5:5" s="1" customFormat="1" ht="24" customHeight="1">
      <c r="E322" s="46"/>
    </row>
    <row r="323" spans="5:5" s="1" customFormat="1" ht="24" customHeight="1">
      <c r="E323" s="46"/>
    </row>
    <row r="324" spans="5:5" s="1" customFormat="1" ht="24" customHeight="1">
      <c r="E324" s="46"/>
    </row>
    <row r="325" spans="5:5" s="1" customFormat="1" ht="24" customHeight="1">
      <c r="E325" s="46"/>
    </row>
    <row r="326" spans="5:5" s="1" customFormat="1" ht="24" customHeight="1">
      <c r="E326" s="46"/>
    </row>
    <row r="327" spans="5:5" s="1" customFormat="1" ht="24" customHeight="1">
      <c r="E327" s="46"/>
    </row>
    <row r="328" spans="5:5" s="1" customFormat="1" ht="24" customHeight="1">
      <c r="E328" s="46"/>
    </row>
    <row r="329" spans="5:5" s="1" customFormat="1" ht="24" customHeight="1">
      <c r="E329" s="46"/>
    </row>
    <row r="330" spans="5:5" s="1" customFormat="1" ht="24" customHeight="1">
      <c r="E330" s="46"/>
    </row>
    <row r="331" spans="5:5" s="1" customFormat="1" ht="24" customHeight="1">
      <c r="E331" s="46"/>
    </row>
    <row r="332" spans="5:5" s="1" customFormat="1" ht="24" customHeight="1">
      <c r="E332" s="46"/>
    </row>
    <row r="333" spans="5:5" s="1" customFormat="1" ht="24" customHeight="1">
      <c r="E333" s="46"/>
    </row>
    <row r="334" spans="5:5" s="1" customFormat="1" ht="24" customHeight="1">
      <c r="E334" s="46"/>
    </row>
    <row r="335" spans="5:5" s="1" customFormat="1" ht="24" customHeight="1">
      <c r="E335" s="46"/>
    </row>
    <row r="336" spans="5:5" s="1" customFormat="1" ht="24" customHeight="1">
      <c r="E336" s="46"/>
    </row>
    <row r="337" spans="5:5" s="1" customFormat="1" ht="24" customHeight="1">
      <c r="E337" s="46"/>
    </row>
    <row r="338" spans="5:5" s="1" customFormat="1" ht="24" customHeight="1">
      <c r="E338" s="46"/>
    </row>
    <row r="339" spans="5:5" s="1" customFormat="1" ht="24" customHeight="1">
      <c r="E339" s="46"/>
    </row>
    <row r="340" spans="5:5" s="1" customFormat="1" ht="24" customHeight="1">
      <c r="E340" s="46"/>
    </row>
    <row r="341" spans="5:5" s="1" customFormat="1" ht="24" customHeight="1">
      <c r="E341" s="46"/>
    </row>
    <row r="342" spans="5:5" s="1" customFormat="1" ht="24" customHeight="1">
      <c r="E342" s="46"/>
    </row>
    <row r="343" spans="5:5" s="1" customFormat="1" ht="24" customHeight="1">
      <c r="E343" s="46"/>
    </row>
    <row r="344" spans="5:5" s="1" customFormat="1" ht="24" customHeight="1">
      <c r="E344" s="46"/>
    </row>
    <row r="345" spans="5:5" s="1" customFormat="1" ht="24" customHeight="1">
      <c r="E345" s="46"/>
    </row>
    <row r="346" spans="5:5" s="1" customFormat="1" ht="24" customHeight="1">
      <c r="E346" s="46"/>
    </row>
    <row r="347" spans="5:5" s="1" customFormat="1" ht="24" customHeight="1">
      <c r="E347" s="46"/>
    </row>
    <row r="348" spans="5:5" s="1" customFormat="1" ht="24" customHeight="1">
      <c r="E348" s="46"/>
    </row>
    <row r="349" spans="5:5" s="1" customFormat="1" ht="24" customHeight="1">
      <c r="E349" s="46"/>
    </row>
    <row r="350" spans="5:5" s="1" customFormat="1" ht="24" customHeight="1">
      <c r="E350" s="46"/>
    </row>
    <row r="351" spans="5:5" s="1" customFormat="1" ht="24" customHeight="1">
      <c r="E351" s="46"/>
    </row>
    <row r="352" spans="5:5" s="1" customFormat="1" ht="24" customHeight="1">
      <c r="E352" s="46"/>
    </row>
    <row r="353" spans="5:5" s="1" customFormat="1" ht="24" customHeight="1">
      <c r="E353" s="46"/>
    </row>
    <row r="354" spans="5:5" s="1" customFormat="1" ht="24" customHeight="1">
      <c r="E354" s="46"/>
    </row>
    <row r="355" spans="5:5" s="1" customFormat="1" ht="24" customHeight="1">
      <c r="E355" s="46"/>
    </row>
    <row r="356" spans="5:5" s="1" customFormat="1" ht="24" customHeight="1">
      <c r="E356" s="46"/>
    </row>
    <row r="357" spans="5:5" s="1" customFormat="1" ht="24" customHeight="1">
      <c r="E357" s="46"/>
    </row>
    <row r="358" spans="5:5" s="1" customFormat="1" ht="24" customHeight="1">
      <c r="E358" s="46"/>
    </row>
    <row r="359" spans="5:5" s="1" customFormat="1" ht="24" customHeight="1">
      <c r="E359" s="46"/>
    </row>
    <row r="360" spans="5:5" s="1" customFormat="1" ht="24" customHeight="1">
      <c r="E360" s="46"/>
    </row>
    <row r="361" spans="5:5" s="1" customFormat="1" ht="24" customHeight="1">
      <c r="E361" s="46"/>
    </row>
    <row r="362" spans="5:5" s="1" customFormat="1" ht="24" customHeight="1">
      <c r="E362" s="46"/>
    </row>
    <row r="363" spans="5:5" s="1" customFormat="1" ht="24" customHeight="1">
      <c r="E363" s="46"/>
    </row>
    <row r="364" spans="5:5" s="1" customFormat="1" ht="24" customHeight="1">
      <c r="E364" s="46"/>
    </row>
    <row r="365" spans="5:5" s="1" customFormat="1" ht="24" customHeight="1">
      <c r="E365" s="46"/>
    </row>
    <row r="366" spans="5:5" s="1" customFormat="1" ht="24" customHeight="1">
      <c r="E366" s="46"/>
    </row>
    <row r="367" spans="5:5" s="1" customFormat="1" ht="24" customHeight="1">
      <c r="E367" s="46"/>
    </row>
    <row r="368" spans="5:5" s="1" customFormat="1" ht="24" customHeight="1">
      <c r="E368" s="46"/>
    </row>
    <row r="369" spans="5:5" s="1" customFormat="1" ht="24" customHeight="1">
      <c r="E369" s="46"/>
    </row>
    <row r="370" spans="5:5" s="1" customFormat="1" ht="24" customHeight="1">
      <c r="E370" s="46"/>
    </row>
    <row r="371" spans="5:5" s="1" customFormat="1" ht="24" customHeight="1">
      <c r="E371" s="46"/>
    </row>
    <row r="372" spans="5:5" s="1" customFormat="1" ht="24" customHeight="1">
      <c r="E372" s="46"/>
    </row>
    <row r="373" spans="5:5" s="1" customFormat="1" ht="24" customHeight="1">
      <c r="E373" s="46"/>
    </row>
    <row r="374" spans="5:5" s="1" customFormat="1" ht="24" customHeight="1">
      <c r="E374" s="46"/>
    </row>
    <row r="375" spans="5:5" s="1" customFormat="1" ht="24" customHeight="1">
      <c r="E375" s="46"/>
    </row>
    <row r="376" spans="5:5" s="1" customFormat="1" ht="24" customHeight="1">
      <c r="E376" s="46"/>
    </row>
    <row r="377" spans="5:5" s="1" customFormat="1" ht="24" customHeight="1">
      <c r="E377" s="46"/>
    </row>
    <row r="378" spans="5:5" s="1" customFormat="1" ht="24" customHeight="1">
      <c r="E378" s="46"/>
    </row>
    <row r="379" spans="5:5" s="1" customFormat="1" ht="24" customHeight="1">
      <c r="E379" s="46"/>
    </row>
    <row r="380" spans="5:5" s="1" customFormat="1" ht="24" customHeight="1">
      <c r="E380" s="46"/>
    </row>
    <row r="381" spans="5:5" s="1" customFormat="1" ht="24" customHeight="1">
      <c r="E381" s="46"/>
    </row>
    <row r="382" spans="5:5" s="1" customFormat="1" ht="24" customHeight="1">
      <c r="E382" s="46"/>
    </row>
    <row r="383" spans="5:5" s="1" customFormat="1" ht="24" customHeight="1">
      <c r="E383" s="46"/>
    </row>
    <row r="384" spans="5:5" s="1" customFormat="1" ht="24" customHeight="1">
      <c r="E384" s="46"/>
    </row>
    <row r="385" spans="5:5" s="1" customFormat="1" ht="24" customHeight="1">
      <c r="E385" s="46"/>
    </row>
    <row r="386" spans="5:5" s="1" customFormat="1" ht="24" customHeight="1">
      <c r="E386" s="46"/>
    </row>
    <row r="387" spans="5:5" s="1" customFormat="1" ht="24" customHeight="1">
      <c r="E387" s="46"/>
    </row>
    <row r="388" spans="5:5" s="1" customFormat="1" ht="24" customHeight="1">
      <c r="E388" s="46"/>
    </row>
    <row r="389" spans="5:5" s="1" customFormat="1" ht="24" customHeight="1">
      <c r="E389" s="46"/>
    </row>
    <row r="390" spans="5:5" s="1" customFormat="1" ht="24" customHeight="1">
      <c r="E390" s="46"/>
    </row>
    <row r="391" spans="5:5" s="1" customFormat="1" ht="24" customHeight="1">
      <c r="E391" s="46"/>
    </row>
    <row r="392" spans="5:5" s="1" customFormat="1" ht="24" customHeight="1">
      <c r="E392" s="46"/>
    </row>
    <row r="393" spans="5:5" s="1" customFormat="1" ht="24" customHeight="1">
      <c r="E393" s="46"/>
    </row>
    <row r="394" spans="5:5" s="1" customFormat="1" ht="24" customHeight="1">
      <c r="E394" s="46"/>
    </row>
    <row r="395" spans="5:5" s="1" customFormat="1" ht="24" customHeight="1">
      <c r="E395" s="46"/>
    </row>
    <row r="396" spans="5:5" s="1" customFormat="1" ht="24" customHeight="1">
      <c r="E396" s="46"/>
    </row>
    <row r="397" spans="5:5" s="1" customFormat="1" ht="24" customHeight="1">
      <c r="E397" s="46"/>
    </row>
    <row r="398" spans="5:5" s="1" customFormat="1" ht="24" customHeight="1">
      <c r="E398" s="46"/>
    </row>
    <row r="399" spans="5:5" s="1" customFormat="1" ht="24" customHeight="1">
      <c r="E399" s="46"/>
    </row>
    <row r="400" spans="5:5" s="1" customFormat="1" ht="24" customHeight="1">
      <c r="E400" s="46"/>
    </row>
    <row r="401" spans="5:5" s="1" customFormat="1" ht="24" customHeight="1">
      <c r="E401" s="46"/>
    </row>
    <row r="402" spans="5:5" s="1" customFormat="1" ht="24" customHeight="1">
      <c r="E402" s="46"/>
    </row>
    <row r="403" spans="5:5" s="1" customFormat="1" ht="24" customHeight="1">
      <c r="E403" s="46"/>
    </row>
    <row r="404" spans="5:5" s="1" customFormat="1" ht="24" customHeight="1">
      <c r="E404" s="46"/>
    </row>
    <row r="405" spans="5:5" s="1" customFormat="1" ht="24" customHeight="1">
      <c r="E405" s="46"/>
    </row>
    <row r="406" spans="5:5" s="1" customFormat="1" ht="24" customHeight="1">
      <c r="E406" s="46"/>
    </row>
    <row r="407" spans="5:5" s="1" customFormat="1" ht="24" customHeight="1">
      <c r="E407" s="46"/>
    </row>
    <row r="408" spans="5:5" s="1" customFormat="1" ht="24" customHeight="1">
      <c r="E408" s="46"/>
    </row>
    <row r="409" spans="5:5" s="1" customFormat="1" ht="24" customHeight="1">
      <c r="E409" s="46"/>
    </row>
    <row r="410" spans="5:5" s="1" customFormat="1" ht="24" customHeight="1">
      <c r="E410" s="46"/>
    </row>
    <row r="411" spans="5:5" s="1" customFormat="1" ht="24" customHeight="1">
      <c r="E411" s="46"/>
    </row>
    <row r="412" spans="5:5" s="1" customFormat="1" ht="24" customHeight="1">
      <c r="E412" s="46"/>
    </row>
    <row r="413" spans="5:5" s="1" customFormat="1" ht="24" customHeight="1">
      <c r="E413" s="46"/>
    </row>
    <row r="414" spans="5:5" s="1" customFormat="1" ht="24" customHeight="1">
      <c r="E414" s="46"/>
    </row>
    <row r="415" spans="5:5" s="1" customFormat="1" ht="24" customHeight="1">
      <c r="E415" s="46"/>
    </row>
    <row r="416" spans="5:5" s="1" customFormat="1" ht="24" customHeight="1">
      <c r="E416" s="46"/>
    </row>
    <row r="417" spans="5:5" s="1" customFormat="1" ht="24" customHeight="1">
      <c r="E417" s="46"/>
    </row>
    <row r="418" spans="5:5" s="1" customFormat="1" ht="24" customHeight="1">
      <c r="E418" s="46"/>
    </row>
    <row r="419" spans="5:5" s="1" customFormat="1" ht="24" customHeight="1">
      <c r="E419" s="46"/>
    </row>
    <row r="420" spans="5:5" s="1" customFormat="1" ht="24" customHeight="1">
      <c r="E420" s="46"/>
    </row>
    <row r="421" spans="5:5" s="1" customFormat="1" ht="24" customHeight="1">
      <c r="E421" s="46"/>
    </row>
    <row r="422" spans="5:5" s="1" customFormat="1" ht="24" customHeight="1">
      <c r="E422" s="46"/>
    </row>
    <row r="423" spans="5:5" s="1" customFormat="1" ht="24" customHeight="1">
      <c r="E423" s="46"/>
    </row>
    <row r="424" spans="5:5" s="1" customFormat="1" ht="24" customHeight="1">
      <c r="E424" s="46"/>
    </row>
    <row r="425" spans="5:5" s="1" customFormat="1" ht="24" customHeight="1">
      <c r="E425" s="46"/>
    </row>
    <row r="426" spans="5:5" s="1" customFormat="1" ht="24" customHeight="1">
      <c r="E426" s="46"/>
    </row>
    <row r="427" spans="5:5" s="1" customFormat="1" ht="24" customHeight="1">
      <c r="E427" s="46"/>
    </row>
    <row r="428" spans="5:5" s="1" customFormat="1" ht="24" customHeight="1">
      <c r="E428" s="46"/>
    </row>
    <row r="429" spans="5:5" s="1" customFormat="1" ht="24" customHeight="1">
      <c r="E429" s="46"/>
    </row>
    <row r="430" spans="5:5" s="1" customFormat="1" ht="24" customHeight="1">
      <c r="E430" s="46"/>
    </row>
    <row r="431" spans="5:5" s="1" customFormat="1" ht="24" customHeight="1">
      <c r="E431" s="46"/>
    </row>
    <row r="432" spans="5:5" s="1" customFormat="1" ht="24" customHeight="1">
      <c r="E432" s="46"/>
    </row>
    <row r="433" spans="5:5" s="1" customFormat="1" ht="24" customHeight="1">
      <c r="E433" s="46"/>
    </row>
    <row r="434" spans="5:5" s="1" customFormat="1" ht="24" customHeight="1">
      <c r="E434" s="46"/>
    </row>
    <row r="435" spans="5:5" s="1" customFormat="1" ht="24" customHeight="1">
      <c r="E435" s="46"/>
    </row>
    <row r="436" spans="5:5" s="1" customFormat="1" ht="24" customHeight="1">
      <c r="E436" s="46"/>
    </row>
    <row r="437" spans="5:5" s="1" customFormat="1" ht="24" customHeight="1">
      <c r="E437" s="46"/>
    </row>
    <row r="438" spans="5:5" s="1" customFormat="1" ht="24" customHeight="1">
      <c r="E438" s="46"/>
    </row>
    <row r="439" spans="5:5" s="1" customFormat="1" ht="24" customHeight="1">
      <c r="E439" s="46"/>
    </row>
    <row r="440" spans="5:5" s="1" customFormat="1" ht="24" customHeight="1">
      <c r="E440" s="46"/>
    </row>
    <row r="441" spans="5:5" s="1" customFormat="1" ht="24" customHeight="1">
      <c r="E441" s="46"/>
    </row>
    <row r="442" spans="5:5" s="1" customFormat="1" ht="24" customHeight="1">
      <c r="E442" s="46"/>
    </row>
    <row r="443" spans="5:5" s="1" customFormat="1" ht="24" customHeight="1">
      <c r="E443" s="46"/>
    </row>
    <row r="444" spans="5:5" s="1" customFormat="1" ht="24" customHeight="1">
      <c r="E444" s="46"/>
    </row>
    <row r="445" spans="5:5" s="1" customFormat="1" ht="24" customHeight="1">
      <c r="E445" s="46"/>
    </row>
    <row r="446" spans="5:5" s="1" customFormat="1" ht="24" customHeight="1">
      <c r="E446" s="46"/>
    </row>
    <row r="447" spans="5:5" s="1" customFormat="1" ht="24" customHeight="1">
      <c r="E447" s="46"/>
    </row>
    <row r="448" spans="5:5" s="1" customFormat="1" ht="24" customHeight="1">
      <c r="E448" s="46"/>
    </row>
    <row r="449" spans="5:5" s="1" customFormat="1" ht="24" customHeight="1">
      <c r="E449" s="46"/>
    </row>
    <row r="450" spans="5:5" s="1" customFormat="1" ht="24" customHeight="1">
      <c r="E450" s="46"/>
    </row>
    <row r="451" spans="5:5" s="1" customFormat="1" ht="24" customHeight="1">
      <c r="E451" s="46"/>
    </row>
    <row r="452" spans="5:5" s="1" customFormat="1" ht="24" customHeight="1">
      <c r="E452" s="46"/>
    </row>
    <row r="453" spans="5:5" s="1" customFormat="1" ht="24" customHeight="1">
      <c r="E453" s="46"/>
    </row>
    <row r="454" spans="5:5" s="1" customFormat="1" ht="24" customHeight="1">
      <c r="E454" s="46"/>
    </row>
    <row r="455" spans="5:5" s="1" customFormat="1" ht="24" customHeight="1">
      <c r="E455" s="46"/>
    </row>
    <row r="456" spans="5:5" s="1" customFormat="1" ht="24" customHeight="1">
      <c r="E456" s="46"/>
    </row>
    <row r="457" spans="5:5" s="1" customFormat="1" ht="24" customHeight="1">
      <c r="E457" s="46"/>
    </row>
    <row r="458" spans="5:5" s="1" customFormat="1" ht="24" customHeight="1">
      <c r="E458" s="46"/>
    </row>
    <row r="459" spans="5:5" s="1" customFormat="1" ht="24" customHeight="1">
      <c r="E459" s="46"/>
    </row>
    <row r="460" spans="5:5" s="1" customFormat="1" ht="24" customHeight="1">
      <c r="E460" s="46"/>
    </row>
    <row r="461" spans="5:5" s="1" customFormat="1" ht="24" customHeight="1">
      <c r="E461" s="46"/>
    </row>
    <row r="462" spans="5:5" s="1" customFormat="1" ht="24" customHeight="1">
      <c r="E462" s="46"/>
    </row>
    <row r="463" spans="5:5" s="1" customFormat="1" ht="24" customHeight="1">
      <c r="E463" s="46"/>
    </row>
    <row r="464" spans="5:5" s="1" customFormat="1" ht="24" customHeight="1">
      <c r="E464" s="46"/>
    </row>
    <row r="465" spans="5:5" s="1" customFormat="1" ht="24" customHeight="1">
      <c r="E465" s="46"/>
    </row>
    <row r="466" spans="5:5" s="1" customFormat="1" ht="24" customHeight="1">
      <c r="E466" s="46"/>
    </row>
    <row r="467" spans="5:5" s="1" customFormat="1" ht="24" customHeight="1">
      <c r="E467" s="46"/>
    </row>
    <row r="468" spans="5:5" s="1" customFormat="1" ht="24" customHeight="1">
      <c r="E468" s="46"/>
    </row>
    <row r="469" spans="5:5" s="1" customFormat="1" ht="24" customHeight="1">
      <c r="E469" s="46"/>
    </row>
    <row r="470" spans="5:5" s="1" customFormat="1" ht="24" customHeight="1">
      <c r="E470" s="46"/>
    </row>
    <row r="471" spans="5:5" s="1" customFormat="1" ht="24" customHeight="1">
      <c r="E471" s="46"/>
    </row>
    <row r="472" spans="5:5" s="1" customFormat="1" ht="24" customHeight="1">
      <c r="E472" s="46"/>
    </row>
    <row r="473" spans="5:5" s="1" customFormat="1" ht="24" customHeight="1">
      <c r="E473" s="46"/>
    </row>
    <row r="474" spans="5:5" s="1" customFormat="1" ht="24" customHeight="1">
      <c r="E474" s="46"/>
    </row>
    <row r="475" spans="5:5" s="1" customFormat="1" ht="24" customHeight="1">
      <c r="E475" s="46"/>
    </row>
    <row r="476" spans="5:5" s="1" customFormat="1" ht="24" customHeight="1">
      <c r="E476" s="46"/>
    </row>
    <row r="477" spans="5:5" s="1" customFormat="1" ht="24" customHeight="1">
      <c r="E477" s="46"/>
    </row>
    <row r="478" spans="5:5" s="1" customFormat="1" ht="24" customHeight="1">
      <c r="E478" s="46"/>
    </row>
    <row r="479" spans="5:5" s="1" customFormat="1" ht="24" customHeight="1">
      <c r="E479" s="46"/>
    </row>
    <row r="480" spans="5:5" s="1" customFormat="1" ht="24" customHeight="1">
      <c r="E480" s="46"/>
    </row>
    <row r="481" spans="5:5" s="1" customFormat="1" ht="24" customHeight="1">
      <c r="E481" s="46"/>
    </row>
    <row r="482" spans="5:5" s="1" customFormat="1" ht="24" customHeight="1">
      <c r="E482" s="46"/>
    </row>
    <row r="483" spans="5:5" s="1" customFormat="1" ht="24" customHeight="1">
      <c r="E483" s="46"/>
    </row>
    <row r="484" spans="5:5" s="1" customFormat="1" ht="24" customHeight="1">
      <c r="E484" s="46"/>
    </row>
    <row r="485" spans="5:5" s="1" customFormat="1" ht="24" customHeight="1">
      <c r="E485" s="46"/>
    </row>
    <row r="486" spans="5:5" s="1" customFormat="1" ht="24" customHeight="1">
      <c r="E486" s="46"/>
    </row>
    <row r="487" spans="5:5" s="1" customFormat="1" ht="24" customHeight="1">
      <c r="E487" s="46"/>
    </row>
    <row r="488" spans="5:5" s="1" customFormat="1" ht="24" customHeight="1">
      <c r="E488" s="46"/>
    </row>
    <row r="489" spans="5:5" s="1" customFormat="1" ht="24" customHeight="1">
      <c r="E489" s="46"/>
    </row>
    <row r="490" spans="5:5" s="1" customFormat="1" ht="24" customHeight="1">
      <c r="E490" s="46"/>
    </row>
    <row r="491" spans="5:5" s="1" customFormat="1" ht="24" customHeight="1">
      <c r="E491" s="46"/>
    </row>
    <row r="492" spans="5:5" s="1" customFormat="1" ht="24" customHeight="1">
      <c r="E492" s="46"/>
    </row>
    <row r="493" spans="5:5" s="1" customFormat="1" ht="24" customHeight="1">
      <c r="E493" s="46"/>
    </row>
    <row r="494" spans="5:5" s="1" customFormat="1" ht="24" customHeight="1">
      <c r="E494" s="46"/>
    </row>
    <row r="495" spans="5:5" s="1" customFormat="1" ht="24" customHeight="1">
      <c r="E495" s="46"/>
    </row>
    <row r="496" spans="5:5" s="1" customFormat="1" ht="24" customHeight="1">
      <c r="E496" s="46"/>
    </row>
    <row r="497" spans="5:5" s="1" customFormat="1" ht="24" customHeight="1">
      <c r="E497" s="46"/>
    </row>
    <row r="498" spans="5:5" s="1" customFormat="1" ht="24" customHeight="1">
      <c r="E498" s="46"/>
    </row>
    <row r="499" spans="5:5" s="1" customFormat="1" ht="24" customHeight="1">
      <c r="E499" s="46"/>
    </row>
    <row r="500" spans="5:5" s="1" customFormat="1" ht="24" customHeight="1">
      <c r="E500" s="46"/>
    </row>
    <row r="501" spans="5:5" s="1" customFormat="1" ht="24" customHeight="1">
      <c r="E501" s="46"/>
    </row>
    <row r="502" spans="5:5" s="1" customFormat="1" ht="24" customHeight="1">
      <c r="E502" s="46"/>
    </row>
    <row r="503" spans="5:5" s="1" customFormat="1" ht="24" customHeight="1">
      <c r="E503" s="46"/>
    </row>
    <row r="504" spans="5:5" s="1" customFormat="1" ht="24" customHeight="1">
      <c r="E504" s="46"/>
    </row>
    <row r="505" spans="5:5" s="1" customFormat="1" ht="24" customHeight="1">
      <c r="E505" s="46"/>
    </row>
    <row r="506" spans="5:5" s="1" customFormat="1" ht="24" customHeight="1">
      <c r="E506" s="46"/>
    </row>
    <row r="507" spans="5:5" s="1" customFormat="1" ht="24" customHeight="1">
      <c r="E507" s="46"/>
    </row>
    <row r="508" spans="5:5" s="1" customFormat="1" ht="24" customHeight="1">
      <c r="E508" s="46"/>
    </row>
    <row r="509" spans="5:5" s="1" customFormat="1" ht="24" customHeight="1">
      <c r="E509" s="46"/>
    </row>
    <row r="510" spans="5:5" s="1" customFormat="1" ht="24" customHeight="1">
      <c r="E510" s="46"/>
    </row>
    <row r="511" spans="5:5" s="1" customFormat="1" ht="24" customHeight="1">
      <c r="E511" s="46"/>
    </row>
    <row r="512" spans="5:5" s="1" customFormat="1" ht="24" customHeight="1">
      <c r="E512" s="46"/>
    </row>
    <row r="513" spans="5:5" s="1" customFormat="1" ht="24" customHeight="1">
      <c r="E513" s="46"/>
    </row>
    <row r="514" spans="5:5" s="1" customFormat="1" ht="24" customHeight="1">
      <c r="E514" s="46"/>
    </row>
    <row r="515" spans="5:5" s="1" customFormat="1" ht="24" customHeight="1">
      <c r="E515" s="46"/>
    </row>
    <row r="516" spans="5:5" s="1" customFormat="1" ht="24" customHeight="1">
      <c r="E516" s="46"/>
    </row>
    <row r="517" spans="5:5" s="1" customFormat="1" ht="24" customHeight="1">
      <c r="E517" s="46"/>
    </row>
    <row r="518" spans="5:5" s="1" customFormat="1" ht="24" customHeight="1">
      <c r="E518" s="46"/>
    </row>
    <row r="519" spans="5:5" s="1" customFormat="1" ht="24" customHeight="1">
      <c r="E519" s="46"/>
    </row>
    <row r="520" spans="5:5" s="1" customFormat="1" ht="24" customHeight="1">
      <c r="E520" s="46"/>
    </row>
    <row r="521" spans="5:5" s="1" customFormat="1" ht="24" customHeight="1">
      <c r="E521" s="46"/>
    </row>
    <row r="522" spans="5:5" s="1" customFormat="1" ht="24" customHeight="1">
      <c r="E522" s="46"/>
    </row>
    <row r="523" spans="5:5" s="1" customFormat="1" ht="24" customHeight="1">
      <c r="E523" s="46"/>
    </row>
    <row r="524" spans="5:5" s="1" customFormat="1" ht="24" customHeight="1">
      <c r="E524" s="46"/>
    </row>
    <row r="525" spans="5:5" s="1" customFormat="1" ht="24" customHeight="1">
      <c r="E525" s="46"/>
    </row>
    <row r="526" spans="5:5" s="1" customFormat="1" ht="24" customHeight="1">
      <c r="E526" s="46"/>
    </row>
    <row r="527" spans="5:5" s="1" customFormat="1" ht="24" customHeight="1">
      <c r="E527" s="46"/>
    </row>
    <row r="528" spans="5:5" s="1" customFormat="1" ht="24" customHeight="1">
      <c r="E528" s="46"/>
    </row>
    <row r="529" spans="5:5" s="1" customFormat="1" ht="24" customHeight="1">
      <c r="E529" s="46"/>
    </row>
    <row r="530" spans="5:5" s="1" customFormat="1" ht="24" customHeight="1">
      <c r="E530" s="46"/>
    </row>
    <row r="531" spans="5:5" s="1" customFormat="1" ht="24" customHeight="1">
      <c r="E531" s="46"/>
    </row>
    <row r="532" spans="5:5" s="1" customFormat="1" ht="24" customHeight="1">
      <c r="E532" s="46"/>
    </row>
    <row r="533" spans="5:5" s="1" customFormat="1" ht="24" customHeight="1">
      <c r="E533" s="46"/>
    </row>
    <row r="534" spans="5:5" s="1" customFormat="1" ht="24" customHeight="1">
      <c r="E534" s="46"/>
    </row>
    <row r="535" spans="5:5" s="1" customFormat="1" ht="24" customHeight="1">
      <c r="E535" s="46"/>
    </row>
    <row r="536" spans="5:5" s="1" customFormat="1" ht="24" customHeight="1">
      <c r="E536" s="46"/>
    </row>
    <row r="537" spans="5:5" s="1" customFormat="1" ht="24" customHeight="1">
      <c r="E537" s="46"/>
    </row>
    <row r="538" spans="5:5" s="1" customFormat="1" ht="24" customHeight="1">
      <c r="E538" s="46"/>
    </row>
    <row r="539" spans="5:5" s="1" customFormat="1" ht="24" customHeight="1">
      <c r="E539" s="46"/>
    </row>
    <row r="540" spans="5:5" s="1" customFormat="1" ht="24" customHeight="1">
      <c r="E540" s="46"/>
    </row>
    <row r="541" spans="5:5" s="1" customFormat="1" ht="24" customHeight="1">
      <c r="E541" s="46"/>
    </row>
    <row r="542" spans="5:5" s="1" customFormat="1" ht="24" customHeight="1">
      <c r="E542" s="46"/>
    </row>
    <row r="543" spans="5:5" s="1" customFormat="1" ht="24" customHeight="1">
      <c r="E543" s="46"/>
    </row>
    <row r="544" spans="5:5" s="1" customFormat="1" ht="24" customHeight="1">
      <c r="E544" s="46"/>
    </row>
    <row r="545" spans="5:5" s="1" customFormat="1" ht="24" customHeight="1">
      <c r="E545" s="46"/>
    </row>
    <row r="546" spans="5:5" s="1" customFormat="1" ht="24" customHeight="1">
      <c r="E546" s="46"/>
    </row>
    <row r="547" spans="5:5" s="1" customFormat="1" ht="24" customHeight="1">
      <c r="E547" s="46"/>
    </row>
    <row r="548" spans="5:5" s="1" customFormat="1" ht="24" customHeight="1">
      <c r="E548" s="46"/>
    </row>
    <row r="549" spans="5:5" s="1" customFormat="1" ht="24" customHeight="1">
      <c r="E549" s="46"/>
    </row>
    <row r="550" spans="5:5" s="1" customFormat="1" ht="24" customHeight="1">
      <c r="E550" s="46"/>
    </row>
    <row r="551" spans="5:5" s="1" customFormat="1" ht="24" customHeight="1">
      <c r="E551" s="46"/>
    </row>
    <row r="552" spans="5:5" s="1" customFormat="1" ht="24" customHeight="1">
      <c r="E552" s="46"/>
    </row>
    <row r="553" spans="5:5" s="1" customFormat="1" ht="24" customHeight="1">
      <c r="E553" s="46"/>
    </row>
    <row r="554" spans="5:5" s="1" customFormat="1" ht="24" customHeight="1">
      <c r="E554" s="46"/>
    </row>
    <row r="555" spans="5:5" s="1" customFormat="1" ht="24" customHeight="1">
      <c r="E555" s="46"/>
    </row>
    <row r="556" spans="5:5" s="1" customFormat="1" ht="24" customHeight="1">
      <c r="E556" s="46"/>
    </row>
    <row r="557" spans="5:5" s="1" customFormat="1" ht="24" customHeight="1">
      <c r="E557" s="46"/>
    </row>
    <row r="558" spans="5:5" s="1" customFormat="1" ht="24" customHeight="1">
      <c r="E558" s="46"/>
    </row>
    <row r="559" spans="5:5" s="1" customFormat="1" ht="24" customHeight="1">
      <c r="E559" s="46"/>
    </row>
    <row r="560" spans="5:5" s="1" customFormat="1" ht="24" customHeight="1">
      <c r="E560" s="46"/>
    </row>
    <row r="561" spans="5:5" s="1" customFormat="1" ht="24" customHeight="1">
      <c r="E561" s="46"/>
    </row>
    <row r="562" spans="5:5" s="1" customFormat="1" ht="24" customHeight="1">
      <c r="E562" s="46"/>
    </row>
    <row r="563" spans="5:5" s="1" customFormat="1" ht="24" customHeight="1">
      <c r="E563" s="46"/>
    </row>
    <row r="564" spans="5:5" s="1" customFormat="1" ht="24" customHeight="1">
      <c r="E564" s="46"/>
    </row>
    <row r="565" spans="5:5" s="1" customFormat="1" ht="24" customHeight="1">
      <c r="E565" s="46"/>
    </row>
    <row r="566" spans="5:5" s="1" customFormat="1" ht="24" customHeight="1">
      <c r="E566" s="46"/>
    </row>
    <row r="567" spans="5:5" s="1" customFormat="1" ht="24" customHeight="1">
      <c r="E567" s="46"/>
    </row>
    <row r="568" spans="5:5" s="1" customFormat="1" ht="24" customHeight="1">
      <c r="E568" s="46"/>
    </row>
    <row r="569" spans="5:5" s="1" customFormat="1" ht="24" customHeight="1">
      <c r="E569" s="46"/>
    </row>
    <row r="570" spans="5:5" s="1" customFormat="1" ht="24" customHeight="1">
      <c r="E570" s="46"/>
    </row>
    <row r="571" spans="5:5" s="1" customFormat="1" ht="24" customHeight="1">
      <c r="E571" s="46"/>
    </row>
    <row r="572" spans="5:5" s="1" customFormat="1" ht="24" customHeight="1">
      <c r="E572" s="46"/>
    </row>
    <row r="573" spans="5:5" s="1" customFormat="1" ht="24" customHeight="1">
      <c r="E573" s="46"/>
    </row>
    <row r="574" spans="5:5" s="1" customFormat="1" ht="24" customHeight="1">
      <c r="E574" s="46"/>
    </row>
    <row r="575" spans="5:5" s="1" customFormat="1" ht="24" customHeight="1">
      <c r="E575" s="46"/>
    </row>
    <row r="576" spans="5:5" s="1" customFormat="1" ht="24" customHeight="1">
      <c r="E576" s="46"/>
    </row>
    <row r="577" spans="5:5" s="1" customFormat="1" ht="24" customHeight="1">
      <c r="E577" s="46"/>
    </row>
    <row r="578" spans="5:5" s="1" customFormat="1" ht="24" customHeight="1">
      <c r="E578" s="46"/>
    </row>
    <row r="579" spans="5:5" s="1" customFormat="1" ht="24" customHeight="1">
      <c r="E579" s="46"/>
    </row>
    <row r="580" spans="5:5" s="1" customFormat="1" ht="24" customHeight="1">
      <c r="E580" s="46"/>
    </row>
    <row r="581" spans="5:5" s="1" customFormat="1" ht="24" customHeight="1">
      <c r="E581" s="46"/>
    </row>
    <row r="582" spans="5:5" s="1" customFormat="1" ht="24" customHeight="1">
      <c r="E582" s="46"/>
    </row>
    <row r="583" spans="5:5" s="1" customFormat="1" ht="24" customHeight="1">
      <c r="E583" s="46"/>
    </row>
    <row r="584" spans="5:5" s="1" customFormat="1" ht="24" customHeight="1">
      <c r="E584" s="46"/>
    </row>
    <row r="585" spans="5:5" s="1" customFormat="1" ht="24" customHeight="1">
      <c r="E585" s="46"/>
    </row>
    <row r="586" spans="5:5" s="1" customFormat="1" ht="24" customHeight="1">
      <c r="E586" s="46"/>
    </row>
    <row r="587" spans="5:5" s="1" customFormat="1" ht="24" customHeight="1">
      <c r="E587" s="46"/>
    </row>
    <row r="588" spans="5:5" s="1" customFormat="1" ht="24" customHeight="1">
      <c r="E588" s="46"/>
    </row>
    <row r="589" spans="5:5" s="1" customFormat="1" ht="24" customHeight="1">
      <c r="E589" s="46"/>
    </row>
    <row r="590" spans="5:5" s="1" customFormat="1" ht="24" customHeight="1">
      <c r="E590" s="46"/>
    </row>
    <row r="591" spans="5:5" s="1" customFormat="1" ht="24" customHeight="1">
      <c r="E591" s="46"/>
    </row>
    <row r="592" spans="5:5" s="1" customFormat="1" ht="24" customHeight="1">
      <c r="E592" s="46"/>
    </row>
    <row r="593" spans="5:5" s="1" customFormat="1" ht="24" customHeight="1">
      <c r="E593" s="46"/>
    </row>
    <row r="594" spans="5:5" s="1" customFormat="1" ht="24" customHeight="1">
      <c r="E594" s="46"/>
    </row>
    <row r="595" spans="5:5" s="1" customFormat="1" ht="24" customHeight="1">
      <c r="E595" s="46"/>
    </row>
    <row r="596" spans="5:5" s="1" customFormat="1" ht="24" customHeight="1">
      <c r="E596" s="46"/>
    </row>
    <row r="597" spans="5:5" s="1" customFormat="1" ht="24" customHeight="1">
      <c r="E597" s="46"/>
    </row>
    <row r="598" spans="5:5" s="1" customFormat="1" ht="24" customHeight="1">
      <c r="E598" s="46"/>
    </row>
    <row r="599" spans="5:5" s="1" customFormat="1" ht="24" customHeight="1">
      <c r="E599" s="46"/>
    </row>
    <row r="600" spans="5:5" s="1" customFormat="1" ht="24" customHeight="1">
      <c r="E600" s="46"/>
    </row>
    <row r="601" spans="5:5" s="1" customFormat="1" ht="24" customHeight="1">
      <c r="E601" s="46"/>
    </row>
    <row r="602" spans="5:5" s="1" customFormat="1" ht="24" customHeight="1">
      <c r="E602" s="46"/>
    </row>
    <row r="603" spans="5:5" s="1" customFormat="1" ht="24" customHeight="1">
      <c r="E603" s="46"/>
    </row>
    <row r="604" spans="5:5" s="1" customFormat="1" ht="24" customHeight="1">
      <c r="E604" s="46"/>
    </row>
    <row r="605" spans="5:5" s="1" customFormat="1" ht="24" customHeight="1">
      <c r="E605" s="46"/>
    </row>
    <row r="606" spans="5:5" s="1" customFormat="1" ht="24" customHeight="1">
      <c r="E606" s="46"/>
    </row>
    <row r="607" spans="5:5" s="1" customFormat="1" ht="24" customHeight="1">
      <c r="E607" s="46"/>
    </row>
    <row r="608" spans="5:5" s="1" customFormat="1" ht="24" customHeight="1">
      <c r="E608" s="46"/>
    </row>
    <row r="609" spans="5:5" s="1" customFormat="1" ht="24" customHeight="1">
      <c r="E609" s="46"/>
    </row>
    <row r="610" spans="5:5" s="1" customFormat="1" ht="24" customHeight="1">
      <c r="E610" s="46"/>
    </row>
    <row r="611" spans="5:5" s="1" customFormat="1" ht="24" customHeight="1">
      <c r="E611" s="46"/>
    </row>
    <row r="612" spans="5:5" s="1" customFormat="1" ht="24" customHeight="1">
      <c r="E612" s="46"/>
    </row>
    <row r="613" spans="5:5" s="1" customFormat="1" ht="24" customHeight="1">
      <c r="E613" s="46"/>
    </row>
    <row r="614" spans="5:5" s="1" customFormat="1" ht="24" customHeight="1">
      <c r="E614" s="46"/>
    </row>
    <row r="615" spans="5:5" s="1" customFormat="1" ht="24" customHeight="1">
      <c r="E615" s="46"/>
    </row>
    <row r="616" spans="5:5" s="1" customFormat="1" ht="24" customHeight="1">
      <c r="E616" s="46"/>
    </row>
    <row r="617" spans="5:5" s="1" customFormat="1" ht="24" customHeight="1">
      <c r="E617" s="46"/>
    </row>
    <row r="618" spans="5:5" s="1" customFormat="1" ht="24" customHeight="1">
      <c r="E618" s="46"/>
    </row>
    <row r="619" spans="5:5" s="1" customFormat="1" ht="24" customHeight="1">
      <c r="E619" s="46"/>
    </row>
    <row r="620" spans="5:5" s="1" customFormat="1" ht="24" customHeight="1">
      <c r="E620" s="46"/>
    </row>
    <row r="621" spans="5:5" s="1" customFormat="1" ht="24" customHeight="1">
      <c r="E621" s="46"/>
    </row>
    <row r="622" spans="5:5" s="1" customFormat="1" ht="24" customHeight="1">
      <c r="E622" s="46"/>
    </row>
    <row r="623" spans="5:5" s="1" customFormat="1" ht="24" customHeight="1">
      <c r="E623" s="46"/>
    </row>
    <row r="624" spans="5:5" s="1" customFormat="1" ht="24" customHeight="1">
      <c r="E624" s="46"/>
    </row>
    <row r="625" spans="5:5" s="1" customFormat="1" ht="24" customHeight="1">
      <c r="E625" s="46"/>
    </row>
    <row r="626" spans="5:5" s="1" customFormat="1" ht="24" customHeight="1">
      <c r="E626" s="46"/>
    </row>
    <row r="627" spans="5:5" s="1" customFormat="1" ht="24" customHeight="1">
      <c r="E627" s="46"/>
    </row>
    <row r="628" spans="5:5" s="1" customFormat="1" ht="24" customHeight="1">
      <c r="E628" s="46"/>
    </row>
    <row r="629" spans="5:5" s="1" customFormat="1" ht="24" customHeight="1">
      <c r="E629" s="46"/>
    </row>
    <row r="630" spans="5:5" s="1" customFormat="1" ht="24" customHeight="1">
      <c r="E630" s="46"/>
    </row>
    <row r="631" spans="5:5" s="1" customFormat="1" ht="24" customHeight="1">
      <c r="E631" s="46"/>
    </row>
    <row r="632" spans="5:5" s="1" customFormat="1" ht="24" customHeight="1">
      <c r="E632" s="46"/>
    </row>
    <row r="633" spans="5:5" s="1" customFormat="1" ht="24" customHeight="1">
      <c r="E633" s="46"/>
    </row>
    <row r="634" spans="5:5" s="1" customFormat="1" ht="24" customHeight="1">
      <c r="E634" s="46"/>
    </row>
    <row r="635" spans="5:5" s="1" customFormat="1" ht="24" customHeight="1">
      <c r="E635" s="46"/>
    </row>
    <row r="636" spans="5:5" s="1" customFormat="1" ht="24" customHeight="1">
      <c r="E636" s="46"/>
    </row>
    <row r="637" spans="5:5" s="1" customFormat="1" ht="24" customHeight="1">
      <c r="E637" s="46"/>
    </row>
    <row r="638" spans="5:5" s="1" customFormat="1" ht="24" customHeight="1">
      <c r="E638" s="46"/>
    </row>
    <row r="639" spans="5:5" s="1" customFormat="1" ht="24" customHeight="1">
      <c r="E639" s="46"/>
    </row>
    <row r="640" spans="5:5" s="1" customFormat="1" ht="24" customHeight="1">
      <c r="E640" s="46"/>
    </row>
    <row r="641" spans="5:5" s="1" customFormat="1" ht="24" customHeight="1">
      <c r="E641" s="46"/>
    </row>
    <row r="642" spans="5:5" s="1" customFormat="1" ht="24" customHeight="1">
      <c r="E642" s="46"/>
    </row>
    <row r="643" spans="5:5" s="1" customFormat="1" ht="24" customHeight="1">
      <c r="E643" s="46"/>
    </row>
    <row r="644" spans="5:5" s="1" customFormat="1" ht="24" customHeight="1">
      <c r="E644" s="46"/>
    </row>
    <row r="645" spans="5:5" s="1" customFormat="1" ht="24" customHeight="1">
      <c r="E645" s="46"/>
    </row>
    <row r="646" spans="5:5" s="1" customFormat="1" ht="24" customHeight="1">
      <c r="E646" s="46"/>
    </row>
    <row r="647" spans="5:5" s="1" customFormat="1" ht="24" customHeight="1">
      <c r="E647" s="46"/>
    </row>
    <row r="648" spans="5:5" s="1" customFormat="1" ht="24" customHeight="1">
      <c r="E648" s="46"/>
    </row>
    <row r="649" spans="5:5" s="1" customFormat="1" ht="24" customHeight="1">
      <c r="E649" s="46"/>
    </row>
    <row r="650" spans="5:5" s="1" customFormat="1" ht="24" customHeight="1">
      <c r="E650" s="46"/>
    </row>
    <row r="651" spans="5:5" s="1" customFormat="1" ht="24" customHeight="1">
      <c r="E651" s="46"/>
    </row>
    <row r="652" spans="5:5" s="1" customFormat="1" ht="24" customHeight="1">
      <c r="E652" s="46"/>
    </row>
    <row r="653" spans="5:5" s="1" customFormat="1" ht="24" customHeight="1">
      <c r="E653" s="46"/>
    </row>
    <row r="654" spans="5:5" s="1" customFormat="1" ht="24" customHeight="1">
      <c r="E654" s="46"/>
    </row>
    <row r="655" spans="5:5" s="1" customFormat="1" ht="24" customHeight="1">
      <c r="E655" s="46"/>
    </row>
    <row r="656" spans="5:5" s="1" customFormat="1" ht="24" customHeight="1">
      <c r="E656" s="46"/>
    </row>
    <row r="657" spans="5:5" s="1" customFormat="1" ht="24" customHeight="1">
      <c r="E657" s="46"/>
    </row>
    <row r="658" spans="5:5" s="1" customFormat="1" ht="24" customHeight="1">
      <c r="E658" s="46"/>
    </row>
    <row r="659" spans="5:5" s="1" customFormat="1" ht="24" customHeight="1">
      <c r="E659" s="46"/>
    </row>
    <row r="660" spans="5:5" s="1" customFormat="1" ht="24" customHeight="1">
      <c r="E660" s="46"/>
    </row>
    <row r="661" spans="5:5" s="1" customFormat="1" ht="24" customHeight="1">
      <c r="E661" s="46"/>
    </row>
    <row r="662" spans="5:5" s="1" customFormat="1" ht="24" customHeight="1">
      <c r="E662" s="46"/>
    </row>
    <row r="663" spans="5:5" s="1" customFormat="1" ht="24" customHeight="1">
      <c r="E663" s="46"/>
    </row>
    <row r="664" spans="5:5" s="1" customFormat="1" ht="24" customHeight="1">
      <c r="E664" s="46"/>
    </row>
    <row r="665" spans="5:5" s="1" customFormat="1" ht="24" customHeight="1">
      <c r="E665" s="46"/>
    </row>
    <row r="666" spans="5:5" s="1" customFormat="1" ht="24" customHeight="1">
      <c r="E666" s="46"/>
    </row>
    <row r="667" spans="5:5" s="1" customFormat="1" ht="24" customHeight="1">
      <c r="E667" s="46"/>
    </row>
    <row r="668" spans="5:5" s="1" customFormat="1" ht="24" customHeight="1">
      <c r="E668" s="46"/>
    </row>
    <row r="669" spans="5:5" s="1" customFormat="1" ht="24" customHeight="1">
      <c r="E669" s="46"/>
    </row>
    <row r="670" spans="5:5" s="1" customFormat="1" ht="24" customHeight="1">
      <c r="E670" s="46"/>
    </row>
    <row r="671" spans="5:5" s="1" customFormat="1" ht="24" customHeight="1">
      <c r="E671" s="46"/>
    </row>
    <row r="672" spans="5:5" s="1" customFormat="1" ht="24" customHeight="1">
      <c r="E672" s="46"/>
    </row>
    <row r="673" spans="5:5" s="1" customFormat="1" ht="24" customHeight="1">
      <c r="E673" s="46"/>
    </row>
    <row r="674" spans="5:5" s="1" customFormat="1" ht="24" customHeight="1">
      <c r="E674" s="46"/>
    </row>
    <row r="675" spans="5:5" s="1" customFormat="1" ht="24" customHeight="1">
      <c r="E675" s="46"/>
    </row>
    <row r="676" spans="5:5" s="1" customFormat="1" ht="24" customHeight="1">
      <c r="E676" s="46"/>
    </row>
    <row r="677" spans="5:5" s="1" customFormat="1" ht="24" customHeight="1">
      <c r="E677" s="46"/>
    </row>
    <row r="678" spans="5:5" s="1" customFormat="1" ht="24" customHeight="1">
      <c r="E678" s="46"/>
    </row>
    <row r="679" spans="5:5" s="1" customFormat="1" ht="24" customHeight="1">
      <c r="E679" s="46"/>
    </row>
    <row r="680" spans="5:5" s="1" customFormat="1" ht="24" customHeight="1">
      <c r="E680" s="46"/>
    </row>
    <row r="681" spans="5:5" s="1" customFormat="1" ht="24" customHeight="1">
      <c r="E681" s="46"/>
    </row>
    <row r="682" spans="5:5" s="1" customFormat="1" ht="24" customHeight="1">
      <c r="E682" s="46"/>
    </row>
    <row r="683" spans="5:5" s="1" customFormat="1" ht="24" customHeight="1">
      <c r="E683" s="46"/>
    </row>
    <row r="684" spans="5:5" s="1" customFormat="1" ht="24" customHeight="1">
      <c r="E684" s="46"/>
    </row>
    <row r="685" spans="5:5" s="1" customFormat="1" ht="24" customHeight="1">
      <c r="E685" s="46"/>
    </row>
    <row r="686" spans="5:5" s="1" customFormat="1" ht="24" customHeight="1">
      <c r="E686" s="46"/>
    </row>
    <row r="687" spans="5:5" s="1" customFormat="1" ht="24" customHeight="1">
      <c r="E687" s="46"/>
    </row>
    <row r="688" spans="5:5" s="1" customFormat="1" ht="24" customHeight="1">
      <c r="E688" s="46"/>
    </row>
    <row r="689" spans="5:5" s="1" customFormat="1" ht="24" customHeight="1">
      <c r="E689" s="46"/>
    </row>
    <row r="690" spans="5:5" s="1" customFormat="1" ht="24" customHeight="1">
      <c r="E690" s="46"/>
    </row>
    <row r="691" spans="5:5" s="1" customFormat="1" ht="24" customHeight="1">
      <c r="E691" s="46"/>
    </row>
    <row r="692" spans="5:5" s="1" customFormat="1" ht="24" customHeight="1">
      <c r="E692" s="46"/>
    </row>
    <row r="693" spans="5:5" s="1" customFormat="1" ht="24" customHeight="1">
      <c r="E693" s="46"/>
    </row>
    <row r="694" spans="5:5" s="1" customFormat="1" ht="24" customHeight="1">
      <c r="E694" s="46"/>
    </row>
    <row r="695" spans="5:5" s="1" customFormat="1" ht="24" customHeight="1">
      <c r="E695" s="46"/>
    </row>
    <row r="696" spans="5:5" s="1" customFormat="1" ht="24" customHeight="1">
      <c r="E696" s="46"/>
    </row>
    <row r="697" spans="5:5" s="1" customFormat="1" ht="24" customHeight="1">
      <c r="E697" s="46"/>
    </row>
    <row r="698" spans="5:5" s="1" customFormat="1" ht="24" customHeight="1">
      <c r="E698" s="46"/>
    </row>
    <row r="699" spans="5:5" s="1" customFormat="1" ht="24" customHeight="1">
      <c r="E699" s="46"/>
    </row>
    <row r="700" spans="5:5" s="1" customFormat="1" ht="24" customHeight="1">
      <c r="E700" s="46"/>
    </row>
    <row r="701" spans="5:5" s="1" customFormat="1" ht="24" customHeight="1">
      <c r="E701" s="46"/>
    </row>
    <row r="702" spans="5:5" s="1" customFormat="1" ht="24" customHeight="1">
      <c r="E702" s="46"/>
    </row>
    <row r="703" spans="5:5" s="1" customFormat="1" ht="24" customHeight="1">
      <c r="E703" s="46"/>
    </row>
    <row r="704" spans="5:5" s="1" customFormat="1" ht="24" customHeight="1">
      <c r="E704" s="46"/>
    </row>
    <row r="705" spans="5:5" s="1" customFormat="1" ht="24" customHeight="1">
      <c r="E705" s="46"/>
    </row>
    <row r="706" spans="5:5" s="1" customFormat="1" ht="24" customHeight="1">
      <c r="E706" s="46"/>
    </row>
    <row r="707" spans="5:5" s="1" customFormat="1" ht="24" customHeight="1">
      <c r="E707" s="46"/>
    </row>
    <row r="708" spans="5:5" s="1" customFormat="1" ht="24" customHeight="1">
      <c r="E708" s="46"/>
    </row>
    <row r="709" spans="5:5" s="1" customFormat="1" ht="24" customHeight="1">
      <c r="E709" s="46"/>
    </row>
    <row r="710" spans="5:5" s="1" customFormat="1" ht="24" customHeight="1">
      <c r="E710" s="46"/>
    </row>
    <row r="711" spans="5:5" s="1" customFormat="1" ht="24" customHeight="1">
      <c r="E711" s="46"/>
    </row>
    <row r="712" spans="5:5" s="1" customFormat="1" ht="24" customHeight="1">
      <c r="E712" s="46"/>
    </row>
    <row r="713" spans="5:5" s="1" customFormat="1" ht="24" customHeight="1">
      <c r="E713" s="46"/>
    </row>
    <row r="714" spans="5:5" s="1" customFormat="1" ht="24" customHeight="1">
      <c r="E714" s="46"/>
    </row>
    <row r="715" spans="5:5" s="1" customFormat="1" ht="24" customHeight="1">
      <c r="E715" s="46"/>
    </row>
    <row r="716" spans="5:5" s="1" customFormat="1" ht="24" customHeight="1">
      <c r="E716" s="46"/>
    </row>
    <row r="717" spans="5:5" s="1" customFormat="1" ht="24" customHeight="1">
      <c r="E717" s="46"/>
    </row>
    <row r="718" spans="5:5" s="1" customFormat="1" ht="24" customHeight="1">
      <c r="E718" s="46"/>
    </row>
    <row r="719" spans="5:5" s="1" customFormat="1" ht="24" customHeight="1">
      <c r="E719" s="46"/>
    </row>
    <row r="720" spans="5:5" s="1" customFormat="1" ht="24" customHeight="1">
      <c r="E720" s="46"/>
    </row>
    <row r="721" spans="5:5" s="1" customFormat="1" ht="24" customHeight="1">
      <c r="E721" s="46"/>
    </row>
    <row r="722" spans="5:5" s="1" customFormat="1" ht="24" customHeight="1">
      <c r="E722" s="46"/>
    </row>
    <row r="723" spans="5:5" s="1" customFormat="1" ht="24" customHeight="1">
      <c r="E723" s="46"/>
    </row>
    <row r="724" spans="5:5" s="1" customFormat="1" ht="24" customHeight="1">
      <c r="E724" s="46"/>
    </row>
    <row r="725" spans="5:5" s="1" customFormat="1" ht="24" customHeight="1">
      <c r="E725" s="46"/>
    </row>
    <row r="726" spans="5:5" s="1" customFormat="1" ht="24" customHeight="1">
      <c r="E726" s="46"/>
    </row>
    <row r="727" spans="5:5" s="1" customFormat="1" ht="24" customHeight="1">
      <c r="E727" s="46"/>
    </row>
    <row r="728" spans="5:5" s="1" customFormat="1" ht="24" customHeight="1">
      <c r="E728" s="46"/>
    </row>
    <row r="729" spans="5:5" s="1" customFormat="1" ht="24" customHeight="1">
      <c r="E729" s="46"/>
    </row>
    <row r="730" spans="5:5" s="1" customFormat="1" ht="24" customHeight="1">
      <c r="E730" s="46"/>
    </row>
    <row r="731" spans="5:5" s="1" customFormat="1" ht="24" customHeight="1">
      <c r="E731" s="46"/>
    </row>
    <row r="732" spans="5:5" s="1" customFormat="1" ht="24" customHeight="1">
      <c r="E732" s="46"/>
    </row>
    <row r="733" spans="5:5" s="1" customFormat="1" ht="24" customHeight="1">
      <c r="E733" s="46"/>
    </row>
    <row r="734" spans="5:5" s="1" customFormat="1" ht="24" customHeight="1">
      <c r="E734" s="46"/>
    </row>
    <row r="735" spans="5:5" s="1" customFormat="1" ht="24" customHeight="1">
      <c r="E735" s="46"/>
    </row>
    <row r="736" spans="5:5" s="1" customFormat="1" ht="24" customHeight="1">
      <c r="E736" s="46"/>
    </row>
    <row r="737" spans="5:5" s="1" customFormat="1" ht="24" customHeight="1">
      <c r="E737" s="46"/>
    </row>
    <row r="738" spans="5:5" s="1" customFormat="1" ht="24" customHeight="1">
      <c r="E738" s="46"/>
    </row>
    <row r="739" spans="5:5" s="1" customFormat="1" ht="24" customHeight="1">
      <c r="E739" s="46"/>
    </row>
    <row r="740" spans="5:5" s="1" customFormat="1" ht="24" customHeight="1">
      <c r="E740" s="46"/>
    </row>
    <row r="741" spans="5:5" s="1" customFormat="1" ht="24" customHeight="1">
      <c r="E741" s="46"/>
    </row>
    <row r="742" spans="5:5" s="1" customFormat="1" ht="24" customHeight="1">
      <c r="E742" s="46"/>
    </row>
    <row r="743" spans="5:5" s="1" customFormat="1" ht="24" customHeight="1">
      <c r="E743" s="46"/>
    </row>
    <row r="744" spans="5:5" s="1" customFormat="1" ht="24" customHeight="1">
      <c r="E744" s="46"/>
    </row>
    <row r="745" spans="5:5" s="1" customFormat="1" ht="24" customHeight="1">
      <c r="E745" s="46"/>
    </row>
    <row r="746" spans="5:5" s="1" customFormat="1" ht="24" customHeight="1">
      <c r="E746" s="46"/>
    </row>
    <row r="747" spans="5:5" s="1" customFormat="1" ht="24" customHeight="1">
      <c r="E747" s="46"/>
    </row>
    <row r="748" spans="5:5" s="1" customFormat="1" ht="24" customHeight="1">
      <c r="E748" s="46"/>
    </row>
    <row r="749" spans="5:5" s="1" customFormat="1" ht="24" customHeight="1">
      <c r="E749" s="46"/>
    </row>
    <row r="750" spans="5:5" s="1" customFormat="1" ht="24" customHeight="1">
      <c r="E750" s="46"/>
    </row>
    <row r="751" spans="5:5" s="1" customFormat="1" ht="24" customHeight="1">
      <c r="E751" s="46"/>
    </row>
    <row r="752" spans="5:5" s="1" customFormat="1" ht="24" customHeight="1">
      <c r="E752" s="46"/>
    </row>
    <row r="753" spans="5:5" s="1" customFormat="1" ht="24" customHeight="1">
      <c r="E753" s="46"/>
    </row>
    <row r="754" spans="5:5" s="1" customFormat="1" ht="24" customHeight="1">
      <c r="E754" s="46"/>
    </row>
    <row r="755" spans="5:5" s="1" customFormat="1" ht="24" customHeight="1">
      <c r="E755" s="46"/>
    </row>
    <row r="756" spans="5:5" s="1" customFormat="1" ht="24" customHeight="1">
      <c r="E756" s="46"/>
    </row>
    <row r="757" spans="5:5" s="1" customFormat="1" ht="24" customHeight="1">
      <c r="E757" s="46"/>
    </row>
    <row r="758" spans="5:5" s="1" customFormat="1" ht="24" customHeight="1">
      <c r="E758" s="46"/>
    </row>
    <row r="759" spans="5:5" s="1" customFormat="1" ht="24" customHeight="1">
      <c r="E759" s="46"/>
    </row>
    <row r="760" spans="5:5" s="1" customFormat="1" ht="24" customHeight="1">
      <c r="E760" s="46"/>
    </row>
    <row r="761" spans="5:5" s="1" customFormat="1" ht="24" customHeight="1">
      <c r="E761" s="46"/>
    </row>
    <row r="762" spans="5:5" s="1" customFormat="1" ht="24" customHeight="1">
      <c r="E762" s="46"/>
    </row>
    <row r="763" spans="5:5" s="1" customFormat="1" ht="24" customHeight="1">
      <c r="E763" s="46"/>
    </row>
    <row r="764" spans="5:5" s="1" customFormat="1" ht="24" customHeight="1">
      <c r="E764" s="46"/>
    </row>
    <row r="765" spans="5:5" s="1" customFormat="1" ht="24" customHeight="1">
      <c r="E765" s="46"/>
    </row>
    <row r="766" spans="5:5" s="1" customFormat="1" ht="24" customHeight="1">
      <c r="E766" s="46"/>
    </row>
    <row r="767" spans="5:5" s="1" customFormat="1" ht="24" customHeight="1">
      <c r="E767" s="46"/>
    </row>
    <row r="768" spans="5:5" s="1" customFormat="1" ht="24" customHeight="1">
      <c r="E768" s="46"/>
    </row>
    <row r="769" spans="5:5" s="1" customFormat="1" ht="24" customHeight="1">
      <c r="E769" s="46"/>
    </row>
    <row r="770" spans="5:5" s="1" customFormat="1" ht="24" customHeight="1">
      <c r="E770" s="46"/>
    </row>
    <row r="771" spans="5:5" s="1" customFormat="1" ht="24" customHeight="1">
      <c r="E771" s="46"/>
    </row>
    <row r="772" spans="5:5" s="1" customFormat="1" ht="24" customHeight="1">
      <c r="E772" s="46"/>
    </row>
    <row r="773" spans="5:5" s="1" customFormat="1" ht="24" customHeight="1">
      <c r="E773" s="46"/>
    </row>
    <row r="774" spans="5:5" s="1" customFormat="1" ht="24" customHeight="1">
      <c r="E774" s="46"/>
    </row>
    <row r="775" spans="5:5" s="1" customFormat="1" ht="24" customHeight="1">
      <c r="E775" s="46"/>
    </row>
    <row r="776" spans="5:5" s="1" customFormat="1" ht="24" customHeight="1">
      <c r="E776" s="46"/>
    </row>
    <row r="777" spans="5:5" s="1" customFormat="1" ht="24" customHeight="1">
      <c r="E777" s="46"/>
    </row>
    <row r="778" spans="5:5" s="1" customFormat="1" ht="24" customHeight="1">
      <c r="E778" s="46"/>
    </row>
    <row r="779" spans="5:5" s="1" customFormat="1" ht="24" customHeight="1">
      <c r="E779" s="46"/>
    </row>
    <row r="780" spans="5:5" s="1" customFormat="1" ht="24" customHeight="1">
      <c r="E780" s="46"/>
    </row>
    <row r="781" spans="5:5" s="1" customFormat="1" ht="24" customHeight="1">
      <c r="E781" s="46"/>
    </row>
    <row r="782" spans="5:5" s="1" customFormat="1" ht="24" customHeight="1">
      <c r="E782" s="46"/>
    </row>
    <row r="783" spans="5:5" s="1" customFormat="1" ht="24" customHeight="1">
      <c r="E783" s="46"/>
    </row>
    <row r="784" spans="5:5" s="1" customFormat="1" ht="24" customHeight="1">
      <c r="E784" s="46"/>
    </row>
    <row r="785" spans="5:5" s="1" customFormat="1" ht="24" customHeight="1">
      <c r="E785" s="46"/>
    </row>
    <row r="786" spans="5:5" s="1" customFormat="1" ht="24" customHeight="1">
      <c r="E786" s="46"/>
    </row>
    <row r="787" spans="5:5" s="1" customFormat="1" ht="24" customHeight="1">
      <c r="E787" s="46"/>
    </row>
    <row r="788" spans="5:5" s="1" customFormat="1" ht="24" customHeight="1">
      <c r="E788" s="46"/>
    </row>
    <row r="789" spans="5:5" s="1" customFormat="1" ht="24" customHeight="1">
      <c r="E789" s="46"/>
    </row>
    <row r="790" spans="5:5" s="1" customFormat="1" ht="24" customHeight="1">
      <c r="E790" s="46"/>
    </row>
    <row r="791" spans="5:5" s="1" customFormat="1" ht="24" customHeight="1">
      <c r="E791" s="46"/>
    </row>
    <row r="792" spans="5:5" s="1" customFormat="1" ht="24" customHeight="1">
      <c r="E792" s="46"/>
    </row>
    <row r="793" spans="5:5" s="1" customFormat="1" ht="24" customHeight="1">
      <c r="E793" s="46"/>
    </row>
    <row r="794" spans="5:5" s="1" customFormat="1" ht="24" customHeight="1">
      <c r="E794" s="46"/>
    </row>
    <row r="795" spans="5:5" s="1" customFormat="1" ht="24" customHeight="1">
      <c r="E795" s="46"/>
    </row>
    <row r="796" spans="5:5" s="1" customFormat="1" ht="24" customHeight="1">
      <c r="E796" s="46"/>
    </row>
    <row r="797" spans="5:5" s="1" customFormat="1" ht="24" customHeight="1">
      <c r="E797" s="46"/>
    </row>
    <row r="798" spans="5:5" s="1" customFormat="1" ht="24" customHeight="1">
      <c r="E798" s="46"/>
    </row>
    <row r="799" spans="5:5" s="1" customFormat="1" ht="24" customHeight="1">
      <c r="E799" s="46"/>
    </row>
    <row r="800" spans="5:5" s="1" customFormat="1" ht="24" customHeight="1">
      <c r="E800" s="46"/>
    </row>
    <row r="801" spans="5:5" s="1" customFormat="1" ht="24" customHeight="1">
      <c r="E801" s="46"/>
    </row>
    <row r="802" spans="5:5" s="1" customFormat="1" ht="24" customHeight="1">
      <c r="E802" s="46"/>
    </row>
    <row r="803" spans="5:5" s="1" customFormat="1" ht="24" customHeight="1">
      <c r="E803" s="46"/>
    </row>
    <row r="804" spans="5:5" s="1" customFormat="1" ht="24" customHeight="1">
      <c r="E804" s="46"/>
    </row>
    <row r="805" spans="5:5" s="1" customFormat="1" ht="24" customHeight="1">
      <c r="E805" s="46"/>
    </row>
    <row r="806" spans="5:5" s="1" customFormat="1" ht="24" customHeight="1">
      <c r="E806" s="46"/>
    </row>
    <row r="807" spans="5:5" s="1" customFormat="1" ht="24" customHeight="1">
      <c r="E807" s="46"/>
    </row>
    <row r="808" spans="5:5" s="1" customFormat="1" ht="24" customHeight="1">
      <c r="E808" s="46"/>
    </row>
    <row r="809" spans="5:5" s="1" customFormat="1" ht="24" customHeight="1">
      <c r="E809" s="46"/>
    </row>
    <row r="810" spans="5:5" s="1" customFormat="1" ht="24" customHeight="1">
      <c r="E810" s="46"/>
    </row>
    <row r="811" spans="5:5" s="1" customFormat="1" ht="24" customHeight="1">
      <c r="E811" s="46"/>
    </row>
    <row r="812" spans="5:5" s="1" customFormat="1" ht="24" customHeight="1">
      <c r="E812" s="46"/>
    </row>
    <row r="813" spans="5:5" s="1" customFormat="1" ht="24" customHeight="1">
      <c r="E813" s="46"/>
    </row>
    <row r="814" spans="5:5" s="1" customFormat="1" ht="24" customHeight="1">
      <c r="E814" s="46"/>
    </row>
    <row r="815" spans="5:5" s="1" customFormat="1" ht="24" customHeight="1">
      <c r="E815" s="46"/>
    </row>
    <row r="816" spans="5:5" s="1" customFormat="1" ht="24" customHeight="1">
      <c r="E816" s="46"/>
    </row>
    <row r="817" spans="5:5" s="1" customFormat="1" ht="24" customHeight="1">
      <c r="E817" s="46"/>
    </row>
    <row r="818" spans="5:5" s="1" customFormat="1" ht="24" customHeight="1">
      <c r="E818" s="46"/>
    </row>
    <row r="819" spans="5:5" s="1" customFormat="1" ht="24" customHeight="1">
      <c r="E819" s="46"/>
    </row>
    <row r="820" spans="5:5" s="1" customFormat="1" ht="24" customHeight="1">
      <c r="E820" s="46"/>
    </row>
    <row r="821" spans="5:5" s="1" customFormat="1" ht="24" customHeight="1">
      <c r="E821" s="46"/>
    </row>
    <row r="822" spans="5:5" s="1" customFormat="1" ht="24" customHeight="1">
      <c r="E822" s="46"/>
    </row>
    <row r="823" spans="5:5" s="1" customFormat="1" ht="24" customHeight="1">
      <c r="E823" s="46"/>
    </row>
    <row r="824" spans="5:5" s="1" customFormat="1" ht="24" customHeight="1">
      <c r="E824" s="46"/>
    </row>
    <row r="825" spans="5:5" s="1" customFormat="1" ht="24" customHeight="1">
      <c r="E825" s="46"/>
    </row>
    <row r="826" spans="5:5" s="1" customFormat="1" ht="24" customHeight="1">
      <c r="E826" s="46"/>
    </row>
    <row r="827" spans="5:5" s="1" customFormat="1" ht="24" customHeight="1">
      <c r="E827" s="46"/>
    </row>
    <row r="828" spans="5:5" s="1" customFormat="1" ht="24" customHeight="1">
      <c r="E828" s="46"/>
    </row>
    <row r="829" spans="5:5" s="1" customFormat="1" ht="24" customHeight="1">
      <c r="E829" s="46"/>
    </row>
    <row r="830" spans="5:5" s="1" customFormat="1" ht="24" customHeight="1">
      <c r="E830" s="46"/>
    </row>
    <row r="831" spans="5:5" s="1" customFormat="1" ht="24" customHeight="1">
      <c r="E831" s="46"/>
    </row>
    <row r="832" spans="5:5" s="1" customFormat="1" ht="24" customHeight="1">
      <c r="E832" s="46"/>
    </row>
    <row r="833" spans="5:5" s="1" customFormat="1" ht="24" customHeight="1">
      <c r="E833" s="46"/>
    </row>
    <row r="834" spans="5:5" s="1" customFormat="1" ht="24" customHeight="1">
      <c r="E834" s="46"/>
    </row>
    <row r="835" spans="5:5" s="1" customFormat="1" ht="24" customHeight="1">
      <c r="E835" s="46"/>
    </row>
    <row r="836" spans="5:5" s="1" customFormat="1" ht="24" customHeight="1">
      <c r="E836" s="46"/>
    </row>
    <row r="837" spans="5:5" s="1" customFormat="1" ht="24" customHeight="1">
      <c r="E837" s="46"/>
    </row>
    <row r="838" spans="5:5" s="1" customFormat="1" ht="24" customHeight="1">
      <c r="E838" s="46"/>
    </row>
    <row r="839" spans="5:5" s="1" customFormat="1" ht="24" customHeight="1">
      <c r="E839" s="46"/>
    </row>
    <row r="840" spans="5:5" s="1" customFormat="1" ht="24" customHeight="1">
      <c r="E840" s="46"/>
    </row>
    <row r="841" spans="5:5" s="1" customFormat="1" ht="24" customHeight="1">
      <c r="E841" s="46"/>
    </row>
    <row r="842" spans="5:5" s="1" customFormat="1" ht="24" customHeight="1">
      <c r="E842" s="46"/>
    </row>
    <row r="843" spans="5:5" s="1" customFormat="1" ht="24" customHeight="1">
      <c r="E843" s="46"/>
    </row>
    <row r="844" spans="5:5" s="1" customFormat="1" ht="24" customHeight="1">
      <c r="E844" s="46"/>
    </row>
    <row r="845" spans="5:5" s="1" customFormat="1" ht="24" customHeight="1">
      <c r="E845" s="46"/>
    </row>
    <row r="846" spans="5:5" s="1" customFormat="1" ht="24" customHeight="1">
      <c r="E846" s="46"/>
    </row>
    <row r="847" spans="5:5" s="1" customFormat="1" ht="24" customHeight="1">
      <c r="E847" s="46"/>
    </row>
    <row r="848" spans="5:5" s="1" customFormat="1" ht="24" customHeight="1">
      <c r="E848" s="46"/>
    </row>
    <row r="849" spans="5:5" s="1" customFormat="1" ht="24" customHeight="1">
      <c r="E849" s="46"/>
    </row>
    <row r="850" spans="5:5" s="1" customFormat="1" ht="24" customHeight="1">
      <c r="E850" s="46"/>
    </row>
    <row r="851" spans="5:5" s="1" customFormat="1" ht="24" customHeight="1">
      <c r="E851" s="46"/>
    </row>
    <row r="852" spans="5:5" s="1" customFormat="1" ht="24" customHeight="1">
      <c r="E852" s="46"/>
    </row>
    <row r="853" spans="5:5" s="1" customFormat="1" ht="24" customHeight="1">
      <c r="E853" s="46"/>
    </row>
    <row r="854" spans="5:5" s="1" customFormat="1" ht="24" customHeight="1">
      <c r="E854" s="46"/>
    </row>
    <row r="855" spans="5:5" s="1" customFormat="1" ht="24" customHeight="1">
      <c r="E855" s="46"/>
    </row>
    <row r="856" spans="5:5" s="1" customFormat="1" ht="24" customHeight="1">
      <c r="E856" s="46"/>
    </row>
    <row r="857" spans="5:5" s="1" customFormat="1" ht="24" customHeight="1">
      <c r="E857" s="46"/>
    </row>
    <row r="858" spans="5:5" s="1" customFormat="1" ht="24" customHeight="1">
      <c r="E858" s="46"/>
    </row>
    <row r="859" spans="5:5" s="1" customFormat="1" ht="24" customHeight="1">
      <c r="E859" s="46"/>
    </row>
    <row r="860" spans="5:5" s="1" customFormat="1" ht="24" customHeight="1">
      <c r="E860" s="46"/>
    </row>
    <row r="861" spans="5:5" s="1" customFormat="1" ht="24" customHeight="1">
      <c r="E861" s="46"/>
    </row>
    <row r="862" spans="5:5" s="1" customFormat="1" ht="24" customHeight="1">
      <c r="E862" s="46"/>
    </row>
    <row r="863" spans="5:5" s="1" customFormat="1" ht="24" customHeight="1">
      <c r="E863" s="46"/>
    </row>
    <row r="864" spans="5:5" s="1" customFormat="1" ht="24" customHeight="1">
      <c r="E864" s="46"/>
    </row>
    <row r="865" spans="5:5" s="1" customFormat="1" ht="24" customHeight="1">
      <c r="E865" s="46"/>
    </row>
    <row r="866" spans="5:5" s="1" customFormat="1" ht="24" customHeight="1">
      <c r="E866" s="46"/>
    </row>
    <row r="867" spans="5:5" s="1" customFormat="1" ht="24" customHeight="1">
      <c r="E867" s="46"/>
    </row>
    <row r="868" spans="5:5" s="1" customFormat="1" ht="24" customHeight="1">
      <c r="E868" s="46"/>
    </row>
    <row r="869" spans="5:5" s="1" customFormat="1" ht="24" customHeight="1">
      <c r="E869" s="46"/>
    </row>
    <row r="870" spans="5:5" s="1" customFormat="1" ht="24" customHeight="1">
      <c r="E870" s="46"/>
    </row>
    <row r="871" spans="5:5" s="1" customFormat="1" ht="24" customHeight="1">
      <c r="E871" s="46"/>
    </row>
    <row r="872" spans="5:5" s="1" customFormat="1" ht="24" customHeight="1">
      <c r="E872" s="46"/>
    </row>
    <row r="873" spans="5:5" s="1" customFormat="1" ht="24" customHeight="1">
      <c r="E873" s="46"/>
    </row>
    <row r="874" spans="5:5" s="1" customFormat="1" ht="24" customHeight="1">
      <c r="E874" s="46"/>
    </row>
    <row r="875" spans="5:5" s="1" customFormat="1" ht="24" customHeight="1">
      <c r="E875" s="46"/>
    </row>
    <row r="876" spans="5:5" s="1" customFormat="1" ht="24" customHeight="1">
      <c r="E876" s="46"/>
    </row>
    <row r="877" spans="5:5" s="1" customFormat="1" ht="24" customHeight="1">
      <c r="E877" s="46"/>
    </row>
    <row r="878" spans="5:5" s="1" customFormat="1" ht="24" customHeight="1">
      <c r="E878" s="46"/>
    </row>
    <row r="879" spans="5:5" s="1" customFormat="1" ht="24" customHeight="1">
      <c r="E879" s="46"/>
    </row>
    <row r="880" spans="5:5" s="1" customFormat="1" ht="24" customHeight="1">
      <c r="E880" s="46"/>
    </row>
    <row r="881" spans="5:5" s="1" customFormat="1" ht="24" customHeight="1">
      <c r="E881" s="46"/>
    </row>
    <row r="882" spans="5:5" s="1" customFormat="1" ht="24" customHeight="1">
      <c r="E882" s="46"/>
    </row>
    <row r="883" spans="5:5" s="1" customFormat="1" ht="24" customHeight="1">
      <c r="E883" s="46"/>
    </row>
    <row r="884" spans="5:5" s="1" customFormat="1" ht="24" customHeight="1">
      <c r="E884" s="46"/>
    </row>
    <row r="885" spans="5:5" s="1" customFormat="1" ht="24" customHeight="1">
      <c r="E885" s="46"/>
    </row>
    <row r="886" spans="5:5" s="1" customFormat="1" ht="24" customHeight="1">
      <c r="E886" s="46"/>
    </row>
    <row r="887" spans="5:5" s="1" customFormat="1" ht="24" customHeight="1">
      <c r="E887" s="46"/>
    </row>
    <row r="888" spans="5:5" s="1" customFormat="1" ht="24" customHeight="1">
      <c r="E888" s="46"/>
    </row>
    <row r="889" spans="5:5" s="1" customFormat="1" ht="24" customHeight="1">
      <c r="E889" s="46"/>
    </row>
    <row r="890" spans="5:5" s="1" customFormat="1" ht="24" customHeight="1">
      <c r="E890" s="46"/>
    </row>
    <row r="891" spans="5:5" s="1" customFormat="1" ht="24" customHeight="1">
      <c r="E891" s="46"/>
    </row>
    <row r="892" spans="5:5" s="1" customFormat="1" ht="24" customHeight="1">
      <c r="E892" s="46"/>
    </row>
    <row r="893" spans="5:5" s="1" customFormat="1" ht="24" customHeight="1">
      <c r="E893" s="46"/>
    </row>
    <row r="894" spans="5:5" s="1" customFormat="1" ht="24" customHeight="1">
      <c r="E894" s="46"/>
    </row>
    <row r="895" spans="5:5" s="1" customFormat="1" ht="24" customHeight="1">
      <c r="E895" s="46"/>
    </row>
    <row r="896" spans="5:5" s="1" customFormat="1" ht="24" customHeight="1">
      <c r="E896" s="46"/>
    </row>
    <row r="897" spans="5:5" s="1" customFormat="1" ht="24" customHeight="1">
      <c r="E897" s="46"/>
    </row>
    <row r="898" spans="5:5" s="1" customFormat="1" ht="24" customHeight="1">
      <c r="E898" s="46"/>
    </row>
    <row r="899" spans="5:5" s="1" customFormat="1" ht="24" customHeight="1">
      <c r="E899" s="46"/>
    </row>
    <row r="900" spans="5:5" s="1" customFormat="1" ht="24" customHeight="1">
      <c r="E900" s="46"/>
    </row>
    <row r="901" spans="5:5" s="1" customFormat="1" ht="24" customHeight="1">
      <c r="E901" s="46"/>
    </row>
    <row r="902" spans="5:5" s="1" customFormat="1" ht="24" customHeight="1">
      <c r="E902" s="46"/>
    </row>
    <row r="903" spans="5:5" s="1" customFormat="1" ht="24" customHeight="1">
      <c r="E903" s="46"/>
    </row>
    <row r="904" spans="5:5" s="1" customFormat="1" ht="24" customHeight="1">
      <c r="E904" s="46"/>
    </row>
    <row r="905" spans="5:5" s="1" customFormat="1" ht="24" customHeight="1">
      <c r="E905" s="46"/>
    </row>
    <row r="906" spans="5:5" s="1" customFormat="1" ht="24" customHeight="1">
      <c r="E906" s="46"/>
    </row>
    <row r="907" spans="5:5" s="1" customFormat="1" ht="24" customHeight="1">
      <c r="E907" s="46"/>
    </row>
    <row r="908" spans="5:5" s="1" customFormat="1" ht="24" customHeight="1">
      <c r="E908" s="46"/>
    </row>
    <row r="909" spans="5:5" s="1" customFormat="1" ht="24" customHeight="1">
      <c r="E909" s="46"/>
    </row>
    <row r="910" spans="5:5" s="1" customFormat="1" ht="24" customHeight="1">
      <c r="E910" s="46"/>
    </row>
    <row r="911" spans="5:5" s="1" customFormat="1" ht="24" customHeight="1">
      <c r="E911" s="46"/>
    </row>
    <row r="912" spans="5:5" s="1" customFormat="1" ht="24" customHeight="1">
      <c r="E912" s="46"/>
    </row>
    <row r="913" spans="5:5" s="1" customFormat="1" ht="24" customHeight="1">
      <c r="E913" s="46"/>
    </row>
    <row r="914" spans="5:5" s="1" customFormat="1" ht="24" customHeight="1">
      <c r="E914" s="46"/>
    </row>
    <row r="915" spans="5:5" s="1" customFormat="1" ht="24" customHeight="1">
      <c r="E915" s="46"/>
    </row>
    <row r="916" spans="5:5" s="1" customFormat="1" ht="24" customHeight="1">
      <c r="E916" s="46"/>
    </row>
    <row r="917" spans="5:5" s="1" customFormat="1" ht="24" customHeight="1">
      <c r="E917" s="46"/>
    </row>
    <row r="918" spans="5:5" s="1" customFormat="1" ht="24" customHeight="1">
      <c r="E918" s="46"/>
    </row>
    <row r="919" spans="5:5" s="1" customFormat="1" ht="24" customHeight="1">
      <c r="E919" s="46"/>
    </row>
    <row r="920" spans="5:5" s="1" customFormat="1" ht="24" customHeight="1">
      <c r="E920" s="46"/>
    </row>
    <row r="921" spans="5:5" s="1" customFormat="1" ht="24" customHeight="1">
      <c r="E921" s="46"/>
    </row>
    <row r="922" spans="5:5" s="1" customFormat="1" ht="24" customHeight="1">
      <c r="E922" s="46"/>
    </row>
    <row r="923" spans="5:5" s="1" customFormat="1" ht="24" customHeight="1">
      <c r="E923" s="46"/>
    </row>
    <row r="924" spans="5:5" s="1" customFormat="1" ht="24" customHeight="1">
      <c r="E924" s="46"/>
    </row>
    <row r="925" spans="5:5" s="1" customFormat="1" ht="24" customHeight="1">
      <c r="E925" s="46"/>
    </row>
    <row r="926" spans="5:5" s="1" customFormat="1" ht="24" customHeight="1">
      <c r="E926" s="46"/>
    </row>
    <row r="927" spans="5:5" s="1" customFormat="1" ht="24" customHeight="1">
      <c r="E927" s="46"/>
    </row>
    <row r="928" spans="5:5" s="1" customFormat="1" ht="24" customHeight="1">
      <c r="E928" s="46"/>
    </row>
    <row r="929" spans="5:5" s="1" customFormat="1" ht="24" customHeight="1">
      <c r="E929" s="46"/>
    </row>
    <row r="930" spans="5:5" s="1" customFormat="1" ht="24" customHeight="1">
      <c r="E930" s="46"/>
    </row>
    <row r="931" spans="5:5" s="1" customFormat="1" ht="24" customHeight="1">
      <c r="E931" s="46"/>
    </row>
    <row r="932" spans="5:5" s="1" customFormat="1" ht="24" customHeight="1">
      <c r="E932" s="46"/>
    </row>
    <row r="933" spans="5:5" s="1" customFormat="1" ht="24" customHeight="1">
      <c r="E933" s="46"/>
    </row>
    <row r="934" spans="5:5" s="1" customFormat="1" ht="24" customHeight="1">
      <c r="E934" s="46"/>
    </row>
    <row r="935" spans="5:5" s="1" customFormat="1" ht="24" customHeight="1">
      <c r="E935" s="46"/>
    </row>
    <row r="936" spans="5:5" s="1" customFormat="1" ht="24" customHeight="1">
      <c r="E936" s="46"/>
    </row>
    <row r="937" spans="5:5" s="1" customFormat="1" ht="24" customHeight="1">
      <c r="E937" s="46"/>
    </row>
    <row r="938" spans="5:5" s="1" customFormat="1" ht="24" customHeight="1">
      <c r="E938" s="46"/>
    </row>
    <row r="939" spans="5:5" s="1" customFormat="1" ht="24" customHeight="1">
      <c r="E939" s="46"/>
    </row>
    <row r="940" spans="5:5" s="1" customFormat="1" ht="24" customHeight="1">
      <c r="E940" s="46"/>
    </row>
    <row r="941" spans="5:5" s="1" customFormat="1" ht="24" customHeight="1">
      <c r="E941" s="46"/>
    </row>
    <row r="942" spans="5:5" s="1" customFormat="1" ht="24" customHeight="1">
      <c r="E942" s="46"/>
    </row>
    <row r="943" spans="5:5" s="1" customFormat="1" ht="24" customHeight="1">
      <c r="E943" s="46"/>
    </row>
    <row r="944" spans="5:5" s="1" customFormat="1" ht="24" customHeight="1">
      <c r="E944" s="46"/>
    </row>
    <row r="945" spans="5:5" s="1" customFormat="1" ht="24" customHeight="1">
      <c r="E945" s="46"/>
    </row>
    <row r="946" spans="5:5" s="1" customFormat="1" ht="24" customHeight="1">
      <c r="E946" s="46"/>
    </row>
    <row r="947" spans="5:5" s="1" customFormat="1" ht="24" customHeight="1">
      <c r="E947" s="46"/>
    </row>
    <row r="948" spans="5:5" s="1" customFormat="1" ht="24" customHeight="1">
      <c r="E948" s="46"/>
    </row>
    <row r="949" spans="5:5" s="1" customFormat="1" ht="24" customHeight="1">
      <c r="E949" s="46"/>
    </row>
    <row r="950" spans="5:5" s="1" customFormat="1" ht="24" customHeight="1">
      <c r="E950" s="46"/>
    </row>
    <row r="951" spans="5:5" s="1" customFormat="1" ht="24" customHeight="1">
      <c r="E951" s="46"/>
    </row>
    <row r="952" spans="5:5" s="1" customFormat="1" ht="24" customHeight="1">
      <c r="E952" s="46"/>
    </row>
    <row r="953" spans="5:5" s="1" customFormat="1" ht="24" customHeight="1">
      <c r="E953" s="46"/>
    </row>
    <row r="954" spans="5:5" s="1" customFormat="1" ht="24" customHeight="1">
      <c r="E954" s="46"/>
    </row>
    <row r="955" spans="5:5" s="1" customFormat="1" ht="24" customHeight="1">
      <c r="E955" s="46"/>
    </row>
    <row r="956" spans="5:5" s="1" customFormat="1" ht="24" customHeight="1">
      <c r="E956" s="46"/>
    </row>
    <row r="957" spans="5:5" s="1" customFormat="1" ht="24" customHeight="1">
      <c r="E957" s="46"/>
    </row>
    <row r="958" spans="5:5" s="1" customFormat="1" ht="24" customHeight="1">
      <c r="E958" s="46"/>
    </row>
    <row r="959" spans="5:5" s="1" customFormat="1" ht="24" customHeight="1">
      <c r="E959" s="46"/>
    </row>
    <row r="960" spans="5:5" s="1" customFormat="1" ht="24" customHeight="1">
      <c r="E960" s="46"/>
    </row>
    <row r="961" spans="5:5" s="1" customFormat="1" ht="24" customHeight="1">
      <c r="E961" s="46"/>
    </row>
    <row r="962" spans="5:5" s="1" customFormat="1" ht="24" customHeight="1">
      <c r="E962" s="46"/>
    </row>
    <row r="963" spans="5:5" s="1" customFormat="1" ht="24" customHeight="1">
      <c r="E963" s="46"/>
    </row>
    <row r="964" spans="5:5" s="1" customFormat="1" ht="24" customHeight="1">
      <c r="E964" s="46"/>
    </row>
    <row r="965" spans="5:5" s="1" customFormat="1" ht="24" customHeight="1">
      <c r="E965" s="46"/>
    </row>
    <row r="966" spans="5:5" s="1" customFormat="1" ht="24" customHeight="1">
      <c r="E966" s="46"/>
    </row>
    <row r="967" spans="5:5" s="1" customFormat="1" ht="24" customHeight="1">
      <c r="E967" s="46"/>
    </row>
    <row r="968" spans="5:5" s="1" customFormat="1" ht="24" customHeight="1">
      <c r="E968" s="46"/>
    </row>
    <row r="969" spans="5:5" s="1" customFormat="1" ht="24" customHeight="1">
      <c r="E969" s="46"/>
    </row>
    <row r="970" spans="5:5" s="1" customFormat="1" ht="24" customHeight="1">
      <c r="E970" s="46"/>
    </row>
    <row r="971" spans="5:5" s="1" customFormat="1" ht="24" customHeight="1">
      <c r="E971" s="46"/>
    </row>
    <row r="972" spans="5:5" s="1" customFormat="1" ht="24" customHeight="1">
      <c r="E972" s="46"/>
    </row>
    <row r="973" spans="5:5" s="1" customFormat="1" ht="24" customHeight="1">
      <c r="E973" s="46"/>
    </row>
    <row r="974" spans="5:5" s="1" customFormat="1" ht="24" customHeight="1">
      <c r="E974" s="46"/>
    </row>
    <row r="975" spans="5:5" s="1" customFormat="1" ht="24" customHeight="1">
      <c r="E975" s="46"/>
    </row>
    <row r="976" spans="5:5" s="1" customFormat="1" ht="24" customHeight="1">
      <c r="E976" s="46"/>
    </row>
    <row r="977" spans="5:5" s="1" customFormat="1" ht="24" customHeight="1">
      <c r="E977" s="46"/>
    </row>
    <row r="978" spans="5:5" s="1" customFormat="1" ht="24" customHeight="1">
      <c r="E978" s="46"/>
    </row>
    <row r="979" spans="5:5" s="1" customFormat="1" ht="24" customHeight="1">
      <c r="E979" s="46"/>
    </row>
    <row r="980" spans="5:5" s="1" customFormat="1" ht="24" customHeight="1">
      <c r="E980" s="46"/>
    </row>
    <row r="981" spans="5:5" s="1" customFormat="1" ht="24" customHeight="1">
      <c r="E981" s="46"/>
    </row>
    <row r="982" spans="5:5" s="1" customFormat="1" ht="24" customHeight="1">
      <c r="E982" s="46"/>
    </row>
    <row r="983" spans="5:5" s="1" customFormat="1" ht="24" customHeight="1">
      <c r="E983" s="46"/>
    </row>
    <row r="984" spans="5:5" s="1" customFormat="1" ht="24" customHeight="1">
      <c r="E984" s="46"/>
    </row>
    <row r="985" spans="5:5" s="1" customFormat="1" ht="24" customHeight="1">
      <c r="E985" s="46"/>
    </row>
    <row r="986" spans="5:5" s="1" customFormat="1" ht="24" customHeight="1">
      <c r="E986" s="46"/>
    </row>
    <row r="987" spans="5:5" s="1" customFormat="1" ht="24" customHeight="1">
      <c r="E987" s="46"/>
    </row>
    <row r="988" spans="5:5" s="1" customFormat="1" ht="24" customHeight="1">
      <c r="E988" s="46"/>
    </row>
    <row r="989" spans="5:5" s="1" customFormat="1" ht="24" customHeight="1">
      <c r="E989" s="46"/>
    </row>
    <row r="990" spans="5:5" s="1" customFormat="1" ht="24" customHeight="1">
      <c r="E990" s="46"/>
    </row>
    <row r="991" spans="5:5" s="1" customFormat="1" ht="24" customHeight="1">
      <c r="E991" s="46"/>
    </row>
    <row r="992" spans="5:5" s="1" customFormat="1" ht="24" customHeight="1">
      <c r="E992" s="46"/>
    </row>
    <row r="993" spans="5:5" s="1" customFormat="1" ht="24" customHeight="1">
      <c r="E993" s="46"/>
    </row>
    <row r="994" spans="5:5" s="1" customFormat="1" ht="24" customHeight="1">
      <c r="E994" s="46"/>
    </row>
    <row r="995" spans="5:5" s="1" customFormat="1" ht="24" customHeight="1">
      <c r="E995" s="46"/>
    </row>
    <row r="996" spans="5:5" s="1" customFormat="1" ht="24" customHeight="1">
      <c r="E996" s="46"/>
    </row>
    <row r="997" spans="5:5" s="1" customFormat="1" ht="24" customHeight="1">
      <c r="E997" s="46"/>
    </row>
    <row r="998" spans="5:5" s="1" customFormat="1" ht="24" customHeight="1">
      <c r="E998" s="46"/>
    </row>
    <row r="999" spans="5:5" s="1" customFormat="1" ht="24" customHeight="1">
      <c r="E999" s="46"/>
    </row>
    <row r="1000" spans="5:5" s="1" customFormat="1" ht="24" customHeight="1">
      <c r="E1000" s="46"/>
    </row>
    <row r="1001" spans="5:5" s="1" customFormat="1" ht="24" customHeight="1">
      <c r="E1001" s="46"/>
    </row>
    <row r="1002" spans="5:5" s="1" customFormat="1" ht="24" customHeight="1">
      <c r="E1002" s="46"/>
    </row>
    <row r="1003" spans="5:5" s="1" customFormat="1" ht="24" customHeight="1">
      <c r="E1003" s="46"/>
    </row>
    <row r="1004" spans="5:5" s="1" customFormat="1" ht="24" customHeight="1">
      <c r="E1004" s="46"/>
    </row>
    <row r="1005" spans="5:5" s="1" customFormat="1" ht="24" customHeight="1">
      <c r="E1005" s="46"/>
    </row>
    <row r="1006" spans="5:5" s="1" customFormat="1" ht="24" customHeight="1">
      <c r="E1006" s="46"/>
    </row>
    <row r="1007" spans="5:5" s="1" customFormat="1" ht="24" customHeight="1">
      <c r="E1007" s="46"/>
    </row>
    <row r="1008" spans="5:5" s="1" customFormat="1" ht="24" customHeight="1">
      <c r="E1008" s="46"/>
    </row>
    <row r="1009" spans="5:5" s="1" customFormat="1" ht="24" customHeight="1">
      <c r="E1009" s="46"/>
    </row>
    <row r="1010" spans="5:5" s="1" customFormat="1" ht="24" customHeight="1">
      <c r="E1010" s="46"/>
    </row>
    <row r="1011" spans="5:5" s="1" customFormat="1" ht="24" customHeight="1">
      <c r="E1011" s="46"/>
    </row>
    <row r="1012" spans="5:5" s="1" customFormat="1" ht="24" customHeight="1">
      <c r="E1012" s="46"/>
    </row>
    <row r="1013" spans="5:5" s="1" customFormat="1" ht="24" customHeight="1">
      <c r="E1013" s="46"/>
    </row>
    <row r="1014" spans="5:5" s="1" customFormat="1" ht="24" customHeight="1">
      <c r="E1014" s="46"/>
    </row>
    <row r="1015" spans="5:5" s="1" customFormat="1" ht="24" customHeight="1">
      <c r="E1015" s="46"/>
    </row>
    <row r="1016" spans="5:5" s="1" customFormat="1" ht="24" customHeight="1">
      <c r="E1016" s="46"/>
    </row>
    <row r="1017" spans="5:5" s="1" customFormat="1" ht="24" customHeight="1">
      <c r="E1017" s="46"/>
    </row>
    <row r="1018" spans="5:5" s="1" customFormat="1" ht="24" customHeight="1">
      <c r="E1018" s="46"/>
    </row>
    <row r="1019" spans="5:5" s="1" customFormat="1" ht="24" customHeight="1">
      <c r="E1019" s="46"/>
    </row>
    <row r="1020" spans="5:5" s="1" customFormat="1" ht="24" customHeight="1">
      <c r="E1020" s="46"/>
    </row>
    <row r="1021" spans="5:5" s="1" customFormat="1" ht="24" customHeight="1">
      <c r="E1021" s="46"/>
    </row>
    <row r="1022" spans="5:5" s="1" customFormat="1" ht="24" customHeight="1">
      <c r="E1022" s="46"/>
    </row>
    <row r="1023" spans="5:5" s="1" customFormat="1" ht="24" customHeight="1">
      <c r="E1023" s="46"/>
    </row>
    <row r="1024" spans="5:5" s="1" customFormat="1" ht="24" customHeight="1">
      <c r="E1024" s="46"/>
    </row>
    <row r="1025" spans="5:5" s="1" customFormat="1" ht="24" customHeight="1">
      <c r="E1025" s="46"/>
    </row>
    <row r="1026" spans="5:5" s="1" customFormat="1" ht="24" customHeight="1">
      <c r="E1026" s="46"/>
    </row>
    <row r="1027" spans="5:5" s="1" customFormat="1" ht="24" customHeight="1">
      <c r="E1027" s="46"/>
    </row>
    <row r="1028" spans="5:5" s="1" customFormat="1" ht="24" customHeight="1">
      <c r="E1028" s="46"/>
    </row>
    <row r="1029" spans="5:5" s="1" customFormat="1" ht="24" customHeight="1">
      <c r="E1029" s="46"/>
    </row>
    <row r="1030" spans="5:5" s="1" customFormat="1" ht="24" customHeight="1">
      <c r="E1030" s="46"/>
    </row>
    <row r="1031" spans="5:5" s="1" customFormat="1" ht="24" customHeight="1">
      <c r="E1031" s="46"/>
    </row>
    <row r="1032" spans="5:5" s="1" customFormat="1" ht="24" customHeight="1">
      <c r="E1032" s="46"/>
    </row>
    <row r="1033" spans="5:5" s="1" customFormat="1" ht="24" customHeight="1">
      <c r="E1033" s="46"/>
    </row>
    <row r="1034" spans="5:5" s="1" customFormat="1" ht="24" customHeight="1">
      <c r="E1034" s="46"/>
    </row>
    <row r="1035" spans="5:5" s="1" customFormat="1" ht="24" customHeight="1">
      <c r="E1035" s="46"/>
    </row>
    <row r="1036" spans="5:5" s="1" customFormat="1" ht="24" customHeight="1">
      <c r="E1036" s="46"/>
    </row>
    <row r="1037" spans="5:5" s="1" customFormat="1" ht="24" customHeight="1">
      <c r="E1037" s="46"/>
    </row>
    <row r="1038" spans="5:5" s="1" customFormat="1" ht="24" customHeight="1">
      <c r="E1038" s="46"/>
    </row>
    <row r="1039" spans="5:5" s="1" customFormat="1" ht="24" customHeight="1">
      <c r="E1039" s="46"/>
    </row>
    <row r="1040" spans="5:5" s="1" customFormat="1" ht="24" customHeight="1">
      <c r="E1040" s="46"/>
    </row>
    <row r="1041" spans="5:5" s="1" customFormat="1" ht="24" customHeight="1">
      <c r="E1041" s="46"/>
    </row>
    <row r="1042" spans="5:5" s="1" customFormat="1" ht="24" customHeight="1">
      <c r="E1042" s="46"/>
    </row>
    <row r="1043" spans="5:5" s="1" customFormat="1" ht="24" customHeight="1">
      <c r="E1043" s="46"/>
    </row>
    <row r="1044" spans="5:5" s="1" customFormat="1" ht="24" customHeight="1">
      <c r="E1044" s="46"/>
    </row>
    <row r="1045" spans="5:5" s="1" customFormat="1" ht="24" customHeight="1">
      <c r="E1045" s="46"/>
    </row>
    <row r="1046" spans="5:5" s="1" customFormat="1" ht="24" customHeight="1">
      <c r="E1046" s="46"/>
    </row>
    <row r="1047" spans="5:5" s="1" customFormat="1" ht="24" customHeight="1">
      <c r="E1047" s="46"/>
    </row>
    <row r="1048" spans="5:5" s="1" customFormat="1" ht="24" customHeight="1">
      <c r="E1048" s="46"/>
    </row>
    <row r="1049" spans="5:5" s="1" customFormat="1" ht="24" customHeight="1">
      <c r="E1049" s="46"/>
    </row>
    <row r="1050" spans="5:5" s="1" customFormat="1" ht="24" customHeight="1">
      <c r="E1050" s="46"/>
    </row>
    <row r="1051" spans="5:5" s="1" customFormat="1" ht="24" customHeight="1">
      <c r="E1051" s="46"/>
    </row>
    <row r="1052" spans="5:5" s="1" customFormat="1" ht="24" customHeight="1">
      <c r="E1052" s="46"/>
    </row>
    <row r="1053" spans="5:5" s="1" customFormat="1" ht="24" customHeight="1">
      <c r="E1053" s="46"/>
    </row>
    <row r="1054" spans="5:5" s="1" customFormat="1" ht="24" customHeight="1">
      <c r="E1054" s="46"/>
    </row>
    <row r="1055" spans="5:5" s="1" customFormat="1" ht="24" customHeight="1">
      <c r="E1055" s="46"/>
    </row>
    <row r="1056" spans="5:5" s="1" customFormat="1" ht="24" customHeight="1">
      <c r="E1056" s="46"/>
    </row>
    <row r="1057" spans="5:5" s="1" customFormat="1" ht="24" customHeight="1">
      <c r="E1057" s="46"/>
    </row>
    <row r="1058" spans="5:5" s="1" customFormat="1" ht="24" customHeight="1">
      <c r="E1058" s="46"/>
    </row>
    <row r="1059" spans="5:5" s="1" customFormat="1" ht="24" customHeight="1">
      <c r="E1059" s="46"/>
    </row>
    <row r="1060" spans="5:5" s="1" customFormat="1" ht="24" customHeight="1">
      <c r="E1060" s="46"/>
    </row>
    <row r="1061" spans="5:5" s="1" customFormat="1" ht="24" customHeight="1">
      <c r="E1061" s="46"/>
    </row>
    <row r="1062" spans="5:5" s="1" customFormat="1" ht="24" customHeight="1">
      <c r="E1062" s="46"/>
    </row>
    <row r="1063" spans="5:5" s="1" customFormat="1" ht="24" customHeight="1">
      <c r="E1063" s="46"/>
    </row>
    <row r="1064" spans="5:5" s="1" customFormat="1" ht="24" customHeight="1">
      <c r="E1064" s="46"/>
    </row>
    <row r="1065" spans="5:5" s="1" customFormat="1" ht="24" customHeight="1">
      <c r="E1065" s="46"/>
    </row>
    <row r="1066" spans="5:5" s="1" customFormat="1" ht="24" customHeight="1">
      <c r="E1066" s="46"/>
    </row>
    <row r="1067" spans="5:5" s="1" customFormat="1" ht="24" customHeight="1">
      <c r="E1067" s="46"/>
    </row>
    <row r="1068" spans="5:5" s="1" customFormat="1" ht="24" customHeight="1">
      <c r="E1068" s="46"/>
    </row>
    <row r="1069" spans="5:5" s="1" customFormat="1" ht="24" customHeight="1">
      <c r="E1069" s="46"/>
    </row>
    <row r="1070" spans="5:5" s="1" customFormat="1" ht="24" customHeight="1">
      <c r="E1070" s="46"/>
    </row>
    <row r="1071" spans="5:5" s="1" customFormat="1" ht="24" customHeight="1">
      <c r="E1071" s="46"/>
    </row>
    <row r="1072" spans="5:5" s="1" customFormat="1" ht="24" customHeight="1">
      <c r="E1072" s="46"/>
    </row>
    <row r="1073" spans="5:5" s="1" customFormat="1" ht="24" customHeight="1">
      <c r="E1073" s="46"/>
    </row>
    <row r="1074" spans="5:5" s="1" customFormat="1" ht="24" customHeight="1">
      <c r="E1074" s="46"/>
    </row>
    <row r="1075" spans="5:5" s="1" customFormat="1" ht="24" customHeight="1">
      <c r="E1075" s="46"/>
    </row>
    <row r="1076" spans="5:5" s="1" customFormat="1" ht="24" customHeight="1">
      <c r="E1076" s="46"/>
    </row>
    <row r="1077" spans="5:5" s="1" customFormat="1" ht="24" customHeight="1">
      <c r="E1077" s="46"/>
    </row>
    <row r="1078" spans="5:5" s="1" customFormat="1" ht="24" customHeight="1">
      <c r="E1078" s="46"/>
    </row>
    <row r="1079" spans="5:5" s="1" customFormat="1" ht="24" customHeight="1">
      <c r="E1079" s="46"/>
    </row>
    <row r="1080" spans="5:5" s="1" customFormat="1" ht="24" customHeight="1">
      <c r="E1080" s="46"/>
    </row>
    <row r="1081" spans="5:5" s="1" customFormat="1" ht="24" customHeight="1">
      <c r="E1081" s="46"/>
    </row>
    <row r="1082" spans="5:5" s="1" customFormat="1" ht="24" customHeight="1">
      <c r="E1082" s="46"/>
    </row>
    <row r="1083" spans="5:5" s="1" customFormat="1" ht="24" customHeight="1">
      <c r="E1083" s="46"/>
    </row>
    <row r="1084" spans="5:5" s="1" customFormat="1" ht="24" customHeight="1">
      <c r="E1084" s="46"/>
    </row>
    <row r="1085" spans="5:5" s="1" customFormat="1" ht="24" customHeight="1">
      <c r="E1085" s="46"/>
    </row>
    <row r="1086" spans="5:5" s="1" customFormat="1" ht="24" customHeight="1">
      <c r="E1086" s="46"/>
    </row>
    <row r="1087" spans="5:5" s="1" customFormat="1" ht="24" customHeight="1">
      <c r="E1087" s="46"/>
    </row>
    <row r="1088" spans="5:5" s="1" customFormat="1" ht="24" customHeight="1">
      <c r="E1088" s="46"/>
    </row>
    <row r="1089" spans="5:5" s="1" customFormat="1" ht="24" customHeight="1">
      <c r="E1089" s="46"/>
    </row>
    <row r="1090" spans="5:5" s="1" customFormat="1" ht="24" customHeight="1">
      <c r="E1090" s="46"/>
    </row>
    <row r="1091" spans="5:5" s="1" customFormat="1" ht="24" customHeight="1">
      <c r="E1091" s="46"/>
    </row>
    <row r="1092" spans="5:5" s="1" customFormat="1" ht="24" customHeight="1">
      <c r="E1092" s="46"/>
    </row>
    <row r="1093" spans="5:5" s="1" customFormat="1" ht="24" customHeight="1">
      <c r="E1093" s="46"/>
    </row>
    <row r="1094" spans="5:5" s="1" customFormat="1" ht="24" customHeight="1">
      <c r="E1094" s="46"/>
    </row>
    <row r="1095" spans="5:5" s="1" customFormat="1" ht="24" customHeight="1">
      <c r="E1095" s="46"/>
    </row>
    <row r="1096" spans="5:5" s="1" customFormat="1" ht="24" customHeight="1">
      <c r="E1096" s="46"/>
    </row>
    <row r="1097" spans="5:5" s="1" customFormat="1" ht="24" customHeight="1">
      <c r="E1097" s="46"/>
    </row>
    <row r="1098" spans="5:5" s="1" customFormat="1" ht="24" customHeight="1">
      <c r="E1098" s="46"/>
    </row>
    <row r="1099" spans="5:5" s="1" customFormat="1" ht="24" customHeight="1">
      <c r="E1099" s="46"/>
    </row>
    <row r="1100" spans="5:5" s="1" customFormat="1" ht="24" customHeight="1">
      <c r="E1100" s="46"/>
    </row>
    <row r="1101" spans="5:5" s="1" customFormat="1" ht="24" customHeight="1">
      <c r="E1101" s="46"/>
    </row>
    <row r="1102" spans="5:5" s="1" customFormat="1" ht="24" customHeight="1">
      <c r="E1102" s="46"/>
    </row>
    <row r="1103" spans="5:5" s="1" customFormat="1" ht="24" customHeight="1">
      <c r="E1103" s="46"/>
    </row>
    <row r="1104" spans="5:5" s="1" customFormat="1" ht="24" customHeight="1">
      <c r="E1104" s="46"/>
    </row>
    <row r="1105" spans="5:5" s="1" customFormat="1" ht="24" customHeight="1">
      <c r="E1105" s="46"/>
    </row>
    <row r="1106" spans="5:5" s="1" customFormat="1" ht="24" customHeight="1">
      <c r="E1106" s="46"/>
    </row>
    <row r="1107" spans="5:5" s="1" customFormat="1" ht="24" customHeight="1">
      <c r="E1107" s="46"/>
    </row>
    <row r="1108" spans="5:5" s="1" customFormat="1" ht="24" customHeight="1">
      <c r="E1108" s="46"/>
    </row>
    <row r="1109" spans="5:5" s="1" customFormat="1" ht="24" customHeight="1">
      <c r="E1109" s="46"/>
    </row>
    <row r="1110" spans="5:5" s="1" customFormat="1" ht="24" customHeight="1">
      <c r="E1110" s="46"/>
    </row>
    <row r="1111" spans="5:5" s="1" customFormat="1" ht="24" customHeight="1">
      <c r="E1111" s="46"/>
    </row>
    <row r="1112" spans="5:5" s="1" customFormat="1" ht="24" customHeight="1">
      <c r="E1112" s="46"/>
    </row>
    <row r="1113" spans="5:5" s="1" customFormat="1" ht="24" customHeight="1">
      <c r="E1113" s="46"/>
    </row>
    <row r="1114" spans="5:5" s="1" customFormat="1" ht="24" customHeight="1">
      <c r="E1114" s="46"/>
    </row>
    <row r="1115" spans="5:5" s="1" customFormat="1" ht="24" customHeight="1">
      <c r="E1115" s="46"/>
    </row>
    <row r="1116" spans="5:5" s="1" customFormat="1" ht="24" customHeight="1">
      <c r="E1116" s="46"/>
    </row>
    <row r="1117" spans="5:5" s="1" customFormat="1" ht="24" customHeight="1">
      <c r="E1117" s="46"/>
    </row>
    <row r="1118" spans="5:5" s="1" customFormat="1" ht="24" customHeight="1">
      <c r="E1118" s="46"/>
    </row>
    <row r="1119" spans="5:5" s="1" customFormat="1" ht="24" customHeight="1">
      <c r="E1119" s="46"/>
    </row>
    <row r="1120" spans="5:5" s="1" customFormat="1" ht="24" customHeight="1">
      <c r="E1120" s="46"/>
    </row>
    <row r="1121" spans="5:5" s="1" customFormat="1" ht="24" customHeight="1">
      <c r="E1121" s="46"/>
    </row>
    <row r="1122" spans="5:5" s="1" customFormat="1" ht="24" customHeight="1">
      <c r="E1122" s="46"/>
    </row>
    <row r="1123" spans="5:5" s="1" customFormat="1" ht="24" customHeight="1">
      <c r="E1123" s="46"/>
    </row>
    <row r="1124" spans="5:5" s="1" customFormat="1" ht="24" customHeight="1">
      <c r="E1124" s="46"/>
    </row>
    <row r="1125" spans="5:5" s="1" customFormat="1" ht="24" customHeight="1">
      <c r="E1125" s="46"/>
    </row>
    <row r="1126" spans="5:5" s="1" customFormat="1" ht="24" customHeight="1">
      <c r="E1126" s="46"/>
    </row>
    <row r="1127" spans="5:5" s="1" customFormat="1" ht="24" customHeight="1">
      <c r="E1127" s="46"/>
    </row>
    <row r="1128" spans="5:5" s="1" customFormat="1" ht="24" customHeight="1">
      <c r="E1128" s="46"/>
    </row>
    <row r="1129" spans="5:5" s="1" customFormat="1" ht="24" customHeight="1">
      <c r="E1129" s="46"/>
    </row>
    <row r="1130" spans="5:5" s="1" customFormat="1" ht="24" customHeight="1">
      <c r="E1130" s="46"/>
    </row>
    <row r="1131" spans="5:5" s="1" customFormat="1" ht="24" customHeight="1">
      <c r="E1131" s="46"/>
    </row>
    <row r="1132" spans="5:5" s="1" customFormat="1" ht="24" customHeight="1">
      <c r="E1132" s="46"/>
    </row>
    <row r="1133" spans="5:5" s="1" customFormat="1" ht="24" customHeight="1">
      <c r="E1133" s="46"/>
    </row>
    <row r="1134" spans="5:5" s="1" customFormat="1" ht="24" customHeight="1">
      <c r="E1134" s="46"/>
    </row>
    <row r="1135" spans="5:5" s="1" customFormat="1" ht="24" customHeight="1">
      <c r="E1135" s="46"/>
    </row>
    <row r="1136" spans="5:5" s="1" customFormat="1" ht="24" customHeight="1">
      <c r="E1136" s="46"/>
    </row>
    <row r="1137" spans="5:5" s="1" customFormat="1" ht="24" customHeight="1">
      <c r="E1137" s="46"/>
    </row>
    <row r="1138" spans="5:5" s="1" customFormat="1" ht="24" customHeight="1">
      <c r="E1138" s="46"/>
    </row>
    <row r="1139" spans="5:5" s="1" customFormat="1" ht="24" customHeight="1">
      <c r="E1139" s="46"/>
    </row>
    <row r="1140" spans="5:5" s="1" customFormat="1" ht="24" customHeight="1">
      <c r="E1140" s="46"/>
    </row>
    <row r="1141" spans="5:5" s="1" customFormat="1" ht="24" customHeight="1">
      <c r="E1141" s="46"/>
    </row>
    <row r="1142" spans="5:5" s="1" customFormat="1" ht="24" customHeight="1">
      <c r="E1142" s="46"/>
    </row>
    <row r="1143" spans="5:5" s="1" customFormat="1" ht="24" customHeight="1">
      <c r="E1143" s="46"/>
    </row>
    <row r="1144" spans="5:5" s="1" customFormat="1" ht="24" customHeight="1">
      <c r="E1144" s="46"/>
    </row>
    <row r="1145" spans="5:5" s="1" customFormat="1" ht="24" customHeight="1">
      <c r="E1145" s="46"/>
    </row>
    <row r="1146" spans="5:5" s="1" customFormat="1" ht="24" customHeight="1">
      <c r="E1146" s="46"/>
    </row>
    <row r="1147" spans="5:5" s="1" customFormat="1" ht="24" customHeight="1">
      <c r="E1147" s="46"/>
    </row>
    <row r="1148" spans="5:5" s="1" customFormat="1" ht="24" customHeight="1">
      <c r="E1148" s="46"/>
    </row>
    <row r="1149" spans="5:5" s="1" customFormat="1" ht="24" customHeight="1">
      <c r="E1149" s="46"/>
    </row>
    <row r="1150" spans="5:5" s="1" customFormat="1" ht="24" customHeight="1">
      <c r="E1150" s="46"/>
    </row>
    <row r="1151" spans="5:5" s="1" customFormat="1" ht="24" customHeight="1">
      <c r="E1151" s="46"/>
    </row>
    <row r="1152" spans="5:5" s="1" customFormat="1" ht="24" customHeight="1">
      <c r="E1152" s="46"/>
    </row>
    <row r="1153" spans="5:5" s="1" customFormat="1" ht="24" customHeight="1">
      <c r="E1153" s="46"/>
    </row>
    <row r="1154" spans="5:5" s="1" customFormat="1" ht="24" customHeight="1">
      <c r="E1154" s="46"/>
    </row>
    <row r="1155" spans="5:5" s="1" customFormat="1" ht="24" customHeight="1">
      <c r="E1155" s="46"/>
    </row>
    <row r="1156" spans="5:5" s="1" customFormat="1" ht="24" customHeight="1">
      <c r="E1156" s="46"/>
    </row>
    <row r="1157" spans="5:5" s="1" customFormat="1" ht="24" customHeight="1">
      <c r="E1157" s="46"/>
    </row>
    <row r="1158" spans="5:5" s="1" customFormat="1" ht="24" customHeight="1">
      <c r="E1158" s="46"/>
    </row>
    <row r="1159" spans="5:5" s="1" customFormat="1" ht="24" customHeight="1">
      <c r="E1159" s="46"/>
    </row>
    <row r="1160" spans="5:5" s="1" customFormat="1" ht="24" customHeight="1">
      <c r="E1160" s="46"/>
    </row>
    <row r="1161" spans="5:5" s="1" customFormat="1" ht="24" customHeight="1">
      <c r="E1161" s="46"/>
    </row>
    <row r="1162" spans="5:5" s="1" customFormat="1" ht="24" customHeight="1">
      <c r="E1162" s="46"/>
    </row>
    <row r="1163" spans="5:5" s="1" customFormat="1" ht="24" customHeight="1">
      <c r="E1163" s="46"/>
    </row>
    <row r="1164" spans="5:5" s="1" customFormat="1" ht="24" customHeight="1">
      <c r="E1164" s="46"/>
    </row>
    <row r="1165" spans="5:5" s="1" customFormat="1" ht="24" customHeight="1">
      <c r="E1165" s="46"/>
    </row>
    <row r="1166" spans="5:5" s="1" customFormat="1" ht="24" customHeight="1">
      <c r="E1166" s="46"/>
    </row>
    <row r="1167" spans="5:5" s="1" customFormat="1" ht="24" customHeight="1">
      <c r="E1167" s="46"/>
    </row>
    <row r="1168" spans="5:5" s="1" customFormat="1" ht="24" customHeight="1">
      <c r="E1168" s="46"/>
    </row>
    <row r="1169" spans="5:5" s="1" customFormat="1" ht="24" customHeight="1">
      <c r="E1169" s="46"/>
    </row>
    <row r="1170" spans="5:5" s="1" customFormat="1" ht="24" customHeight="1">
      <c r="E1170" s="46"/>
    </row>
    <row r="1171" spans="5:5" s="1" customFormat="1" ht="24" customHeight="1">
      <c r="E1171" s="46"/>
    </row>
    <row r="1172" spans="5:5" s="1" customFormat="1" ht="24" customHeight="1">
      <c r="E1172" s="46"/>
    </row>
    <row r="1173" spans="5:5" s="1" customFormat="1" ht="24" customHeight="1">
      <c r="E1173" s="46"/>
    </row>
    <row r="1174" spans="5:5" s="1" customFormat="1" ht="24" customHeight="1">
      <c r="E1174" s="46"/>
    </row>
    <row r="1175" spans="5:5" s="1" customFormat="1" ht="24" customHeight="1">
      <c r="E1175" s="46"/>
    </row>
    <row r="1176" spans="5:5" s="1" customFormat="1" ht="24" customHeight="1">
      <c r="E1176" s="46"/>
    </row>
    <row r="1177" spans="5:5" s="1" customFormat="1" ht="24" customHeight="1">
      <c r="E1177" s="46"/>
    </row>
    <row r="1178" spans="5:5" s="1" customFormat="1" ht="24" customHeight="1">
      <c r="E1178" s="46"/>
    </row>
    <row r="1179" spans="5:5" s="1" customFormat="1" ht="24" customHeight="1">
      <c r="E1179" s="46"/>
    </row>
    <row r="1180" spans="5:5" s="1" customFormat="1" ht="24" customHeight="1">
      <c r="E1180" s="46"/>
    </row>
    <row r="1181" spans="5:5" s="1" customFormat="1" ht="24" customHeight="1">
      <c r="E1181" s="46"/>
    </row>
    <row r="1182" spans="5:5" s="1" customFormat="1" ht="24" customHeight="1">
      <c r="E1182" s="46"/>
    </row>
    <row r="1183" spans="5:5" s="1" customFormat="1" ht="24" customHeight="1">
      <c r="E1183" s="46"/>
    </row>
    <row r="1184" spans="5:5" s="1" customFormat="1" ht="24" customHeight="1">
      <c r="E1184" s="46"/>
    </row>
    <row r="1185" spans="5:5" s="1" customFormat="1" ht="24" customHeight="1">
      <c r="E1185" s="46"/>
    </row>
    <row r="1186" spans="5:5" s="1" customFormat="1" ht="24" customHeight="1">
      <c r="E1186" s="46"/>
    </row>
    <row r="1187" spans="5:5" s="1" customFormat="1" ht="24" customHeight="1">
      <c r="E1187" s="46"/>
    </row>
    <row r="1188" spans="5:5" s="1" customFormat="1" ht="24" customHeight="1">
      <c r="E1188" s="46"/>
    </row>
    <row r="1189" spans="5:5" s="1" customFormat="1" ht="24" customHeight="1">
      <c r="E1189" s="46"/>
    </row>
    <row r="1190" spans="5:5" s="1" customFormat="1" ht="24" customHeight="1">
      <c r="E1190" s="46"/>
    </row>
    <row r="1191" spans="5:5" s="1" customFormat="1" ht="24" customHeight="1">
      <c r="E1191" s="46"/>
    </row>
    <row r="1192" spans="5:5" s="1" customFormat="1" ht="24" customHeight="1">
      <c r="E1192" s="46"/>
    </row>
    <row r="1193" spans="5:5" s="1" customFormat="1" ht="24" customHeight="1">
      <c r="E1193" s="46"/>
    </row>
    <row r="1194" spans="5:5" s="1" customFormat="1" ht="24" customHeight="1">
      <c r="E1194" s="46"/>
    </row>
    <row r="1195" spans="5:5" s="1" customFormat="1" ht="24" customHeight="1">
      <c r="E1195" s="46"/>
    </row>
    <row r="1196" spans="5:5" s="1" customFormat="1" ht="24" customHeight="1">
      <c r="E1196" s="46"/>
    </row>
    <row r="1197" spans="5:5" s="1" customFormat="1" ht="24" customHeight="1">
      <c r="E1197" s="46"/>
    </row>
    <row r="1198" spans="5:5" s="1" customFormat="1" ht="24" customHeight="1">
      <c r="E1198" s="46"/>
    </row>
    <row r="1199" spans="5:5" s="1" customFormat="1" ht="24" customHeight="1">
      <c r="E1199" s="46"/>
    </row>
    <row r="1200" spans="5:5" s="1" customFormat="1" ht="24" customHeight="1">
      <c r="E1200" s="46"/>
    </row>
    <row r="1201" spans="5:5" s="1" customFormat="1" ht="24" customHeight="1">
      <c r="E1201" s="46"/>
    </row>
    <row r="1202" spans="5:5" s="1" customFormat="1" ht="24" customHeight="1">
      <c r="E1202" s="46"/>
    </row>
    <row r="1203" spans="5:5" s="1" customFormat="1" ht="24" customHeight="1">
      <c r="E1203" s="46"/>
    </row>
    <row r="1204" spans="5:5" s="1" customFormat="1" ht="24" customHeight="1">
      <c r="E1204" s="46"/>
    </row>
    <row r="1205" spans="5:5" s="1" customFormat="1" ht="24" customHeight="1">
      <c r="E1205" s="46"/>
    </row>
    <row r="1206" spans="5:5" s="1" customFormat="1" ht="24" customHeight="1">
      <c r="E1206" s="46"/>
    </row>
    <row r="1207" spans="5:5" s="1" customFormat="1" ht="24" customHeight="1">
      <c r="E1207" s="46"/>
    </row>
    <row r="1208" spans="5:5" s="1" customFormat="1" ht="24" customHeight="1">
      <c r="E1208" s="46"/>
    </row>
    <row r="1209" spans="5:5" s="1" customFormat="1" ht="24" customHeight="1">
      <c r="E1209" s="46"/>
    </row>
    <row r="1210" spans="5:5" s="1" customFormat="1" ht="24" customHeight="1">
      <c r="E1210" s="46"/>
    </row>
    <row r="1211" spans="5:5" s="1" customFormat="1" ht="24" customHeight="1">
      <c r="E1211" s="46"/>
    </row>
    <row r="1212" spans="5:5" s="1" customFormat="1" ht="24" customHeight="1">
      <c r="E1212" s="46"/>
    </row>
    <row r="1213" spans="5:5" s="1" customFormat="1" ht="24" customHeight="1">
      <c r="E1213" s="46"/>
    </row>
    <row r="1214" spans="5:5" s="1" customFormat="1" ht="24" customHeight="1">
      <c r="E1214" s="46"/>
    </row>
    <row r="1215" spans="5:5" s="1" customFormat="1" ht="24" customHeight="1">
      <c r="E1215" s="46"/>
    </row>
    <row r="1216" spans="5:5" s="1" customFormat="1" ht="24" customHeight="1">
      <c r="E1216" s="46"/>
    </row>
    <row r="1217" spans="5:5" s="1" customFormat="1" ht="24" customHeight="1">
      <c r="E1217" s="46"/>
    </row>
    <row r="1218" spans="5:5" s="1" customFormat="1" ht="24" customHeight="1">
      <c r="E1218" s="46"/>
    </row>
    <row r="1219" spans="5:5" s="1" customFormat="1" ht="24" customHeight="1">
      <c r="E1219" s="46"/>
    </row>
    <row r="1220" spans="5:5" s="1" customFormat="1" ht="24" customHeight="1">
      <c r="E1220" s="46"/>
    </row>
    <row r="1221" spans="5:5" s="1" customFormat="1" ht="24" customHeight="1">
      <c r="E1221" s="46"/>
    </row>
    <row r="1222" spans="5:5" s="1" customFormat="1" ht="24" customHeight="1">
      <c r="E1222" s="46"/>
    </row>
    <row r="1223" spans="5:5" s="1" customFormat="1" ht="24" customHeight="1">
      <c r="E1223" s="46"/>
    </row>
    <row r="1224" spans="5:5" s="1" customFormat="1" ht="24" customHeight="1">
      <c r="E1224" s="46"/>
    </row>
    <row r="1225" spans="5:5" s="1" customFormat="1" ht="24" customHeight="1">
      <c r="E1225" s="46"/>
    </row>
    <row r="1226" spans="5:5" s="1" customFormat="1" ht="24" customHeight="1">
      <c r="E1226" s="46"/>
    </row>
    <row r="1227" spans="5:5" s="1" customFormat="1" ht="24" customHeight="1">
      <c r="E1227" s="46"/>
    </row>
    <row r="1228" spans="5:5" s="1" customFormat="1" ht="24" customHeight="1">
      <c r="E1228" s="46"/>
    </row>
    <row r="1229" spans="5:5" s="1" customFormat="1" ht="24" customHeight="1">
      <c r="E1229" s="46"/>
    </row>
    <row r="1230" spans="5:5" s="1" customFormat="1" ht="24" customHeight="1">
      <c r="E1230" s="46"/>
    </row>
    <row r="1231" spans="5:5" s="1" customFormat="1" ht="24" customHeight="1">
      <c r="E1231" s="46"/>
    </row>
    <row r="1232" spans="5:5" s="1" customFormat="1" ht="24" customHeight="1">
      <c r="E1232" s="46"/>
    </row>
    <row r="1233" spans="5:5" s="1" customFormat="1" ht="24" customHeight="1">
      <c r="E1233" s="46"/>
    </row>
    <row r="1234" spans="5:5" s="1" customFormat="1" ht="24" customHeight="1">
      <c r="E1234" s="46"/>
    </row>
    <row r="1235" spans="5:5" s="1" customFormat="1" ht="24" customHeight="1">
      <c r="E1235" s="46"/>
    </row>
    <row r="1236" spans="5:5" s="1" customFormat="1" ht="24" customHeight="1">
      <c r="E1236" s="46"/>
    </row>
    <row r="1237" spans="5:5" s="1" customFormat="1" ht="24" customHeight="1">
      <c r="E1237" s="46"/>
    </row>
    <row r="1238" spans="5:5" s="1" customFormat="1" ht="24" customHeight="1">
      <c r="E1238" s="46"/>
    </row>
    <row r="1239" spans="5:5" s="1" customFormat="1" ht="24" customHeight="1">
      <c r="E1239" s="46"/>
    </row>
    <row r="1240" spans="5:5" s="1" customFormat="1" ht="24" customHeight="1">
      <c r="E1240" s="46"/>
    </row>
    <row r="1241" spans="5:5" s="1" customFormat="1" ht="24" customHeight="1">
      <c r="E1241" s="46"/>
    </row>
    <row r="1242" spans="5:5" s="1" customFormat="1" ht="24" customHeight="1">
      <c r="E1242" s="46"/>
    </row>
    <row r="1243" spans="5:5" s="1" customFormat="1" ht="24" customHeight="1">
      <c r="E1243" s="46"/>
    </row>
    <row r="1244" spans="5:5" s="1" customFormat="1" ht="24" customHeight="1">
      <c r="E1244" s="46"/>
    </row>
    <row r="1245" spans="5:5" s="1" customFormat="1" ht="24" customHeight="1">
      <c r="E1245" s="46"/>
    </row>
    <row r="1246" spans="5:5" s="1" customFormat="1" ht="24" customHeight="1">
      <c r="E1246" s="46"/>
    </row>
    <row r="1247" spans="5:5" s="1" customFormat="1" ht="24" customHeight="1">
      <c r="E1247" s="46"/>
    </row>
    <row r="1248" spans="5:5" s="1" customFormat="1" ht="24" customHeight="1">
      <c r="E1248" s="46"/>
    </row>
    <row r="1249" spans="5:5" s="1" customFormat="1" ht="24" customHeight="1">
      <c r="E1249" s="46"/>
    </row>
    <row r="1250" spans="5:5" s="1" customFormat="1" ht="24" customHeight="1">
      <c r="E1250" s="46"/>
    </row>
    <row r="1251" spans="5:5" s="1" customFormat="1" ht="24" customHeight="1">
      <c r="E1251" s="46"/>
    </row>
    <row r="1252" spans="5:5" s="1" customFormat="1" ht="24" customHeight="1">
      <c r="E1252" s="46"/>
    </row>
    <row r="1253" spans="5:5" s="1" customFormat="1" ht="24" customHeight="1">
      <c r="E1253" s="46"/>
    </row>
    <row r="1254" spans="5:5" s="1" customFormat="1" ht="24" customHeight="1">
      <c r="E1254" s="46"/>
    </row>
    <row r="1255" spans="5:5" s="1" customFormat="1" ht="24" customHeight="1">
      <c r="E1255" s="46"/>
    </row>
    <row r="1256" spans="5:5" s="1" customFormat="1" ht="24" customHeight="1">
      <c r="E1256" s="46"/>
    </row>
    <row r="1257" spans="5:5" s="1" customFormat="1" ht="24" customHeight="1">
      <c r="E1257" s="46"/>
    </row>
    <row r="1258" spans="5:5" s="1" customFormat="1" ht="24" customHeight="1">
      <c r="E1258" s="46"/>
    </row>
    <row r="1259" spans="5:5" s="1" customFormat="1" ht="24" customHeight="1">
      <c r="E1259" s="46"/>
    </row>
    <row r="1260" spans="5:5" s="1" customFormat="1" ht="24" customHeight="1">
      <c r="E1260" s="46"/>
    </row>
    <row r="1261" spans="5:5" s="1" customFormat="1" ht="24" customHeight="1">
      <c r="E1261" s="46"/>
    </row>
    <row r="1262" spans="5:5" s="1" customFormat="1" ht="24" customHeight="1">
      <c r="E1262" s="46"/>
    </row>
    <row r="1263" spans="5:5" s="1" customFormat="1" ht="24" customHeight="1">
      <c r="E1263" s="46"/>
    </row>
    <row r="1264" spans="5:5" s="1" customFormat="1" ht="24" customHeight="1">
      <c r="E1264" s="46"/>
    </row>
    <row r="1265" spans="5:5" s="1" customFormat="1" ht="24" customHeight="1">
      <c r="E1265" s="46"/>
    </row>
    <row r="1266" spans="5:5" s="1" customFormat="1" ht="24" customHeight="1">
      <c r="E1266" s="46"/>
    </row>
    <row r="1267" spans="5:5" s="1" customFormat="1" ht="24" customHeight="1">
      <c r="E1267" s="46"/>
    </row>
    <row r="1268" spans="5:5" s="1" customFormat="1" ht="24" customHeight="1">
      <c r="E1268" s="46"/>
    </row>
    <row r="1269" spans="5:5" s="1" customFormat="1" ht="24" customHeight="1">
      <c r="E1269" s="46"/>
    </row>
    <row r="1270" spans="5:5" s="1" customFormat="1" ht="24" customHeight="1">
      <c r="E1270" s="46"/>
    </row>
    <row r="1271" spans="5:5" s="1" customFormat="1" ht="24" customHeight="1">
      <c r="E1271" s="46"/>
    </row>
    <row r="1272" spans="5:5" s="1" customFormat="1" ht="24" customHeight="1">
      <c r="E1272" s="46"/>
    </row>
    <row r="1273" spans="5:5" s="1" customFormat="1" ht="24" customHeight="1">
      <c r="E1273" s="46"/>
    </row>
    <row r="1274" spans="5:5" s="1" customFormat="1" ht="24" customHeight="1">
      <c r="E1274" s="46"/>
    </row>
    <row r="1275" spans="5:5" s="1" customFormat="1" ht="24" customHeight="1">
      <c r="E1275" s="46"/>
    </row>
    <row r="1276" spans="5:5" s="1" customFormat="1" ht="24" customHeight="1">
      <c r="E1276" s="46"/>
    </row>
    <row r="1277" spans="5:5" s="1" customFormat="1" ht="24" customHeight="1">
      <c r="E1277" s="46"/>
    </row>
    <row r="1278" spans="5:5" s="1" customFormat="1" ht="24" customHeight="1">
      <c r="E1278" s="46"/>
    </row>
    <row r="1279" spans="5:5" s="1" customFormat="1" ht="24" customHeight="1">
      <c r="E1279" s="46"/>
    </row>
    <row r="1280" spans="5:5" s="1" customFormat="1" ht="24" customHeight="1">
      <c r="E1280" s="46"/>
    </row>
    <row r="1281" spans="5:5" s="1" customFormat="1" ht="24" customHeight="1">
      <c r="E1281" s="46"/>
    </row>
    <row r="1282" spans="5:5" s="1" customFormat="1" ht="24" customHeight="1">
      <c r="E1282" s="46"/>
    </row>
    <row r="1283" spans="5:5" s="1" customFormat="1" ht="24" customHeight="1">
      <c r="E1283" s="46"/>
    </row>
    <row r="1284" spans="5:5" s="1" customFormat="1" ht="24" customHeight="1">
      <c r="E1284" s="46"/>
    </row>
    <row r="1285" spans="5:5" s="1" customFormat="1" ht="24" customHeight="1">
      <c r="E1285" s="46"/>
    </row>
    <row r="1286" spans="5:5" s="1" customFormat="1" ht="24" customHeight="1">
      <c r="E1286" s="46"/>
    </row>
    <row r="1287" spans="5:5" s="1" customFormat="1" ht="24" customHeight="1">
      <c r="E1287" s="46"/>
    </row>
    <row r="1288" spans="5:5" s="1" customFormat="1" ht="24" customHeight="1">
      <c r="E1288" s="46"/>
    </row>
    <row r="1289" spans="5:5" s="1" customFormat="1" ht="24" customHeight="1">
      <c r="E1289" s="46"/>
    </row>
    <row r="1290" spans="5:5" s="1" customFormat="1" ht="24" customHeight="1">
      <c r="E1290" s="46"/>
    </row>
    <row r="1291" spans="5:5" s="1" customFormat="1" ht="24" customHeight="1">
      <c r="E1291" s="46"/>
    </row>
    <row r="1292" spans="5:5" s="1" customFormat="1" ht="24" customHeight="1">
      <c r="E1292" s="46"/>
    </row>
    <row r="1293" spans="5:5" s="1" customFormat="1" ht="24" customHeight="1">
      <c r="E1293" s="46"/>
    </row>
    <row r="1294" spans="5:5" s="1" customFormat="1" ht="24" customHeight="1">
      <c r="E1294" s="46"/>
    </row>
    <row r="1295" spans="5:5" s="1" customFormat="1" ht="24" customHeight="1">
      <c r="E1295" s="46"/>
    </row>
    <row r="1296" spans="5:5" s="1" customFormat="1" ht="24" customHeight="1">
      <c r="E1296" s="46"/>
    </row>
    <row r="1297" spans="5:5" s="1" customFormat="1" ht="24" customHeight="1">
      <c r="E1297" s="46"/>
    </row>
    <row r="1298" spans="5:5" s="1" customFormat="1" ht="24" customHeight="1">
      <c r="E1298" s="46"/>
    </row>
    <row r="1299" spans="5:5" s="1" customFormat="1" ht="24" customHeight="1">
      <c r="E1299" s="46"/>
    </row>
    <row r="1300" spans="5:5" s="1" customFormat="1" ht="24" customHeight="1">
      <c r="E1300" s="46"/>
    </row>
    <row r="1301" spans="5:5" s="1" customFormat="1" ht="24" customHeight="1">
      <c r="E1301" s="46"/>
    </row>
    <row r="1302" spans="5:5" s="1" customFormat="1" ht="24" customHeight="1">
      <c r="E1302" s="46"/>
    </row>
    <row r="1303" spans="5:5" s="1" customFormat="1" ht="24" customHeight="1">
      <c r="E1303" s="46"/>
    </row>
    <row r="1304" spans="5:5" s="1" customFormat="1" ht="24" customHeight="1">
      <c r="E1304" s="46"/>
    </row>
    <row r="1305" spans="5:5" s="1" customFormat="1" ht="24" customHeight="1">
      <c r="E1305" s="46"/>
    </row>
    <row r="1306" spans="5:5" s="1" customFormat="1" ht="24" customHeight="1">
      <c r="E1306" s="46"/>
    </row>
    <row r="1307" spans="5:5" s="1" customFormat="1" ht="24" customHeight="1">
      <c r="E1307" s="46"/>
    </row>
    <row r="1308" spans="5:5" s="1" customFormat="1" ht="24" customHeight="1">
      <c r="E1308" s="46"/>
    </row>
    <row r="1309" spans="5:5" s="1" customFormat="1" ht="24" customHeight="1">
      <c r="E1309" s="46"/>
    </row>
    <row r="1310" spans="5:5" s="1" customFormat="1" ht="24" customHeight="1">
      <c r="E1310" s="46"/>
    </row>
    <row r="1311" spans="5:5" s="1" customFormat="1" ht="24" customHeight="1">
      <c r="E1311" s="46"/>
    </row>
    <row r="1312" spans="5:5" s="1" customFormat="1" ht="24" customHeight="1">
      <c r="E1312" s="46"/>
    </row>
    <row r="1313" spans="5:5" s="1" customFormat="1" ht="24" customHeight="1">
      <c r="E1313" s="46"/>
    </row>
    <row r="1314" spans="5:5" s="1" customFormat="1" ht="24" customHeight="1">
      <c r="E1314" s="46"/>
    </row>
    <row r="1315" spans="5:5" s="1" customFormat="1" ht="24" customHeight="1">
      <c r="E1315" s="46"/>
    </row>
    <row r="1316" spans="5:5" s="1" customFormat="1" ht="24" customHeight="1">
      <c r="E1316" s="46"/>
    </row>
    <row r="1317" spans="5:5" s="1" customFormat="1" ht="24" customHeight="1">
      <c r="E1317" s="46"/>
    </row>
    <row r="1318" spans="5:5" s="1" customFormat="1" ht="24" customHeight="1">
      <c r="E1318" s="46"/>
    </row>
    <row r="1319" spans="5:5" s="1" customFormat="1" ht="24" customHeight="1">
      <c r="E1319" s="46"/>
    </row>
    <row r="1320" spans="5:5" s="1" customFormat="1" ht="24" customHeight="1">
      <c r="E1320" s="46"/>
    </row>
    <row r="1321" spans="5:5" s="1" customFormat="1" ht="24" customHeight="1">
      <c r="E1321" s="46"/>
    </row>
    <row r="1322" spans="5:5" s="1" customFormat="1" ht="24" customHeight="1">
      <c r="E1322" s="46"/>
    </row>
    <row r="1323" spans="5:5" s="1" customFormat="1" ht="24" customHeight="1">
      <c r="E1323" s="46"/>
    </row>
    <row r="1324" spans="5:5" s="1" customFormat="1" ht="24" customHeight="1">
      <c r="E1324" s="46"/>
    </row>
    <row r="1325" spans="5:5" s="1" customFormat="1" ht="24" customHeight="1">
      <c r="E1325" s="46"/>
    </row>
    <row r="1326" spans="5:5" s="1" customFormat="1" ht="24" customHeight="1">
      <c r="E1326" s="46"/>
    </row>
    <row r="1327" spans="5:5" s="1" customFormat="1" ht="24" customHeight="1">
      <c r="E1327" s="46"/>
    </row>
    <row r="1328" spans="5:5" s="1" customFormat="1" ht="24" customHeight="1">
      <c r="E1328" s="46"/>
    </row>
    <row r="1329" spans="5:5" s="1" customFormat="1" ht="24" customHeight="1">
      <c r="E1329" s="46"/>
    </row>
    <row r="1330" spans="5:5" s="1" customFormat="1" ht="24" customHeight="1">
      <c r="E1330" s="46"/>
    </row>
    <row r="1331" spans="5:5" s="1" customFormat="1" ht="24" customHeight="1">
      <c r="E1331" s="46"/>
    </row>
    <row r="1332" spans="5:5" s="1" customFormat="1" ht="24" customHeight="1">
      <c r="E1332" s="46"/>
    </row>
    <row r="1333" spans="5:5" s="1" customFormat="1" ht="24" customHeight="1">
      <c r="E1333" s="46"/>
    </row>
    <row r="1334" spans="5:5" s="1" customFormat="1" ht="24" customHeight="1">
      <c r="E1334" s="46"/>
    </row>
    <row r="1335" spans="5:5" s="1" customFormat="1" ht="24" customHeight="1">
      <c r="E1335" s="46"/>
    </row>
    <row r="1336" spans="5:5" s="1" customFormat="1" ht="24" customHeight="1">
      <c r="E1336" s="46"/>
    </row>
    <row r="1337" spans="5:5" s="1" customFormat="1" ht="24" customHeight="1">
      <c r="E1337" s="46"/>
    </row>
    <row r="1338" spans="5:5" s="1" customFormat="1" ht="24" customHeight="1">
      <c r="E1338" s="46"/>
    </row>
    <row r="1339" spans="5:5" s="1" customFormat="1" ht="24" customHeight="1">
      <c r="E1339" s="46"/>
    </row>
    <row r="1340" spans="5:5" s="1" customFormat="1" ht="24" customHeight="1">
      <c r="E1340" s="46"/>
    </row>
    <row r="1341" spans="5:5" s="1" customFormat="1" ht="24" customHeight="1">
      <c r="E1341" s="46"/>
    </row>
    <row r="1342" spans="5:5" s="1" customFormat="1" ht="24" customHeight="1">
      <c r="E1342" s="46"/>
    </row>
    <row r="1343" spans="5:5" s="1" customFormat="1" ht="24" customHeight="1">
      <c r="E1343" s="46"/>
    </row>
    <row r="1344" spans="5:5" s="1" customFormat="1" ht="24" customHeight="1">
      <c r="E1344" s="46"/>
    </row>
    <row r="1345" spans="5:5" s="1" customFormat="1" ht="24" customHeight="1">
      <c r="E1345" s="46"/>
    </row>
    <row r="1346" spans="5:5" s="1" customFormat="1" ht="24" customHeight="1">
      <c r="E1346" s="46"/>
    </row>
    <row r="1347" spans="5:5" s="1" customFormat="1" ht="24" customHeight="1">
      <c r="E1347" s="46"/>
    </row>
    <row r="1348" spans="5:5" s="1" customFormat="1" ht="24" customHeight="1">
      <c r="E1348" s="46"/>
    </row>
    <row r="1349" spans="5:5" s="1" customFormat="1" ht="24" customHeight="1">
      <c r="E1349" s="46"/>
    </row>
    <row r="1350" spans="5:5" s="1" customFormat="1" ht="24" customHeight="1">
      <c r="E1350" s="46"/>
    </row>
    <row r="1351" spans="5:5" s="1" customFormat="1" ht="24" customHeight="1">
      <c r="E1351" s="46"/>
    </row>
    <row r="1352" spans="5:5" s="1" customFormat="1" ht="24" customHeight="1">
      <c r="E1352" s="46"/>
    </row>
    <row r="1353" spans="5:5" s="1" customFormat="1" ht="24" customHeight="1">
      <c r="E1353" s="46"/>
    </row>
    <row r="1354" spans="5:5" s="1" customFormat="1" ht="24" customHeight="1">
      <c r="E1354" s="46"/>
    </row>
    <row r="1355" spans="5:5" s="1" customFormat="1" ht="24" customHeight="1">
      <c r="E1355" s="46"/>
    </row>
    <row r="1356" spans="5:5" s="1" customFormat="1" ht="24" customHeight="1">
      <c r="E1356" s="46"/>
    </row>
    <row r="1357" spans="5:5" s="1" customFormat="1" ht="24" customHeight="1">
      <c r="E1357" s="46"/>
    </row>
    <row r="1358" spans="5:5" s="1" customFormat="1" ht="24" customHeight="1">
      <c r="E1358" s="46"/>
    </row>
    <row r="1359" spans="5:5" s="1" customFormat="1" ht="24" customHeight="1">
      <c r="E1359" s="46"/>
    </row>
    <row r="1360" spans="5:5" s="1" customFormat="1" ht="24" customHeight="1">
      <c r="E1360" s="46"/>
    </row>
    <row r="1361" spans="5:5" s="1" customFormat="1" ht="24" customHeight="1">
      <c r="E1361" s="46"/>
    </row>
    <row r="1362" spans="5:5" s="1" customFormat="1" ht="24" customHeight="1">
      <c r="E1362" s="46"/>
    </row>
    <row r="1363" spans="5:5" s="1" customFormat="1" ht="24" customHeight="1">
      <c r="E1363" s="46"/>
    </row>
    <row r="1364" spans="5:5" s="1" customFormat="1" ht="24" customHeight="1">
      <c r="E1364" s="46"/>
    </row>
    <row r="1365" spans="5:5" s="1" customFormat="1" ht="24" customHeight="1">
      <c r="E1365" s="46"/>
    </row>
    <row r="1366" spans="5:5" s="1" customFormat="1" ht="24" customHeight="1">
      <c r="E1366" s="46"/>
    </row>
    <row r="1367" spans="5:5" s="1" customFormat="1" ht="24" customHeight="1">
      <c r="E1367" s="46"/>
    </row>
    <row r="1368" spans="5:5" s="1" customFormat="1" ht="24" customHeight="1">
      <c r="E1368" s="46"/>
    </row>
    <row r="1369" spans="5:5" s="1" customFormat="1" ht="24" customHeight="1">
      <c r="E1369" s="46"/>
    </row>
    <row r="1370" spans="5:5" s="1" customFormat="1" ht="24" customHeight="1">
      <c r="E1370" s="46"/>
    </row>
    <row r="1371" spans="5:5" s="1" customFormat="1" ht="24" customHeight="1">
      <c r="E1371" s="46"/>
    </row>
    <row r="1372" spans="5:5" s="1" customFormat="1" ht="24" customHeight="1">
      <c r="E1372" s="46"/>
    </row>
    <row r="1373" spans="5:5" s="1" customFormat="1" ht="24" customHeight="1">
      <c r="E1373" s="46"/>
    </row>
    <row r="1374" spans="5:5" s="1" customFormat="1" ht="24" customHeight="1">
      <c r="E1374" s="46"/>
    </row>
    <row r="1375" spans="5:5" s="1" customFormat="1" ht="24" customHeight="1">
      <c r="E1375" s="46"/>
    </row>
    <row r="1376" spans="5:5" s="1" customFormat="1" ht="24" customHeight="1">
      <c r="E1376" s="46"/>
    </row>
    <row r="1377" spans="5:5" s="1" customFormat="1" ht="24" customHeight="1">
      <c r="E1377" s="46"/>
    </row>
    <row r="1378" spans="5:5" s="1" customFormat="1" ht="24" customHeight="1">
      <c r="E1378" s="46"/>
    </row>
    <row r="1379" spans="5:5" s="1" customFormat="1" ht="24" customHeight="1">
      <c r="E1379" s="46"/>
    </row>
    <row r="1380" spans="5:5" s="1" customFormat="1" ht="24" customHeight="1">
      <c r="E1380" s="46"/>
    </row>
    <row r="1381" spans="5:5" s="1" customFormat="1" ht="24" customHeight="1">
      <c r="E1381" s="46"/>
    </row>
    <row r="1382" spans="5:5" s="1" customFormat="1" ht="24" customHeight="1">
      <c r="E1382" s="46"/>
    </row>
    <row r="1383" spans="5:5" s="1" customFormat="1" ht="24" customHeight="1">
      <c r="E1383" s="46"/>
    </row>
    <row r="1384" spans="5:5" s="1" customFormat="1" ht="24" customHeight="1">
      <c r="E1384" s="46"/>
    </row>
    <row r="1385" spans="5:5" s="1" customFormat="1" ht="24" customHeight="1">
      <c r="E1385" s="46"/>
    </row>
    <row r="1386" spans="5:5" s="1" customFormat="1" ht="24" customHeight="1">
      <c r="E1386" s="46"/>
    </row>
    <row r="1387" spans="5:5" s="1" customFormat="1" ht="24" customHeight="1">
      <c r="E1387" s="46"/>
    </row>
    <row r="1388" spans="5:5" s="1" customFormat="1" ht="24" customHeight="1">
      <c r="E1388" s="46"/>
    </row>
    <row r="1389" spans="5:5" s="1" customFormat="1" ht="24" customHeight="1">
      <c r="E1389" s="46"/>
    </row>
    <row r="1390" spans="5:5" s="1" customFormat="1" ht="24" customHeight="1">
      <c r="E1390" s="46"/>
    </row>
    <row r="1391" spans="5:5" s="1" customFormat="1" ht="24" customHeight="1">
      <c r="E1391" s="46"/>
    </row>
    <row r="1392" spans="5:5" s="1" customFormat="1" ht="24" customHeight="1">
      <c r="E1392" s="46"/>
    </row>
    <row r="1393" spans="5:5" s="1" customFormat="1" ht="24" customHeight="1">
      <c r="E1393" s="46"/>
    </row>
    <row r="1394" spans="5:5" s="1" customFormat="1" ht="24" customHeight="1">
      <c r="E1394" s="46"/>
    </row>
    <row r="1395" spans="5:5" s="1" customFormat="1" ht="24" customHeight="1">
      <c r="E1395" s="46"/>
    </row>
    <row r="1396" spans="5:5" s="1" customFormat="1" ht="24" customHeight="1">
      <c r="E1396" s="46"/>
    </row>
    <row r="1397" spans="5:5" s="1" customFormat="1" ht="24" customHeight="1">
      <c r="E1397" s="46"/>
    </row>
    <row r="1398" spans="5:5" s="1" customFormat="1" ht="24" customHeight="1">
      <c r="E1398" s="46"/>
    </row>
    <row r="1399" spans="5:5" s="1" customFormat="1" ht="24" customHeight="1">
      <c r="E1399" s="46"/>
    </row>
    <row r="1400" spans="5:5" s="1" customFormat="1" ht="24" customHeight="1">
      <c r="E1400" s="46"/>
    </row>
    <row r="1401" spans="5:5" s="1" customFormat="1" ht="24" customHeight="1">
      <c r="E1401" s="46"/>
    </row>
    <row r="1402" spans="5:5" s="1" customFormat="1" ht="24" customHeight="1">
      <c r="E1402" s="46"/>
    </row>
    <row r="1403" spans="5:5" s="1" customFormat="1" ht="24" customHeight="1">
      <c r="E1403" s="46"/>
    </row>
    <row r="1404" spans="5:5" s="1" customFormat="1" ht="24" customHeight="1">
      <c r="E1404" s="46"/>
    </row>
    <row r="1405" spans="5:5" s="1" customFormat="1" ht="24" customHeight="1">
      <c r="E1405" s="46"/>
    </row>
    <row r="1406" spans="5:5" s="1" customFormat="1" ht="24" customHeight="1">
      <c r="E1406" s="46"/>
    </row>
    <row r="1407" spans="5:5" s="1" customFormat="1" ht="24" customHeight="1">
      <c r="E1407" s="46"/>
    </row>
    <row r="1408" spans="5:5" s="1" customFormat="1" ht="24" customHeight="1">
      <c r="E1408" s="46"/>
    </row>
    <row r="1409" spans="5:5" s="1" customFormat="1" ht="24" customHeight="1">
      <c r="E1409" s="46"/>
    </row>
    <row r="1410" spans="5:5" s="1" customFormat="1" ht="24" customHeight="1">
      <c r="E1410" s="46"/>
    </row>
    <row r="1411" spans="5:5" s="1" customFormat="1" ht="24" customHeight="1">
      <c r="E1411" s="46"/>
    </row>
    <row r="1412" spans="5:5" s="1" customFormat="1" ht="24" customHeight="1">
      <c r="E1412" s="46"/>
    </row>
    <row r="1413" spans="5:5" s="1" customFormat="1" ht="24" customHeight="1">
      <c r="E1413" s="46"/>
    </row>
    <row r="1414" spans="5:5" s="1" customFormat="1" ht="24" customHeight="1">
      <c r="E1414" s="46"/>
    </row>
    <row r="1415" spans="5:5" s="1" customFormat="1" ht="24" customHeight="1">
      <c r="E1415" s="46"/>
    </row>
    <row r="1416" spans="5:5" s="1" customFormat="1" ht="24" customHeight="1">
      <c r="E1416" s="46"/>
    </row>
    <row r="1417" spans="5:5" s="1" customFormat="1" ht="24" customHeight="1">
      <c r="E1417" s="46"/>
    </row>
    <row r="1418" spans="5:5" s="1" customFormat="1" ht="24" customHeight="1">
      <c r="E1418" s="46"/>
    </row>
    <row r="1419" spans="5:5" s="1" customFormat="1" ht="24" customHeight="1">
      <c r="E1419" s="46"/>
    </row>
    <row r="1420" spans="5:5" s="1" customFormat="1" ht="24" customHeight="1">
      <c r="E1420" s="46"/>
    </row>
    <row r="1421" spans="5:5" s="1" customFormat="1" ht="24" customHeight="1">
      <c r="E1421" s="46"/>
    </row>
    <row r="1422" spans="5:5" s="1" customFormat="1" ht="24" customHeight="1">
      <c r="E1422" s="46"/>
    </row>
    <row r="1423" spans="5:5" s="1" customFormat="1" ht="24" customHeight="1">
      <c r="E1423" s="46"/>
    </row>
    <row r="1424" spans="5:5" s="1" customFormat="1" ht="24" customHeight="1">
      <c r="E1424" s="46"/>
    </row>
    <row r="1425" spans="5:5" s="1" customFormat="1" ht="24" customHeight="1">
      <c r="E1425" s="46"/>
    </row>
    <row r="1426" spans="5:5" s="1" customFormat="1" ht="24" customHeight="1">
      <c r="E1426" s="46"/>
    </row>
    <row r="1427" spans="5:5" s="1" customFormat="1" ht="24" customHeight="1">
      <c r="E1427" s="46"/>
    </row>
    <row r="1428" spans="5:5" s="1" customFormat="1" ht="24" customHeight="1">
      <c r="E1428" s="46"/>
    </row>
    <row r="1429" spans="5:5" s="1" customFormat="1" ht="24" customHeight="1">
      <c r="E1429" s="46"/>
    </row>
    <row r="1430" spans="5:5" s="1" customFormat="1" ht="24" customHeight="1">
      <c r="E1430" s="46"/>
    </row>
    <row r="1431" spans="5:5" s="1" customFormat="1" ht="24" customHeight="1">
      <c r="E1431" s="46"/>
    </row>
    <row r="1432" spans="5:5" s="1" customFormat="1" ht="24" customHeight="1">
      <c r="E1432" s="46"/>
    </row>
    <row r="1433" spans="5:5" s="1" customFormat="1" ht="24" customHeight="1">
      <c r="E1433" s="46"/>
    </row>
    <row r="1434" spans="5:5" s="1" customFormat="1" ht="24" customHeight="1">
      <c r="E1434" s="46"/>
    </row>
    <row r="1435" spans="5:5" s="1" customFormat="1" ht="24" customHeight="1">
      <c r="E1435" s="46"/>
    </row>
    <row r="1436" spans="5:5" s="1" customFormat="1" ht="24" customHeight="1">
      <c r="E1436" s="46"/>
    </row>
    <row r="1437" spans="5:5" s="1" customFormat="1" ht="24" customHeight="1">
      <c r="E1437" s="46"/>
    </row>
    <row r="1438" spans="5:5" s="1" customFormat="1" ht="24" customHeight="1">
      <c r="E1438" s="46"/>
    </row>
    <row r="1439" spans="5:5" s="1" customFormat="1" ht="24" customHeight="1">
      <c r="E1439" s="46"/>
    </row>
    <row r="1440" spans="5:5" s="1" customFormat="1" ht="24" customHeight="1">
      <c r="E1440" s="46"/>
    </row>
    <row r="1441" spans="5:5" s="1" customFormat="1" ht="24" customHeight="1">
      <c r="E1441" s="46"/>
    </row>
    <row r="1442" spans="5:5" s="1" customFormat="1" ht="24" customHeight="1">
      <c r="E1442" s="46"/>
    </row>
    <row r="1443" spans="5:5" s="1" customFormat="1" ht="24" customHeight="1">
      <c r="E1443" s="46"/>
    </row>
    <row r="1444" spans="5:5" s="1" customFormat="1" ht="24" customHeight="1">
      <c r="E1444" s="46"/>
    </row>
    <row r="1445" spans="5:5" s="1" customFormat="1" ht="24" customHeight="1">
      <c r="E1445" s="46"/>
    </row>
    <row r="1446" spans="5:5" s="1" customFormat="1" ht="24" customHeight="1">
      <c r="E1446" s="46"/>
    </row>
    <row r="1447" spans="5:5" s="1" customFormat="1" ht="24" customHeight="1">
      <c r="E1447" s="46"/>
    </row>
    <row r="1448" spans="5:5" s="1" customFormat="1" ht="24" customHeight="1">
      <c r="E1448" s="46"/>
    </row>
    <row r="1449" spans="5:5" s="1" customFormat="1" ht="24" customHeight="1">
      <c r="E1449" s="46"/>
    </row>
    <row r="1450" spans="5:5" s="1" customFormat="1" ht="24" customHeight="1">
      <c r="E1450" s="46"/>
    </row>
    <row r="1451" spans="5:5" s="1" customFormat="1" ht="24" customHeight="1">
      <c r="E1451" s="46"/>
    </row>
    <row r="1452" spans="5:5" s="1" customFormat="1" ht="24" customHeight="1">
      <c r="E1452" s="46"/>
    </row>
    <row r="1453" spans="5:5" s="1" customFormat="1" ht="24" customHeight="1">
      <c r="E1453" s="46"/>
    </row>
    <row r="1454" spans="5:5" s="1" customFormat="1" ht="24" customHeight="1">
      <c r="E1454" s="46"/>
    </row>
    <row r="1455" spans="5:5" s="1" customFormat="1" ht="24" customHeight="1">
      <c r="E1455" s="46"/>
    </row>
    <row r="1456" spans="5:5" s="1" customFormat="1" ht="24" customHeight="1">
      <c r="E1456" s="46"/>
    </row>
    <row r="1457" spans="5:5" s="1" customFormat="1" ht="24" customHeight="1">
      <c r="E1457" s="46"/>
    </row>
    <row r="1458" spans="5:5" s="1" customFormat="1" ht="24" customHeight="1">
      <c r="E1458" s="46"/>
    </row>
    <row r="1459" spans="5:5" s="1" customFormat="1" ht="24" customHeight="1">
      <c r="E1459" s="46"/>
    </row>
    <row r="1460" spans="5:5" s="1" customFormat="1" ht="24" customHeight="1">
      <c r="E1460" s="46"/>
    </row>
    <row r="1461" spans="5:5" s="1" customFormat="1" ht="24" customHeight="1">
      <c r="E1461" s="46"/>
    </row>
    <row r="1462" spans="5:5" s="1" customFormat="1" ht="24" customHeight="1">
      <c r="E1462" s="46"/>
    </row>
    <row r="1463" spans="5:5" s="1" customFormat="1" ht="24" customHeight="1">
      <c r="E1463" s="46"/>
    </row>
    <row r="1464" spans="5:5" s="1" customFormat="1" ht="24" customHeight="1">
      <c r="E1464" s="46"/>
    </row>
    <row r="1465" spans="5:5" s="1" customFormat="1" ht="24" customHeight="1">
      <c r="E1465" s="46"/>
    </row>
    <row r="1466" spans="5:5" s="1" customFormat="1" ht="24" customHeight="1">
      <c r="E1466" s="46"/>
    </row>
    <row r="1467" spans="5:5" s="1" customFormat="1" ht="24" customHeight="1">
      <c r="E1467" s="46"/>
    </row>
    <row r="1468" spans="5:5" s="1" customFormat="1" ht="24" customHeight="1">
      <c r="E1468" s="46"/>
    </row>
    <row r="1469" spans="5:5" s="1" customFormat="1" ht="24" customHeight="1">
      <c r="E1469" s="46"/>
    </row>
    <row r="1470" spans="5:5" s="1" customFormat="1" ht="24" customHeight="1">
      <c r="E1470" s="46"/>
    </row>
    <row r="1471" spans="5:5" s="1" customFormat="1" ht="24" customHeight="1">
      <c r="E1471" s="46"/>
    </row>
    <row r="1472" spans="5:5" s="1" customFormat="1" ht="24" customHeight="1">
      <c r="E1472" s="46"/>
    </row>
    <row r="1473" spans="5:5" s="1" customFormat="1" ht="24" customHeight="1">
      <c r="E1473" s="46"/>
    </row>
    <row r="1474" spans="5:5" s="1" customFormat="1" ht="24" customHeight="1">
      <c r="E1474" s="46"/>
    </row>
    <row r="1475" spans="5:5" s="1" customFormat="1" ht="24" customHeight="1">
      <c r="E1475" s="46"/>
    </row>
    <row r="1476" spans="5:5" s="1" customFormat="1" ht="24" customHeight="1">
      <c r="E1476" s="46"/>
    </row>
    <row r="1477" spans="5:5" s="1" customFormat="1" ht="24" customHeight="1">
      <c r="E1477" s="46"/>
    </row>
    <row r="1478" spans="5:5" s="1" customFormat="1" ht="24" customHeight="1">
      <c r="E1478" s="46"/>
    </row>
    <row r="1479" spans="5:5" s="1" customFormat="1" ht="24" customHeight="1">
      <c r="E1479" s="46"/>
    </row>
    <row r="1480" spans="5:5" s="1" customFormat="1" ht="24" customHeight="1">
      <c r="E1480" s="46"/>
    </row>
    <row r="1481" spans="5:5" s="1" customFormat="1" ht="24" customHeight="1">
      <c r="E1481" s="46"/>
    </row>
    <row r="1482" spans="5:5" s="1" customFormat="1" ht="24" customHeight="1">
      <c r="E1482" s="46"/>
    </row>
    <row r="1483" spans="5:5" s="1" customFormat="1" ht="24" customHeight="1">
      <c r="E1483" s="46"/>
    </row>
    <row r="1484" spans="5:5" s="1" customFormat="1" ht="24" customHeight="1">
      <c r="E1484" s="46"/>
    </row>
    <row r="1485" spans="5:5" s="1" customFormat="1" ht="24" customHeight="1">
      <c r="E1485" s="46"/>
    </row>
    <row r="1486" spans="5:5" s="1" customFormat="1" ht="24" customHeight="1">
      <c r="E1486" s="46"/>
    </row>
    <row r="1487" spans="5:5" s="1" customFormat="1" ht="24" customHeight="1">
      <c r="E1487" s="46"/>
    </row>
    <row r="1488" spans="5:5" s="1" customFormat="1" ht="24" customHeight="1">
      <c r="E1488" s="46"/>
    </row>
    <row r="1489" spans="5:5" s="1" customFormat="1" ht="24" customHeight="1">
      <c r="E1489" s="46"/>
    </row>
    <row r="1490" spans="5:5" s="1" customFormat="1" ht="24" customHeight="1">
      <c r="E1490" s="46"/>
    </row>
    <row r="1491" spans="5:5" s="1" customFormat="1" ht="24" customHeight="1">
      <c r="E1491" s="46"/>
    </row>
    <row r="1492" spans="5:5" s="1" customFormat="1" ht="24" customHeight="1">
      <c r="E1492" s="46"/>
    </row>
    <row r="1493" spans="5:5" s="1" customFormat="1" ht="24" customHeight="1">
      <c r="E1493" s="46"/>
    </row>
    <row r="1494" spans="5:5" s="1" customFormat="1" ht="24" customHeight="1">
      <c r="E1494" s="46"/>
    </row>
    <row r="1495" spans="5:5" s="1" customFormat="1" ht="24" customHeight="1">
      <c r="E1495" s="46"/>
    </row>
    <row r="1496" spans="5:5" s="1" customFormat="1" ht="24" customHeight="1">
      <c r="E1496" s="46"/>
    </row>
    <row r="1497" spans="5:5" s="1" customFormat="1" ht="24" customHeight="1">
      <c r="E1497" s="46"/>
    </row>
    <row r="1498" spans="5:5" s="1" customFormat="1" ht="24" customHeight="1">
      <c r="E1498" s="46"/>
    </row>
    <row r="1499" spans="5:5" s="1" customFormat="1" ht="24" customHeight="1">
      <c r="E1499" s="46"/>
    </row>
    <row r="1500" spans="5:5" s="1" customFormat="1" ht="24" customHeight="1">
      <c r="E1500" s="46"/>
    </row>
    <row r="1501" spans="5:5" s="1" customFormat="1" ht="24" customHeight="1">
      <c r="E1501" s="46"/>
    </row>
    <row r="1502" spans="5:5" s="1" customFormat="1" ht="24" customHeight="1">
      <c r="E1502" s="46"/>
    </row>
    <row r="1503" spans="5:5" s="1" customFormat="1" ht="24" customHeight="1">
      <c r="E1503" s="46"/>
    </row>
    <row r="1504" spans="5:5" s="1" customFormat="1" ht="24" customHeight="1">
      <c r="E1504" s="46"/>
    </row>
    <row r="1505" spans="5:5" s="1" customFormat="1" ht="24" customHeight="1">
      <c r="E1505" s="46"/>
    </row>
    <row r="1506" spans="5:5" s="1" customFormat="1" ht="24" customHeight="1">
      <c r="E1506" s="46"/>
    </row>
    <row r="1507" spans="5:5" s="1" customFormat="1" ht="24" customHeight="1">
      <c r="E1507" s="46"/>
    </row>
    <row r="1508" spans="5:5" s="1" customFormat="1" ht="24" customHeight="1">
      <c r="E1508" s="46"/>
    </row>
    <row r="1509" spans="5:5" s="1" customFormat="1" ht="24" customHeight="1">
      <c r="E1509" s="46"/>
    </row>
    <row r="1510" spans="5:5" s="1" customFormat="1" ht="24" customHeight="1">
      <c r="E1510" s="46"/>
    </row>
    <row r="1511" spans="5:5" s="1" customFormat="1" ht="24" customHeight="1">
      <c r="E1511" s="46"/>
    </row>
    <row r="1512" spans="5:5" s="1" customFormat="1" ht="24" customHeight="1">
      <c r="E1512" s="46"/>
    </row>
    <row r="1513" spans="5:5" s="1" customFormat="1" ht="24" customHeight="1">
      <c r="E1513" s="46"/>
    </row>
    <row r="1514" spans="5:5" s="1" customFormat="1" ht="24" customHeight="1">
      <c r="E1514" s="46"/>
    </row>
    <row r="1515" spans="5:5" s="1" customFormat="1" ht="24" customHeight="1">
      <c r="E1515" s="46"/>
    </row>
    <row r="1516" spans="5:5" s="1" customFormat="1" ht="24" customHeight="1">
      <c r="E1516" s="46"/>
    </row>
    <row r="1517" spans="5:5" s="1" customFormat="1" ht="24" customHeight="1">
      <c r="E1517" s="46"/>
    </row>
    <row r="1518" spans="5:5" s="1" customFormat="1" ht="24" customHeight="1">
      <c r="E1518" s="46"/>
    </row>
    <row r="1519" spans="5:5" s="1" customFormat="1" ht="24" customHeight="1">
      <c r="E1519" s="46"/>
    </row>
    <row r="1520" spans="5:5" s="1" customFormat="1" ht="24" customHeight="1">
      <c r="E1520" s="46"/>
    </row>
    <row r="1521" spans="5:5" s="1" customFormat="1" ht="24" customHeight="1">
      <c r="E1521" s="46"/>
    </row>
    <row r="1522" spans="5:5" s="1" customFormat="1" ht="24" customHeight="1">
      <c r="E1522" s="46"/>
    </row>
    <row r="1523" spans="5:5" s="1" customFormat="1" ht="24" customHeight="1">
      <c r="E1523" s="46"/>
    </row>
    <row r="1524" spans="5:5" s="1" customFormat="1" ht="24" customHeight="1">
      <c r="E1524" s="46"/>
    </row>
    <row r="1525" spans="5:5" s="1" customFormat="1" ht="24" customHeight="1">
      <c r="E1525" s="46"/>
    </row>
    <row r="1526" spans="5:5" s="1" customFormat="1" ht="24" customHeight="1">
      <c r="E1526" s="46"/>
    </row>
    <row r="1527" spans="5:5" s="1" customFormat="1" ht="24" customHeight="1">
      <c r="E1527" s="46"/>
    </row>
    <row r="1528" spans="5:5" s="1" customFormat="1" ht="24" customHeight="1">
      <c r="E1528" s="46"/>
    </row>
    <row r="1529" spans="5:5" s="1" customFormat="1" ht="24" customHeight="1">
      <c r="E1529" s="46"/>
    </row>
    <row r="1530" spans="5:5" s="1" customFormat="1" ht="24" customHeight="1">
      <c r="E1530" s="46"/>
    </row>
    <row r="1531" spans="5:5" s="1" customFormat="1" ht="24" customHeight="1">
      <c r="E1531" s="46"/>
    </row>
    <row r="1532" spans="5:5" s="1" customFormat="1" ht="24" customHeight="1">
      <c r="E1532" s="46"/>
    </row>
    <row r="1533" spans="5:5" s="1" customFormat="1" ht="24" customHeight="1">
      <c r="E1533" s="46"/>
    </row>
    <row r="1534" spans="5:5" s="1" customFormat="1" ht="24" customHeight="1">
      <c r="E1534" s="46"/>
    </row>
    <row r="1535" spans="5:5" s="1" customFormat="1" ht="24" customHeight="1">
      <c r="E1535" s="46"/>
    </row>
    <row r="1536" spans="5:5" s="1" customFormat="1" ht="24" customHeight="1">
      <c r="E1536" s="46"/>
    </row>
    <row r="1537" spans="5:5" s="1" customFormat="1" ht="24" customHeight="1">
      <c r="E1537" s="46"/>
    </row>
    <row r="1538" spans="5:5" s="1" customFormat="1" ht="24" customHeight="1">
      <c r="E1538" s="46"/>
    </row>
    <row r="1539" spans="5:5" s="1" customFormat="1" ht="24" customHeight="1">
      <c r="E1539" s="46"/>
    </row>
    <row r="1540" spans="5:5" s="1" customFormat="1" ht="24" customHeight="1">
      <c r="E1540" s="46"/>
    </row>
    <row r="1541" spans="5:5" s="1" customFormat="1" ht="24" customHeight="1">
      <c r="E1541" s="46"/>
    </row>
    <row r="1542" spans="5:5" s="1" customFormat="1" ht="24" customHeight="1">
      <c r="E1542" s="46"/>
    </row>
    <row r="1543" spans="5:5" s="1" customFormat="1" ht="24" customHeight="1">
      <c r="E1543" s="46"/>
    </row>
    <row r="1544" spans="5:5" s="1" customFormat="1" ht="24" customHeight="1">
      <c r="E1544" s="46"/>
    </row>
    <row r="1545" spans="5:5" s="1" customFormat="1" ht="24" customHeight="1">
      <c r="E1545" s="46"/>
    </row>
    <row r="1546" spans="5:5" s="1" customFormat="1" ht="24" customHeight="1">
      <c r="E1546" s="46"/>
    </row>
    <row r="1547" spans="5:5" s="1" customFormat="1" ht="24" customHeight="1">
      <c r="E1547" s="46"/>
    </row>
    <row r="1548" spans="5:5" s="1" customFormat="1" ht="24" customHeight="1">
      <c r="E1548" s="46"/>
    </row>
    <row r="1549" spans="5:5" s="1" customFormat="1" ht="24" customHeight="1">
      <c r="E1549" s="46"/>
    </row>
    <row r="1550" spans="5:5" s="1" customFormat="1" ht="24" customHeight="1">
      <c r="E1550" s="46"/>
    </row>
    <row r="1551" spans="5:5" s="1" customFormat="1" ht="24" customHeight="1">
      <c r="E1551" s="46"/>
    </row>
    <row r="1552" spans="5:5" s="1" customFormat="1" ht="24" customHeight="1">
      <c r="E1552" s="46"/>
    </row>
    <row r="1553" spans="5:5" s="1" customFormat="1" ht="24" customHeight="1">
      <c r="E1553" s="46"/>
    </row>
    <row r="1554" spans="5:5" s="1" customFormat="1" ht="24" customHeight="1">
      <c r="E1554" s="46"/>
    </row>
    <row r="1555" spans="5:5" s="1" customFormat="1" ht="24" customHeight="1">
      <c r="E1555" s="46"/>
    </row>
    <row r="1556" spans="5:5" s="1" customFormat="1" ht="24" customHeight="1">
      <c r="E1556" s="46"/>
    </row>
    <row r="1557" spans="5:5" s="1" customFormat="1" ht="24" customHeight="1">
      <c r="E1557" s="46"/>
    </row>
    <row r="1558" spans="5:5" s="1" customFormat="1" ht="24" customHeight="1">
      <c r="E1558" s="46"/>
    </row>
    <row r="1559" spans="5:5" s="1" customFormat="1" ht="24" customHeight="1">
      <c r="E1559" s="46"/>
    </row>
    <row r="1560" spans="5:5" s="1" customFormat="1" ht="24" customHeight="1">
      <c r="E1560" s="46"/>
    </row>
    <row r="1561" spans="5:5" s="1" customFormat="1" ht="24" customHeight="1">
      <c r="E1561" s="46"/>
    </row>
    <row r="1562" spans="5:5" s="1" customFormat="1" ht="24" customHeight="1">
      <c r="E1562" s="46"/>
    </row>
    <row r="1563" spans="5:5" s="1" customFormat="1" ht="24" customHeight="1">
      <c r="E1563" s="46"/>
    </row>
    <row r="1564" spans="5:5" s="1" customFormat="1" ht="24" customHeight="1">
      <c r="E1564" s="46"/>
    </row>
    <row r="1565" spans="5:5" s="1" customFormat="1" ht="24" customHeight="1">
      <c r="E1565" s="46"/>
    </row>
    <row r="1566" spans="5:5" s="1" customFormat="1" ht="24" customHeight="1">
      <c r="E1566" s="46"/>
    </row>
    <row r="1567" spans="5:5" s="1" customFormat="1" ht="24" customHeight="1">
      <c r="E1567" s="46"/>
    </row>
    <row r="1568" spans="5:5" s="1" customFormat="1" ht="24" customHeight="1">
      <c r="E1568" s="46"/>
    </row>
    <row r="1569" spans="5:5" s="1" customFormat="1" ht="24" customHeight="1">
      <c r="E1569" s="46"/>
    </row>
    <row r="1570" spans="5:5" s="1" customFormat="1" ht="24" customHeight="1">
      <c r="E1570" s="46"/>
    </row>
    <row r="1571" spans="5:5" s="1" customFormat="1" ht="24" customHeight="1">
      <c r="E1571" s="46"/>
    </row>
    <row r="1572" spans="5:5" s="1" customFormat="1" ht="24" customHeight="1">
      <c r="E1572" s="46"/>
    </row>
    <row r="1573" spans="5:5" s="1" customFormat="1" ht="24" customHeight="1">
      <c r="E1573" s="46"/>
    </row>
    <row r="1574" spans="5:5" s="1" customFormat="1" ht="24" customHeight="1">
      <c r="E1574" s="46"/>
    </row>
    <row r="1575" spans="5:5" s="1" customFormat="1" ht="24" customHeight="1">
      <c r="E1575" s="46"/>
    </row>
    <row r="1576" spans="5:5" s="1" customFormat="1" ht="24" customHeight="1">
      <c r="E1576" s="46"/>
    </row>
    <row r="1577" spans="5:5" s="1" customFormat="1" ht="24" customHeight="1">
      <c r="E1577" s="46"/>
    </row>
    <row r="1578" spans="5:5" s="1" customFormat="1" ht="24" customHeight="1">
      <c r="E1578" s="46"/>
    </row>
    <row r="1579" spans="5:5" s="1" customFormat="1" ht="24" customHeight="1">
      <c r="E1579" s="46"/>
    </row>
    <row r="1580" spans="5:5" s="1" customFormat="1" ht="24" customHeight="1">
      <c r="E1580" s="46"/>
    </row>
    <row r="1581" spans="5:5" s="1" customFormat="1" ht="24" customHeight="1">
      <c r="E1581" s="46"/>
    </row>
    <row r="1582" spans="5:5" s="1" customFormat="1" ht="24" customHeight="1">
      <c r="E1582" s="46"/>
    </row>
    <row r="1583" spans="5:5" s="1" customFormat="1" ht="24" customHeight="1">
      <c r="E1583" s="46"/>
    </row>
    <row r="1584" spans="5:5" s="1" customFormat="1" ht="24" customHeight="1">
      <c r="E1584" s="46"/>
    </row>
    <row r="1585" spans="5:5" s="1" customFormat="1" ht="24" customHeight="1">
      <c r="E1585" s="46"/>
    </row>
    <row r="1586" spans="5:5" s="1" customFormat="1" ht="24" customHeight="1">
      <c r="E1586" s="46"/>
    </row>
    <row r="1587" spans="5:5" s="1" customFormat="1" ht="24" customHeight="1">
      <c r="E1587" s="46"/>
    </row>
    <row r="1588" spans="5:5" s="1" customFormat="1" ht="24" customHeight="1">
      <c r="E1588" s="46"/>
    </row>
    <row r="1589" spans="5:5" s="1" customFormat="1" ht="24" customHeight="1">
      <c r="E1589" s="46"/>
    </row>
    <row r="1590" spans="5:5" s="1" customFormat="1" ht="24" customHeight="1">
      <c r="E1590" s="46"/>
    </row>
    <row r="1591" spans="5:5" s="1" customFormat="1" ht="24" customHeight="1">
      <c r="E1591" s="46"/>
    </row>
    <row r="1592" spans="5:5" s="1" customFormat="1" ht="24" customHeight="1">
      <c r="E1592" s="46"/>
    </row>
    <row r="1593" spans="5:5" s="1" customFormat="1" ht="24" customHeight="1">
      <c r="E1593" s="46"/>
    </row>
    <row r="1594" spans="5:5" s="1" customFormat="1" ht="24" customHeight="1">
      <c r="E1594" s="46"/>
    </row>
    <row r="1595" spans="5:5" s="1" customFormat="1" ht="24" customHeight="1">
      <c r="E1595" s="46"/>
    </row>
    <row r="1596" spans="5:5" s="1" customFormat="1" ht="24" customHeight="1">
      <c r="E1596" s="46"/>
    </row>
    <row r="1597" spans="5:5" s="1" customFormat="1" ht="24" customHeight="1">
      <c r="E1597" s="46"/>
    </row>
    <row r="1598" spans="5:5" s="1" customFormat="1" ht="24" customHeight="1">
      <c r="E1598" s="46"/>
    </row>
    <row r="1599" spans="5:5" s="1" customFormat="1" ht="24" customHeight="1">
      <c r="E1599" s="46"/>
    </row>
    <row r="1600" spans="5:5" s="1" customFormat="1" ht="24" customHeight="1">
      <c r="E1600" s="46"/>
    </row>
    <row r="1601" spans="5:5" s="1" customFormat="1" ht="24" customHeight="1">
      <c r="E1601" s="46"/>
    </row>
    <row r="1602" spans="5:5" s="1" customFormat="1" ht="24" customHeight="1">
      <c r="E1602" s="46"/>
    </row>
    <row r="1603" spans="5:5" s="1" customFormat="1" ht="24" customHeight="1">
      <c r="E1603" s="46"/>
    </row>
    <row r="1604" spans="5:5" s="1" customFormat="1" ht="24" customHeight="1">
      <c r="E1604" s="46"/>
    </row>
    <row r="1605" spans="5:5" s="1" customFormat="1" ht="24" customHeight="1">
      <c r="E1605" s="46"/>
    </row>
    <row r="1606" spans="5:5" s="1" customFormat="1" ht="24" customHeight="1">
      <c r="E1606" s="46"/>
    </row>
    <row r="1607" spans="5:5" s="1" customFormat="1" ht="24" customHeight="1">
      <c r="E1607" s="46"/>
    </row>
    <row r="1608" spans="5:5" s="1" customFormat="1" ht="24" customHeight="1">
      <c r="E1608" s="46"/>
    </row>
    <row r="1609" spans="5:5" s="1" customFormat="1" ht="24" customHeight="1">
      <c r="E1609" s="46"/>
    </row>
    <row r="1610" spans="5:5" s="1" customFormat="1" ht="24" customHeight="1">
      <c r="E1610" s="46"/>
    </row>
    <row r="1611" spans="5:5" s="1" customFormat="1" ht="24" customHeight="1">
      <c r="E1611" s="46"/>
    </row>
    <row r="1612" spans="5:5" s="1" customFormat="1" ht="24" customHeight="1">
      <c r="E1612" s="46"/>
    </row>
    <row r="1613" spans="5:5" s="1" customFormat="1" ht="24" customHeight="1">
      <c r="E1613" s="46"/>
    </row>
    <row r="1614" spans="5:5" s="1" customFormat="1" ht="24" customHeight="1">
      <c r="E1614" s="46"/>
    </row>
    <row r="1615" spans="5:5" s="1" customFormat="1" ht="24" customHeight="1">
      <c r="E1615" s="46"/>
    </row>
    <row r="1616" spans="5:5" s="1" customFormat="1" ht="24" customHeight="1">
      <c r="E1616" s="46"/>
    </row>
    <row r="1617" spans="5:5" s="1" customFormat="1" ht="24" customHeight="1">
      <c r="E1617" s="46"/>
    </row>
    <row r="1618" spans="5:5" s="1" customFormat="1" ht="24" customHeight="1">
      <c r="E1618" s="46"/>
    </row>
    <row r="1619" spans="5:5" s="1" customFormat="1" ht="24" customHeight="1">
      <c r="E1619" s="46"/>
    </row>
    <row r="1620" spans="5:5" s="1" customFormat="1" ht="24" customHeight="1">
      <c r="E1620" s="46"/>
    </row>
    <row r="1621" spans="5:5" s="1" customFormat="1" ht="24" customHeight="1">
      <c r="E1621" s="46"/>
    </row>
    <row r="1622" spans="5:5" s="1" customFormat="1" ht="24" customHeight="1">
      <c r="E1622" s="46"/>
    </row>
    <row r="1623" spans="5:5" s="1" customFormat="1" ht="24" customHeight="1">
      <c r="E1623" s="46"/>
    </row>
    <row r="1624" spans="5:5" s="1" customFormat="1" ht="24" customHeight="1">
      <c r="E1624" s="46"/>
    </row>
    <row r="1625" spans="5:5" s="1" customFormat="1" ht="24" customHeight="1">
      <c r="E1625" s="46"/>
    </row>
    <row r="1626" spans="5:5" s="1" customFormat="1" ht="24" customHeight="1">
      <c r="E1626" s="46"/>
    </row>
    <row r="1627" spans="5:5" s="1" customFormat="1" ht="24" customHeight="1">
      <c r="E1627" s="46"/>
    </row>
    <row r="1628" spans="5:5" s="1" customFormat="1" ht="24" customHeight="1">
      <c r="E1628" s="46"/>
    </row>
    <row r="1629" spans="5:5" s="1" customFormat="1" ht="24" customHeight="1">
      <c r="E1629" s="46"/>
    </row>
    <row r="1630" spans="5:5" s="1" customFormat="1" ht="24" customHeight="1">
      <c r="E1630" s="46"/>
    </row>
    <row r="1631" spans="5:5" s="1" customFormat="1" ht="24" customHeight="1">
      <c r="E1631" s="46"/>
    </row>
    <row r="1632" spans="5:5" s="1" customFormat="1" ht="24" customHeight="1">
      <c r="E1632" s="46"/>
    </row>
    <row r="1633" spans="5:5" s="1" customFormat="1" ht="24" customHeight="1">
      <c r="E1633" s="46"/>
    </row>
    <row r="1634" spans="5:5" s="1" customFormat="1" ht="24" customHeight="1">
      <c r="E1634" s="46"/>
    </row>
    <row r="1635" spans="5:5" s="1" customFormat="1" ht="24" customHeight="1">
      <c r="E1635" s="46"/>
    </row>
    <row r="1636" spans="5:5" s="1" customFormat="1" ht="24" customHeight="1">
      <c r="E1636" s="46"/>
    </row>
    <row r="1637" spans="5:5" s="1" customFormat="1" ht="24" customHeight="1">
      <c r="E1637" s="46"/>
    </row>
    <row r="1638" spans="5:5" s="1" customFormat="1" ht="24" customHeight="1">
      <c r="E1638" s="46"/>
    </row>
    <row r="1639" spans="5:5" s="1" customFormat="1" ht="24" customHeight="1">
      <c r="E1639" s="46"/>
    </row>
    <row r="1640" spans="5:5" s="1" customFormat="1" ht="24" customHeight="1">
      <c r="E1640" s="46"/>
    </row>
    <row r="1641" spans="5:5" s="1" customFormat="1" ht="24" customHeight="1">
      <c r="E1641" s="46"/>
    </row>
    <row r="1642" spans="5:5" s="1" customFormat="1" ht="24" customHeight="1">
      <c r="E1642" s="46"/>
    </row>
    <row r="1643" spans="5:5" s="1" customFormat="1" ht="24" customHeight="1">
      <c r="E1643" s="46"/>
    </row>
    <row r="1644" spans="5:5" s="1" customFormat="1" ht="24" customHeight="1">
      <c r="E1644" s="46"/>
    </row>
    <row r="1645" spans="5:5" s="1" customFormat="1" ht="24" customHeight="1">
      <c r="E1645" s="46"/>
    </row>
    <row r="1646" spans="5:5" s="1" customFormat="1" ht="24" customHeight="1">
      <c r="E1646" s="46"/>
    </row>
    <row r="1647" spans="5:5" s="1" customFormat="1" ht="24" customHeight="1">
      <c r="E1647" s="46"/>
    </row>
    <row r="1648" spans="5:5" s="1" customFormat="1" ht="24" customHeight="1">
      <c r="E1648" s="46"/>
    </row>
    <row r="1649" spans="5:5" s="1" customFormat="1" ht="24" customHeight="1">
      <c r="E1649" s="46"/>
    </row>
    <row r="1650" spans="5:5" s="1" customFormat="1" ht="24" customHeight="1">
      <c r="E1650" s="46"/>
    </row>
    <row r="1651" spans="5:5" s="1" customFormat="1" ht="24" customHeight="1">
      <c r="E1651" s="46"/>
    </row>
    <row r="1652" spans="5:5" s="1" customFormat="1" ht="24" customHeight="1">
      <c r="E1652" s="46"/>
    </row>
    <row r="1653" spans="5:5" s="1" customFormat="1" ht="24" customHeight="1">
      <c r="E1653" s="46"/>
    </row>
    <row r="1654" spans="5:5" s="1" customFormat="1" ht="24" customHeight="1">
      <c r="E1654" s="46"/>
    </row>
    <row r="1655" spans="5:5" s="1" customFormat="1" ht="24" customHeight="1">
      <c r="E1655" s="46"/>
    </row>
    <row r="1656" spans="5:5" s="1" customFormat="1" ht="24" customHeight="1">
      <c r="E1656" s="46"/>
    </row>
    <row r="1657" spans="5:5" s="1" customFormat="1" ht="24" customHeight="1">
      <c r="E1657" s="46"/>
    </row>
    <row r="1658" spans="5:5" s="1" customFormat="1" ht="24" customHeight="1">
      <c r="E1658" s="46"/>
    </row>
    <row r="1659" spans="5:5" s="1" customFormat="1" ht="24" customHeight="1">
      <c r="E1659" s="46"/>
    </row>
    <row r="1660" spans="5:5" s="1" customFormat="1" ht="24" customHeight="1">
      <c r="E1660" s="46"/>
    </row>
    <row r="1661" spans="5:5" s="1" customFormat="1" ht="24" customHeight="1">
      <c r="E1661" s="46"/>
    </row>
    <row r="1662" spans="5:5" s="1" customFormat="1" ht="24" customHeight="1">
      <c r="E1662" s="46"/>
    </row>
    <row r="1663" spans="5:5" s="1" customFormat="1" ht="24" customHeight="1">
      <c r="E1663" s="46"/>
    </row>
    <row r="1664" spans="5:5" s="1" customFormat="1" ht="24" customHeight="1">
      <c r="E1664" s="46"/>
    </row>
    <row r="1665" spans="5:5" s="1" customFormat="1" ht="24" customHeight="1">
      <c r="E1665" s="46"/>
    </row>
    <row r="1666" spans="5:5" s="1" customFormat="1" ht="24" customHeight="1">
      <c r="E1666" s="46"/>
    </row>
    <row r="1667" spans="5:5" s="1" customFormat="1" ht="24" customHeight="1">
      <c r="E1667" s="46"/>
    </row>
    <row r="1668" spans="5:5" s="1" customFormat="1" ht="24" customHeight="1">
      <c r="E1668" s="46"/>
    </row>
    <row r="1669" spans="5:5" s="1" customFormat="1" ht="24" customHeight="1">
      <c r="E1669" s="46"/>
    </row>
    <row r="1670" spans="5:5" s="1" customFormat="1" ht="24" customHeight="1">
      <c r="E1670" s="46"/>
    </row>
    <row r="1671" spans="5:5" s="1" customFormat="1" ht="24" customHeight="1">
      <c r="E1671" s="46"/>
    </row>
    <row r="1672" spans="5:5" s="1" customFormat="1" ht="24" customHeight="1">
      <c r="E1672" s="46"/>
    </row>
    <row r="1673" spans="5:5" s="1" customFormat="1" ht="24" customHeight="1">
      <c r="E1673" s="46"/>
    </row>
    <row r="1674" spans="5:5" s="1" customFormat="1" ht="24" customHeight="1">
      <c r="E1674" s="46"/>
    </row>
    <row r="1675" spans="5:5" s="1" customFormat="1" ht="24" customHeight="1">
      <c r="E1675" s="46"/>
    </row>
    <row r="1676" spans="5:5" s="1" customFormat="1" ht="24" customHeight="1">
      <c r="E1676" s="46"/>
    </row>
    <row r="1677" spans="5:5" s="1" customFormat="1" ht="24" customHeight="1">
      <c r="E1677" s="46"/>
    </row>
    <row r="1678" spans="5:5" s="1" customFormat="1" ht="24" customHeight="1">
      <c r="E1678" s="46"/>
    </row>
    <row r="1679" spans="5:5" s="1" customFormat="1" ht="24" customHeight="1">
      <c r="E1679" s="46"/>
    </row>
    <row r="1680" spans="5:5" s="1" customFormat="1" ht="24" customHeight="1">
      <c r="E1680" s="46"/>
    </row>
    <row r="1681" spans="5:5" s="1" customFormat="1" ht="24" customHeight="1">
      <c r="E1681" s="46"/>
    </row>
    <row r="1682" spans="5:5" s="1" customFormat="1" ht="24" customHeight="1">
      <c r="E1682" s="46"/>
    </row>
    <row r="1683" spans="5:5" s="1" customFormat="1" ht="24" customHeight="1">
      <c r="E1683" s="46"/>
    </row>
    <row r="1684" spans="5:5" s="1" customFormat="1" ht="24" customHeight="1">
      <c r="E1684" s="46"/>
    </row>
    <row r="1685" spans="5:5" s="1" customFormat="1" ht="24" customHeight="1">
      <c r="E1685" s="46"/>
    </row>
    <row r="1686" spans="5:5" s="1" customFormat="1" ht="24" customHeight="1">
      <c r="E1686" s="46"/>
    </row>
    <row r="1687" spans="5:5" s="1" customFormat="1" ht="24" customHeight="1">
      <c r="E1687" s="46"/>
    </row>
    <row r="1688" spans="5:5" s="1" customFormat="1" ht="24" customHeight="1">
      <c r="E1688" s="46"/>
    </row>
    <row r="1689" spans="5:5" s="1" customFormat="1" ht="24" customHeight="1">
      <c r="E1689" s="46"/>
    </row>
    <row r="1690" spans="5:5" s="1" customFormat="1" ht="24" customHeight="1">
      <c r="E1690" s="46"/>
    </row>
    <row r="1691" spans="5:5" s="1" customFormat="1" ht="24" customHeight="1">
      <c r="E1691" s="46"/>
    </row>
    <row r="1692" spans="5:5" s="1" customFormat="1" ht="24" customHeight="1">
      <c r="E1692" s="46"/>
    </row>
    <row r="1693" spans="5:5" s="1" customFormat="1" ht="24" customHeight="1">
      <c r="E1693" s="46"/>
    </row>
    <row r="1694" spans="5:5" s="1" customFormat="1" ht="24" customHeight="1">
      <c r="E1694" s="46"/>
    </row>
    <row r="1695" spans="5:5" s="1" customFormat="1" ht="24" customHeight="1">
      <c r="E1695" s="46"/>
    </row>
    <row r="1696" spans="5:5" s="1" customFormat="1" ht="24" customHeight="1">
      <c r="E1696" s="46"/>
    </row>
    <row r="1697" spans="5:5" s="1" customFormat="1" ht="24" customHeight="1">
      <c r="E1697" s="46"/>
    </row>
    <row r="1698" spans="5:5" s="1" customFormat="1" ht="24" customHeight="1">
      <c r="E1698" s="46"/>
    </row>
    <row r="1699" spans="5:5" s="1" customFormat="1" ht="24" customHeight="1">
      <c r="E1699" s="46"/>
    </row>
    <row r="1700" spans="5:5" s="1" customFormat="1" ht="24" customHeight="1">
      <c r="E1700" s="46"/>
    </row>
    <row r="1701" spans="5:5" s="1" customFormat="1" ht="24" customHeight="1">
      <c r="E1701" s="46"/>
    </row>
    <row r="1702" spans="5:5" s="1" customFormat="1" ht="24" customHeight="1">
      <c r="E1702" s="46"/>
    </row>
    <row r="1703" spans="5:5" s="1" customFormat="1" ht="24" customHeight="1">
      <c r="E1703" s="46"/>
    </row>
    <row r="1704" spans="5:5" s="1" customFormat="1" ht="24" customHeight="1">
      <c r="E1704" s="46"/>
    </row>
    <row r="1705" spans="5:5" s="1" customFormat="1" ht="24" customHeight="1">
      <c r="E1705" s="46"/>
    </row>
    <row r="1706" spans="5:5" s="1" customFormat="1" ht="24" customHeight="1">
      <c r="E1706" s="46"/>
    </row>
    <row r="1707" spans="5:5" s="1" customFormat="1" ht="24" customHeight="1">
      <c r="E1707" s="46"/>
    </row>
    <row r="1708" spans="5:5" s="1" customFormat="1" ht="24" customHeight="1">
      <c r="E1708" s="46"/>
    </row>
    <row r="1709" spans="5:5" s="1" customFormat="1" ht="24" customHeight="1">
      <c r="E1709" s="46"/>
    </row>
    <row r="1710" spans="5:5" s="1" customFormat="1" ht="24" customHeight="1">
      <c r="E1710" s="46"/>
    </row>
    <row r="1711" spans="5:5" s="1" customFormat="1" ht="24" customHeight="1">
      <c r="E1711" s="46"/>
    </row>
    <row r="1712" spans="5:5" s="1" customFormat="1" ht="24" customHeight="1">
      <c r="E1712" s="46"/>
    </row>
    <row r="1713" spans="5:5" s="1" customFormat="1" ht="24" customHeight="1">
      <c r="E1713" s="46"/>
    </row>
    <row r="1714" spans="5:5" s="1" customFormat="1" ht="24" customHeight="1">
      <c r="E1714" s="46"/>
    </row>
    <row r="1715" spans="5:5" s="1" customFormat="1" ht="24" customHeight="1">
      <c r="E1715" s="46"/>
    </row>
    <row r="1716" spans="5:5" s="1" customFormat="1" ht="24" customHeight="1">
      <c r="E1716" s="46"/>
    </row>
    <row r="1717" spans="5:5" s="1" customFormat="1" ht="24" customHeight="1">
      <c r="E1717" s="46"/>
    </row>
    <row r="1718" spans="5:5" s="1" customFormat="1" ht="24" customHeight="1">
      <c r="E1718" s="46"/>
    </row>
    <row r="1719" spans="5:5" s="1" customFormat="1" ht="24" customHeight="1">
      <c r="E1719" s="46"/>
    </row>
    <row r="1720" spans="5:5" s="1" customFormat="1" ht="24" customHeight="1">
      <c r="E1720" s="46"/>
    </row>
    <row r="1721" spans="5:5" s="1" customFormat="1" ht="24" customHeight="1">
      <c r="E1721" s="46"/>
    </row>
    <row r="1722" spans="5:5" s="1" customFormat="1" ht="24" customHeight="1">
      <c r="E1722" s="46"/>
    </row>
    <row r="1723" spans="5:5" s="1" customFormat="1" ht="24" customHeight="1">
      <c r="E1723" s="46"/>
    </row>
    <row r="1724" spans="5:5" s="1" customFormat="1" ht="24" customHeight="1">
      <c r="E1724" s="46"/>
    </row>
    <row r="1725" spans="5:5" s="1" customFormat="1" ht="24" customHeight="1">
      <c r="E1725" s="46"/>
    </row>
    <row r="1726" spans="5:5" s="1" customFormat="1" ht="24" customHeight="1">
      <c r="E1726" s="46"/>
    </row>
    <row r="1727" spans="5:5" s="1" customFormat="1" ht="24" customHeight="1">
      <c r="E1727" s="46"/>
    </row>
    <row r="1728" spans="5:5" s="1" customFormat="1" ht="24" customHeight="1">
      <c r="E1728" s="46"/>
    </row>
    <row r="1729" spans="5:5" s="1" customFormat="1" ht="24" customHeight="1">
      <c r="E1729" s="46"/>
    </row>
    <row r="1730" spans="5:5" s="1" customFormat="1" ht="24" customHeight="1">
      <c r="E1730" s="46"/>
    </row>
    <row r="1731" spans="5:5" s="1" customFormat="1" ht="24" customHeight="1">
      <c r="E1731" s="46"/>
    </row>
    <row r="1732" spans="5:5" s="1" customFormat="1" ht="24" customHeight="1">
      <c r="E1732" s="46"/>
    </row>
    <row r="1733" spans="5:5" s="1" customFormat="1" ht="24" customHeight="1">
      <c r="E1733" s="46"/>
    </row>
    <row r="1734" spans="5:5" s="1" customFormat="1" ht="24" customHeight="1">
      <c r="E1734" s="46"/>
    </row>
    <row r="1735" spans="5:5" s="1" customFormat="1" ht="24" customHeight="1">
      <c r="E1735" s="46"/>
    </row>
    <row r="1736" spans="5:5" s="1" customFormat="1" ht="24" customHeight="1">
      <c r="E1736" s="46"/>
    </row>
    <row r="1737" spans="5:5" s="1" customFormat="1" ht="24" customHeight="1">
      <c r="E1737" s="46"/>
    </row>
    <row r="1738" spans="5:5" s="1" customFormat="1" ht="24" customHeight="1">
      <c r="E1738" s="46"/>
    </row>
    <row r="1739" spans="5:5" s="1" customFormat="1" ht="24" customHeight="1">
      <c r="E1739" s="46"/>
    </row>
    <row r="1740" spans="5:5" s="1" customFormat="1" ht="24" customHeight="1">
      <c r="E1740" s="46"/>
    </row>
    <row r="1741" spans="5:5" s="1" customFormat="1" ht="24" customHeight="1">
      <c r="E1741" s="46"/>
    </row>
    <row r="1742" spans="5:5" s="1" customFormat="1" ht="24" customHeight="1">
      <c r="E1742" s="46"/>
    </row>
    <row r="1743" spans="5:5" s="1" customFormat="1" ht="24" customHeight="1">
      <c r="E1743" s="46"/>
    </row>
    <row r="1744" spans="5:5" s="1" customFormat="1" ht="24" customHeight="1">
      <c r="E1744" s="46"/>
    </row>
    <row r="1745" spans="5:5" s="1" customFormat="1" ht="24" customHeight="1">
      <c r="E1745" s="46"/>
    </row>
    <row r="1746" spans="5:5" s="1" customFormat="1" ht="24" customHeight="1">
      <c r="E1746" s="46"/>
    </row>
    <row r="1747" spans="5:5" s="1" customFormat="1" ht="24" customHeight="1">
      <c r="E1747" s="46"/>
    </row>
    <row r="1748" spans="5:5" s="1" customFormat="1" ht="24" customHeight="1">
      <c r="E1748" s="46"/>
    </row>
    <row r="1749" spans="5:5" s="1" customFormat="1" ht="24" customHeight="1">
      <c r="E1749" s="46"/>
    </row>
    <row r="1750" spans="5:5" s="1" customFormat="1" ht="24" customHeight="1">
      <c r="E1750" s="46"/>
    </row>
    <row r="1751" spans="5:5" s="1" customFormat="1" ht="24" customHeight="1">
      <c r="E1751" s="46"/>
    </row>
    <row r="1752" spans="5:5" s="1" customFormat="1" ht="24" customHeight="1">
      <c r="E1752" s="46"/>
    </row>
    <row r="1753" spans="5:5" s="1" customFormat="1" ht="24" customHeight="1">
      <c r="E1753" s="46"/>
    </row>
    <row r="1754" spans="5:5" s="1" customFormat="1" ht="24" customHeight="1">
      <c r="E1754" s="46"/>
    </row>
    <row r="1755" spans="5:5" s="1" customFormat="1" ht="24" customHeight="1">
      <c r="E1755" s="46"/>
    </row>
    <row r="1756" spans="5:5" s="1" customFormat="1" ht="24" customHeight="1">
      <c r="E1756" s="46"/>
    </row>
    <row r="1757" spans="5:5" s="1" customFormat="1" ht="24" customHeight="1">
      <c r="E1757" s="46"/>
    </row>
    <row r="1758" spans="5:5" s="1" customFormat="1" ht="24" customHeight="1">
      <c r="E1758" s="46"/>
    </row>
    <row r="1759" spans="5:5" s="1" customFormat="1" ht="24" customHeight="1">
      <c r="E1759" s="46"/>
    </row>
    <row r="1760" spans="5:5" s="1" customFormat="1" ht="24" customHeight="1">
      <c r="E1760" s="46"/>
    </row>
    <row r="1761" spans="5:5" s="1" customFormat="1" ht="24" customHeight="1">
      <c r="E1761" s="46"/>
    </row>
    <row r="1762" spans="5:5" s="1" customFormat="1" ht="24" customHeight="1">
      <c r="E1762" s="46"/>
    </row>
    <row r="1763" spans="5:5" s="1" customFormat="1" ht="24" customHeight="1">
      <c r="E1763" s="46"/>
    </row>
    <row r="1764" spans="5:5" s="1" customFormat="1" ht="24" customHeight="1">
      <c r="E1764" s="46"/>
    </row>
    <row r="1765" spans="5:5" s="1" customFormat="1" ht="24" customHeight="1">
      <c r="E1765" s="46"/>
    </row>
    <row r="1766" spans="5:5" s="1" customFormat="1" ht="24" customHeight="1">
      <c r="E1766" s="46"/>
    </row>
    <row r="1767" spans="5:5" s="1" customFormat="1" ht="24" customHeight="1">
      <c r="E1767" s="46"/>
    </row>
    <row r="1768" spans="5:5" s="1" customFormat="1" ht="24" customHeight="1">
      <c r="E1768" s="46"/>
    </row>
    <row r="1769" spans="5:5" s="1" customFormat="1" ht="24" customHeight="1">
      <c r="E1769" s="46"/>
    </row>
    <row r="1770" spans="5:5" s="1" customFormat="1" ht="24" customHeight="1">
      <c r="E1770" s="46"/>
    </row>
    <row r="1771" spans="5:5" s="1" customFormat="1" ht="24" customHeight="1">
      <c r="E1771" s="46"/>
    </row>
    <row r="1772" spans="5:5" s="1" customFormat="1" ht="24" customHeight="1">
      <c r="E1772" s="46"/>
    </row>
    <row r="1773" spans="5:5" s="1" customFormat="1" ht="24" customHeight="1">
      <c r="E1773" s="46"/>
    </row>
    <row r="1774" spans="5:5" s="1" customFormat="1" ht="24" customHeight="1">
      <c r="E1774" s="46"/>
    </row>
    <row r="1775" spans="5:5" s="1" customFormat="1" ht="24" customHeight="1">
      <c r="E1775" s="46"/>
    </row>
    <row r="1776" spans="5:5" s="1" customFormat="1" ht="24" customHeight="1">
      <c r="E1776" s="46"/>
    </row>
    <row r="1777" spans="5:5" s="1" customFormat="1" ht="24" customHeight="1">
      <c r="E1777" s="46"/>
    </row>
    <row r="1778" spans="5:5" s="1" customFormat="1" ht="24" customHeight="1">
      <c r="E1778" s="46"/>
    </row>
    <row r="1779" spans="5:5" s="1" customFormat="1" ht="24" customHeight="1">
      <c r="E1779" s="46"/>
    </row>
    <row r="1780" spans="5:5" s="1" customFormat="1" ht="24" customHeight="1">
      <c r="E1780" s="46"/>
    </row>
    <row r="1781" spans="5:5" s="1" customFormat="1" ht="24" customHeight="1">
      <c r="E1781" s="46"/>
    </row>
    <row r="1782" spans="5:5" s="1" customFormat="1" ht="24" customHeight="1">
      <c r="E1782" s="46"/>
    </row>
    <row r="1783" spans="5:5" s="1" customFormat="1" ht="24" customHeight="1">
      <c r="E1783" s="46"/>
    </row>
    <row r="1784" spans="5:5" s="1" customFormat="1" ht="24" customHeight="1">
      <c r="E1784" s="46"/>
    </row>
    <row r="1785" spans="5:5" s="1" customFormat="1" ht="24" customHeight="1">
      <c r="E1785" s="46"/>
    </row>
    <row r="1786" spans="5:5" s="1" customFormat="1" ht="24" customHeight="1">
      <c r="E1786" s="46"/>
    </row>
    <row r="1787" spans="5:5" s="1" customFormat="1" ht="24" customHeight="1">
      <c r="E1787" s="46"/>
    </row>
    <row r="1788" spans="5:5" s="1" customFormat="1" ht="24" customHeight="1">
      <c r="E1788" s="46"/>
    </row>
    <row r="1789" spans="5:5" s="1" customFormat="1" ht="24" customHeight="1">
      <c r="E1789" s="46"/>
    </row>
    <row r="1790" spans="5:5" s="1" customFormat="1" ht="24" customHeight="1">
      <c r="E1790" s="46"/>
    </row>
    <row r="1791" spans="5:5" s="1" customFormat="1" ht="24" customHeight="1">
      <c r="E1791" s="46"/>
    </row>
    <row r="1792" spans="5:5" s="1" customFormat="1" ht="24" customHeight="1">
      <c r="E1792" s="46"/>
    </row>
    <row r="1793" spans="5:5" s="1" customFormat="1" ht="24" customHeight="1">
      <c r="E1793" s="46"/>
    </row>
    <row r="1794" spans="5:5" s="1" customFormat="1" ht="24" customHeight="1">
      <c r="E1794" s="46"/>
    </row>
    <row r="1795" spans="5:5" s="1" customFormat="1" ht="24" customHeight="1">
      <c r="E1795" s="46"/>
    </row>
    <row r="1796" spans="5:5" s="1" customFormat="1" ht="24" customHeight="1">
      <c r="E1796" s="46"/>
    </row>
    <row r="1797" spans="5:5" s="1" customFormat="1" ht="24" customHeight="1">
      <c r="E1797" s="46"/>
    </row>
    <row r="1798" spans="5:5" s="1" customFormat="1" ht="24" customHeight="1">
      <c r="E1798" s="46"/>
    </row>
    <row r="1799" spans="5:5" s="1" customFormat="1" ht="24" customHeight="1">
      <c r="E1799" s="46"/>
    </row>
    <row r="1800" spans="5:5" s="1" customFormat="1" ht="24" customHeight="1">
      <c r="E1800" s="46"/>
    </row>
    <row r="1801" spans="5:5" s="1" customFormat="1" ht="24" customHeight="1">
      <c r="E1801" s="46"/>
    </row>
    <row r="1802" spans="5:5" s="1" customFormat="1" ht="24" customHeight="1">
      <c r="E1802" s="46"/>
    </row>
    <row r="1803" spans="5:5" s="1" customFormat="1" ht="24" customHeight="1">
      <c r="E1803" s="46"/>
    </row>
    <row r="1804" spans="5:5" s="1" customFormat="1" ht="24" customHeight="1">
      <c r="E1804" s="46"/>
    </row>
    <row r="1805" spans="5:5" s="1" customFormat="1" ht="24" customHeight="1">
      <c r="E1805" s="46"/>
    </row>
    <row r="1806" spans="5:5" s="1" customFormat="1" ht="24" customHeight="1">
      <c r="E1806" s="46"/>
    </row>
    <row r="1807" spans="5:5" s="1" customFormat="1" ht="24" customHeight="1">
      <c r="E1807" s="46"/>
    </row>
    <row r="1808" spans="5:5" s="1" customFormat="1" ht="24" customHeight="1">
      <c r="E1808" s="46"/>
    </row>
    <row r="1809" spans="5:5" s="1" customFormat="1" ht="24" customHeight="1">
      <c r="E1809" s="46"/>
    </row>
    <row r="1810" spans="5:5" s="1" customFormat="1" ht="24" customHeight="1">
      <c r="E1810" s="46"/>
    </row>
    <row r="1811" spans="5:5" s="1" customFormat="1" ht="24" customHeight="1">
      <c r="E1811" s="46"/>
    </row>
    <row r="1812" spans="5:5" s="1" customFormat="1" ht="24" customHeight="1">
      <c r="E1812" s="46"/>
    </row>
    <row r="1813" spans="5:5" s="1" customFormat="1" ht="24" customHeight="1">
      <c r="E1813" s="46"/>
    </row>
    <row r="1814" spans="5:5" s="1" customFormat="1" ht="24" customHeight="1">
      <c r="E1814" s="46"/>
    </row>
    <row r="1815" spans="5:5" s="1" customFormat="1" ht="24" customHeight="1">
      <c r="E1815" s="46"/>
    </row>
    <row r="1816" spans="5:5" s="1" customFormat="1" ht="24" customHeight="1">
      <c r="E1816" s="46"/>
    </row>
    <row r="1817" spans="5:5" s="1" customFormat="1" ht="24" customHeight="1">
      <c r="E1817" s="46"/>
    </row>
    <row r="1818" spans="5:5" s="1" customFormat="1" ht="24" customHeight="1">
      <c r="E1818" s="46"/>
    </row>
    <row r="1819" spans="5:5" s="1" customFormat="1" ht="24" customHeight="1">
      <c r="E1819" s="46"/>
    </row>
    <row r="1820" spans="5:5" s="1" customFormat="1" ht="24" customHeight="1">
      <c r="E1820" s="46"/>
    </row>
    <row r="1821" spans="5:5" s="1" customFormat="1" ht="24" customHeight="1">
      <c r="E1821" s="46"/>
    </row>
    <row r="1822" spans="5:5" s="1" customFormat="1" ht="24" customHeight="1">
      <c r="E1822" s="46"/>
    </row>
    <row r="1823" spans="5:5" s="1" customFormat="1" ht="24" customHeight="1">
      <c r="E1823" s="46"/>
    </row>
    <row r="1824" spans="5:5" s="1" customFormat="1" ht="24" customHeight="1">
      <c r="E1824" s="46"/>
    </row>
    <row r="1825" spans="5:5" s="1" customFormat="1" ht="24" customHeight="1">
      <c r="E1825" s="46"/>
    </row>
    <row r="1826" spans="5:5" s="1" customFormat="1" ht="24" customHeight="1">
      <c r="E1826" s="46"/>
    </row>
    <row r="1827" spans="5:5" s="1" customFormat="1" ht="24" customHeight="1">
      <c r="E1827" s="46"/>
    </row>
    <row r="1828" spans="5:5" s="1" customFormat="1" ht="24" customHeight="1">
      <c r="E1828" s="46"/>
    </row>
    <row r="1829" spans="5:5" s="1" customFormat="1" ht="24" customHeight="1">
      <c r="E1829" s="46"/>
    </row>
    <row r="1830" spans="5:5" s="1" customFormat="1" ht="24" customHeight="1">
      <c r="E1830" s="46"/>
    </row>
    <row r="1831" spans="5:5" s="1" customFormat="1" ht="24" customHeight="1">
      <c r="E1831" s="46"/>
    </row>
    <row r="1832" spans="5:5" s="1" customFormat="1" ht="24" customHeight="1">
      <c r="E1832" s="46"/>
    </row>
    <row r="1833" spans="5:5" s="1" customFormat="1" ht="24" customHeight="1">
      <c r="E1833" s="46"/>
    </row>
    <row r="1834" spans="5:5" s="1" customFormat="1" ht="24" customHeight="1">
      <c r="E1834" s="46"/>
    </row>
    <row r="1835" spans="5:5" s="1" customFormat="1" ht="24" customHeight="1">
      <c r="E1835" s="46"/>
    </row>
    <row r="1836" spans="5:5" s="1" customFormat="1" ht="24" customHeight="1">
      <c r="E1836" s="46"/>
    </row>
    <row r="1837" spans="5:5" s="1" customFormat="1" ht="24" customHeight="1">
      <c r="E1837" s="46"/>
    </row>
    <row r="1838" spans="5:5" s="1" customFormat="1" ht="24" customHeight="1">
      <c r="E1838" s="46"/>
    </row>
    <row r="1839" spans="5:5" s="1" customFormat="1" ht="24" customHeight="1">
      <c r="E1839" s="46"/>
    </row>
    <row r="1840" spans="5:5" s="1" customFormat="1" ht="24" customHeight="1">
      <c r="E1840" s="46"/>
    </row>
    <row r="1841" spans="5:5" s="1" customFormat="1" ht="24" customHeight="1">
      <c r="E1841" s="46"/>
    </row>
    <row r="1842" spans="5:5" s="1" customFormat="1" ht="24" customHeight="1">
      <c r="E1842" s="46"/>
    </row>
    <row r="1843" spans="5:5" s="1" customFormat="1" ht="24" customHeight="1">
      <c r="E1843" s="46"/>
    </row>
    <row r="1844" spans="5:5" s="1" customFormat="1" ht="24" customHeight="1">
      <c r="E1844" s="46"/>
    </row>
    <row r="1845" spans="5:5" s="1" customFormat="1" ht="24" customHeight="1">
      <c r="E1845" s="46"/>
    </row>
    <row r="1846" spans="5:5" s="1" customFormat="1" ht="24" customHeight="1">
      <c r="E1846" s="46"/>
    </row>
    <row r="1847" spans="5:5" s="1" customFormat="1" ht="24" customHeight="1">
      <c r="E1847" s="46"/>
    </row>
    <row r="1848" spans="5:5" s="1" customFormat="1" ht="24" customHeight="1">
      <c r="E1848" s="46"/>
    </row>
    <row r="1849" spans="5:5" s="1" customFormat="1" ht="24" customHeight="1">
      <c r="E1849" s="46"/>
    </row>
    <row r="1850" spans="5:5" s="1" customFormat="1" ht="24" customHeight="1">
      <c r="E1850" s="46"/>
    </row>
    <row r="1851" spans="5:5" s="1" customFormat="1" ht="24" customHeight="1">
      <c r="E1851" s="46"/>
    </row>
    <row r="1852" spans="5:5" s="1" customFormat="1" ht="24" customHeight="1">
      <c r="E1852" s="46"/>
    </row>
    <row r="1853" spans="5:5" s="1" customFormat="1" ht="24" customHeight="1">
      <c r="E1853" s="46"/>
    </row>
    <row r="1854" spans="5:5" s="1" customFormat="1" ht="24" customHeight="1">
      <c r="E1854" s="46"/>
    </row>
    <row r="1855" spans="5:5" s="1" customFormat="1" ht="24" customHeight="1">
      <c r="E1855" s="46"/>
    </row>
    <row r="1856" spans="5:5" s="1" customFormat="1" ht="24" customHeight="1">
      <c r="E1856" s="46"/>
    </row>
    <row r="1857" spans="5:5" s="1" customFormat="1" ht="24" customHeight="1">
      <c r="E1857" s="46"/>
    </row>
    <row r="1858" spans="5:5" s="1" customFormat="1" ht="24" customHeight="1">
      <c r="E1858" s="46"/>
    </row>
    <row r="1859" spans="5:5" s="1" customFormat="1" ht="24" customHeight="1">
      <c r="E1859" s="46"/>
    </row>
    <row r="1860" spans="5:5" s="1" customFormat="1" ht="24" customHeight="1">
      <c r="E1860" s="46"/>
    </row>
    <row r="1861" spans="5:5" s="1" customFormat="1" ht="24" customHeight="1">
      <c r="E1861" s="46"/>
    </row>
    <row r="1862" spans="5:5" s="1" customFormat="1" ht="24" customHeight="1">
      <c r="E1862" s="46"/>
    </row>
    <row r="1863" spans="5:5" s="1" customFormat="1" ht="24" customHeight="1">
      <c r="E1863" s="46"/>
    </row>
    <row r="1864" spans="5:5" s="1" customFormat="1" ht="24" customHeight="1">
      <c r="E1864" s="46"/>
    </row>
    <row r="1865" spans="5:5" s="1" customFormat="1" ht="24" customHeight="1">
      <c r="E1865" s="46"/>
    </row>
    <row r="1866" spans="5:5" s="1" customFormat="1" ht="24" customHeight="1">
      <c r="E1866" s="46"/>
    </row>
    <row r="1867" spans="5:5" s="1" customFormat="1" ht="24" customHeight="1">
      <c r="E1867" s="46"/>
    </row>
    <row r="1868" spans="5:5" s="1" customFormat="1" ht="24" customHeight="1">
      <c r="E1868" s="46"/>
    </row>
    <row r="1869" spans="5:5" s="1" customFormat="1" ht="24" customHeight="1">
      <c r="E1869" s="46"/>
    </row>
    <row r="1870" spans="5:5" s="1" customFormat="1" ht="24" customHeight="1">
      <c r="E1870" s="46"/>
    </row>
    <row r="1871" spans="5:5" s="1" customFormat="1" ht="24" customHeight="1">
      <c r="E1871" s="46"/>
    </row>
    <row r="1872" spans="5:5" s="1" customFormat="1" ht="24" customHeight="1">
      <c r="E1872" s="46"/>
    </row>
    <row r="1873" spans="5:5" s="1" customFormat="1" ht="24" customHeight="1">
      <c r="E1873" s="46"/>
    </row>
    <row r="1874" spans="5:5" s="1" customFormat="1" ht="24" customHeight="1">
      <c r="E1874" s="46"/>
    </row>
    <row r="1875" spans="5:5" s="1" customFormat="1" ht="24" customHeight="1">
      <c r="E1875" s="46"/>
    </row>
    <row r="1876" spans="5:5" s="1" customFormat="1" ht="24" customHeight="1">
      <c r="E1876" s="46"/>
    </row>
    <row r="1877" spans="5:5" s="1" customFormat="1" ht="24" customHeight="1">
      <c r="E1877" s="46"/>
    </row>
    <row r="1878" spans="5:5" s="1" customFormat="1" ht="24" customHeight="1">
      <c r="E1878" s="46"/>
    </row>
    <row r="1879" spans="5:5" s="1" customFormat="1" ht="24" customHeight="1">
      <c r="E1879" s="46"/>
    </row>
    <row r="1880" spans="5:5" s="1" customFormat="1" ht="24" customHeight="1">
      <c r="E1880" s="46"/>
    </row>
    <row r="1881" spans="5:5" s="1" customFormat="1" ht="24" customHeight="1">
      <c r="E1881" s="46"/>
    </row>
    <row r="1882" spans="5:5" s="1" customFormat="1" ht="24" customHeight="1">
      <c r="E1882" s="46"/>
    </row>
    <row r="1883" spans="5:5" s="1" customFormat="1" ht="24" customHeight="1">
      <c r="E1883" s="46"/>
    </row>
    <row r="1884" spans="5:5" s="1" customFormat="1" ht="24" customHeight="1">
      <c r="E1884" s="46"/>
    </row>
    <row r="1885" spans="5:5" s="1" customFormat="1" ht="24" customHeight="1">
      <c r="E1885" s="46"/>
    </row>
    <row r="1886" spans="5:5" s="1" customFormat="1" ht="24" customHeight="1">
      <c r="E1886" s="46"/>
    </row>
    <row r="1887" spans="5:5" s="1" customFormat="1" ht="24" customHeight="1">
      <c r="E1887" s="46"/>
    </row>
    <row r="1888" spans="5:5" s="1" customFormat="1" ht="24" customHeight="1">
      <c r="E1888" s="46"/>
    </row>
    <row r="1889" spans="5:5" s="1" customFormat="1" ht="24" customHeight="1">
      <c r="E1889" s="46"/>
    </row>
    <row r="1890" spans="5:5" s="1" customFormat="1" ht="24" customHeight="1">
      <c r="E1890" s="46"/>
    </row>
    <row r="1891" spans="5:5" s="1" customFormat="1" ht="24" customHeight="1">
      <c r="E1891" s="46"/>
    </row>
    <row r="1892" spans="5:5" s="1" customFormat="1" ht="24" customHeight="1">
      <c r="E1892" s="46"/>
    </row>
    <row r="1893" spans="5:5" s="1" customFormat="1" ht="24" customHeight="1">
      <c r="E1893" s="46"/>
    </row>
    <row r="1894" spans="5:5" s="1" customFormat="1" ht="24" customHeight="1">
      <c r="E1894" s="46"/>
    </row>
    <row r="1895" spans="5:5" s="1" customFormat="1" ht="24" customHeight="1">
      <c r="E1895" s="46"/>
    </row>
    <row r="1896" spans="5:5" s="1" customFormat="1" ht="24" customHeight="1">
      <c r="E1896" s="46"/>
    </row>
    <row r="1897" spans="5:5" s="1" customFormat="1" ht="24" customHeight="1">
      <c r="E1897" s="46"/>
    </row>
    <row r="1898" spans="5:5" s="1" customFormat="1" ht="24" customHeight="1">
      <c r="E1898" s="46"/>
    </row>
    <row r="1899" spans="5:5" s="1" customFormat="1" ht="24" customHeight="1">
      <c r="E1899" s="46"/>
    </row>
    <row r="1900" spans="5:5" s="1" customFormat="1" ht="24" customHeight="1">
      <c r="E1900" s="46"/>
    </row>
    <row r="1901" spans="5:5" s="1" customFormat="1" ht="24" customHeight="1">
      <c r="E1901" s="46"/>
    </row>
    <row r="1902" spans="5:5" s="1" customFormat="1" ht="24" customHeight="1">
      <c r="E1902" s="46"/>
    </row>
    <row r="1903" spans="5:5" s="1" customFormat="1" ht="24" customHeight="1">
      <c r="E1903" s="46"/>
    </row>
    <row r="1904" spans="5:5" s="1" customFormat="1" ht="24" customHeight="1">
      <c r="E1904" s="46"/>
    </row>
    <row r="1905" spans="5:5" s="1" customFormat="1" ht="24" customHeight="1">
      <c r="E1905" s="46"/>
    </row>
    <row r="1906" spans="5:5" s="1" customFormat="1" ht="24" customHeight="1">
      <c r="E1906" s="46"/>
    </row>
    <row r="1907" spans="5:5" s="1" customFormat="1" ht="24" customHeight="1">
      <c r="E1907" s="46"/>
    </row>
    <row r="1908" spans="5:5" s="1" customFormat="1" ht="24" customHeight="1">
      <c r="E1908" s="46"/>
    </row>
    <row r="1909" spans="5:5" s="1" customFormat="1" ht="24" customHeight="1">
      <c r="E1909" s="46"/>
    </row>
    <row r="1910" spans="5:5" s="1" customFormat="1" ht="24" customHeight="1">
      <c r="E1910" s="46"/>
    </row>
    <row r="1911" spans="5:5" s="1" customFormat="1" ht="24" customHeight="1">
      <c r="E1911" s="46"/>
    </row>
    <row r="1912" spans="5:5" s="1" customFormat="1" ht="24" customHeight="1">
      <c r="E1912" s="46"/>
    </row>
    <row r="1913" spans="5:5" s="1" customFormat="1" ht="24" customHeight="1">
      <c r="E1913" s="46"/>
    </row>
    <row r="1914" spans="5:5" s="1" customFormat="1" ht="24" customHeight="1">
      <c r="E1914" s="46"/>
    </row>
    <row r="1915" spans="5:5" s="1" customFormat="1" ht="24" customHeight="1">
      <c r="E1915" s="46"/>
    </row>
    <row r="1916" spans="5:5" s="1" customFormat="1" ht="24" customHeight="1">
      <c r="E1916" s="46"/>
    </row>
    <row r="1917" spans="5:5" s="1" customFormat="1" ht="24" customHeight="1">
      <c r="E1917" s="46"/>
    </row>
    <row r="1918" spans="5:5" s="1" customFormat="1" ht="24" customHeight="1">
      <c r="E1918" s="46"/>
    </row>
    <row r="1919" spans="5:5" s="1" customFormat="1" ht="24" customHeight="1">
      <c r="E1919" s="46"/>
    </row>
    <row r="1920" spans="5:5" s="1" customFormat="1" ht="24" customHeight="1">
      <c r="E1920" s="46"/>
    </row>
    <row r="1921" spans="5:5" s="1" customFormat="1" ht="24" customHeight="1">
      <c r="E1921" s="46"/>
    </row>
    <row r="1922" spans="5:5" s="1" customFormat="1" ht="24" customHeight="1">
      <c r="E1922" s="46"/>
    </row>
    <row r="1923" spans="5:5" s="1" customFormat="1" ht="24" customHeight="1">
      <c r="E1923" s="46"/>
    </row>
    <row r="1924" spans="5:5" s="1" customFormat="1" ht="24" customHeight="1">
      <c r="E1924" s="46"/>
    </row>
    <row r="1925" spans="5:5" s="1" customFormat="1" ht="24" customHeight="1">
      <c r="E1925" s="46"/>
    </row>
    <row r="1926" spans="5:5" s="1" customFormat="1" ht="24" customHeight="1">
      <c r="E1926" s="46"/>
    </row>
    <row r="1927" spans="5:5" s="1" customFormat="1" ht="24" customHeight="1">
      <c r="E1927" s="46"/>
    </row>
    <row r="1928" spans="5:5" s="1" customFormat="1" ht="24" customHeight="1">
      <c r="E1928" s="46"/>
    </row>
    <row r="1929" spans="5:5" s="1" customFormat="1" ht="24" customHeight="1">
      <c r="E1929" s="46"/>
    </row>
    <row r="1930" spans="5:5" s="1" customFormat="1" ht="24" customHeight="1">
      <c r="E1930" s="46"/>
    </row>
    <row r="1931" spans="5:5" s="1" customFormat="1" ht="24" customHeight="1">
      <c r="E1931" s="46"/>
    </row>
    <row r="1932" spans="5:5" s="1" customFormat="1" ht="24" customHeight="1">
      <c r="E1932" s="46"/>
    </row>
    <row r="1933" spans="5:5" s="1" customFormat="1" ht="24" customHeight="1">
      <c r="E1933" s="46"/>
    </row>
    <row r="1934" spans="5:5" s="1" customFormat="1" ht="24" customHeight="1">
      <c r="E1934" s="46"/>
    </row>
    <row r="1935" spans="5:5" s="1" customFormat="1" ht="24" customHeight="1">
      <c r="E1935" s="46"/>
    </row>
    <row r="1936" spans="5:5" s="1" customFormat="1" ht="24" customHeight="1">
      <c r="E1936" s="46"/>
    </row>
    <row r="1937" spans="5:5" s="1" customFormat="1" ht="24" customHeight="1">
      <c r="E1937" s="46"/>
    </row>
    <row r="1938" spans="5:5" s="1" customFormat="1" ht="24" customHeight="1">
      <c r="E1938" s="46"/>
    </row>
    <row r="1939" spans="5:5" s="1" customFormat="1" ht="24" customHeight="1">
      <c r="E1939" s="46"/>
    </row>
    <row r="1940" spans="5:5" s="1" customFormat="1" ht="24" customHeight="1">
      <c r="E1940" s="46"/>
    </row>
    <row r="1941" spans="5:5" s="1" customFormat="1" ht="24" customHeight="1">
      <c r="E1941" s="46"/>
    </row>
    <row r="1942" spans="5:5" s="1" customFormat="1" ht="24" customHeight="1">
      <c r="E1942" s="46"/>
    </row>
    <row r="1943" spans="5:5" s="1" customFormat="1" ht="24" customHeight="1">
      <c r="E1943" s="46"/>
    </row>
    <row r="1944" spans="5:5" s="1" customFormat="1" ht="24" customHeight="1">
      <c r="E1944" s="46"/>
    </row>
    <row r="1945" spans="5:5" s="1" customFormat="1" ht="24" customHeight="1">
      <c r="E1945" s="46"/>
    </row>
    <row r="1946" spans="5:5" s="1" customFormat="1" ht="24" customHeight="1">
      <c r="E1946" s="46"/>
    </row>
    <row r="1947" spans="5:5" s="1" customFormat="1" ht="24" customHeight="1">
      <c r="E1947" s="46"/>
    </row>
    <row r="1948" spans="5:5" s="1" customFormat="1" ht="24" customHeight="1">
      <c r="E1948" s="46"/>
    </row>
    <row r="1949" spans="5:5" s="1" customFormat="1" ht="24" customHeight="1">
      <c r="E1949" s="46"/>
    </row>
    <row r="1950" spans="5:5" s="1" customFormat="1" ht="24" customHeight="1">
      <c r="E1950" s="46"/>
    </row>
    <row r="1951" spans="5:5" s="1" customFormat="1" ht="24" customHeight="1">
      <c r="E1951" s="46"/>
    </row>
    <row r="1952" spans="5:5" s="1" customFormat="1" ht="24" customHeight="1">
      <c r="E1952" s="46"/>
    </row>
    <row r="1953" spans="4:17" ht="24" customHeight="1">
      <c r="D1953" s="1"/>
      <c r="E1953" s="46"/>
      <c r="G1953" s="1"/>
      <c r="I1953" s="1"/>
      <c r="K1953" s="1"/>
      <c r="M1953" s="1"/>
      <c r="O1953" s="1"/>
      <c r="Q1953" s="1"/>
    </row>
    <row r="1954" spans="4:17" ht="24" customHeight="1">
      <c r="D1954" s="1"/>
      <c r="E1954" s="46"/>
      <c r="G1954" s="1"/>
      <c r="I1954" s="1"/>
      <c r="K1954" s="1"/>
      <c r="M1954" s="1"/>
      <c r="O1954" s="1"/>
      <c r="Q1954" s="1"/>
    </row>
    <row r="1955" spans="4:17" ht="24" customHeight="1">
      <c r="D1955" s="1"/>
      <c r="E1955" s="46"/>
      <c r="G1955" s="1"/>
      <c r="I1955" s="1"/>
      <c r="K1955" s="1"/>
      <c r="M1955" s="1"/>
      <c r="O1955" s="1"/>
      <c r="Q1955" s="1"/>
    </row>
    <row r="1956" spans="4:17" ht="24" customHeight="1">
      <c r="D1956" s="1"/>
      <c r="E1956" s="46"/>
      <c r="G1956" s="1"/>
      <c r="I1956" s="1"/>
      <c r="K1956" s="1"/>
      <c r="M1956" s="1"/>
      <c r="O1956" s="1"/>
      <c r="Q1956" s="1"/>
    </row>
    <row r="1957" spans="4:17" ht="24" customHeight="1">
      <c r="D1957" s="1"/>
      <c r="E1957" s="46"/>
      <c r="G1957" s="1"/>
      <c r="I1957" s="1"/>
      <c r="K1957" s="1"/>
      <c r="M1957" s="1"/>
      <c r="O1957" s="1"/>
      <c r="Q1957" s="1"/>
    </row>
    <row r="1958" spans="4:17" ht="24" customHeight="1">
      <c r="D1958" s="1"/>
      <c r="E1958" s="46"/>
      <c r="G1958" s="1"/>
      <c r="I1958" s="1"/>
      <c r="K1958" s="1"/>
      <c r="M1958" s="1"/>
      <c r="O1958" s="1"/>
      <c r="Q1958" s="1"/>
    </row>
    <row r="1959" spans="4:17" ht="24" customHeight="1">
      <c r="D1959" s="1"/>
      <c r="E1959" s="46"/>
      <c r="G1959" s="1"/>
      <c r="I1959" s="1"/>
      <c r="K1959" s="1"/>
      <c r="M1959" s="1"/>
      <c r="O1959" s="1"/>
      <c r="Q1959" s="1"/>
    </row>
    <row r="1960" spans="4:17" ht="24" customHeight="1">
      <c r="E1960" s="63"/>
    </row>
    <row r="1961" spans="4:17" ht="24" customHeight="1">
      <c r="E1961" s="63"/>
    </row>
    <row r="1964" spans="4:17" ht="24" customHeight="1">
      <c r="E1964" s="63"/>
    </row>
    <row r="1965" spans="4:17" ht="24" customHeight="1">
      <c r="E1965" s="63"/>
    </row>
    <row r="65526" spans="5:5" ht="24" customHeight="1">
      <c r="E65526" s="135">
        <f>'01'!W7</f>
        <v>0</v>
      </c>
    </row>
  </sheetData>
  <mergeCells count="15">
    <mergeCell ref="E1:O1"/>
    <mergeCell ref="A2:R2"/>
    <mergeCell ref="A3:D3"/>
    <mergeCell ref="I3:O3"/>
    <mergeCell ref="P3:Q3"/>
    <mergeCell ref="I4:O4"/>
    <mergeCell ref="M5:N5"/>
    <mergeCell ref="O5:P5"/>
    <mergeCell ref="Q5:R5"/>
    <mergeCell ref="A5:A6"/>
    <mergeCell ref="B5:D6"/>
    <mergeCell ref="E5:F5"/>
    <mergeCell ref="G5:H5"/>
    <mergeCell ref="I5:J5"/>
    <mergeCell ref="K5:L5"/>
  </mergeCells>
  <pageMargins left="0.19685039370078999" right="0" top="0.23622047244093999" bottom="3.9370078740157001E-2" header="0.31496062992126" footer="0.31496062992126"/>
  <pageSetup paperSize="9" scale="98" orientation="landscape" r:id="rId1"/>
  <rowBreaks count="1" manualBreakCount="1">
    <brk id="46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FF0000"/>
  </sheetPr>
  <dimension ref="A1:R65526"/>
  <sheetViews>
    <sheetView view="pageBreakPreview" zoomScale="120" workbookViewId="0">
      <selection activeCell="X20" sqref="X20"/>
    </sheetView>
  </sheetViews>
  <sheetFormatPr defaultColWidth="9.140625" defaultRowHeight="24" customHeight="1"/>
  <cols>
    <col min="1" max="1" width="4.7109375" style="1" customWidth="1"/>
    <col min="2" max="2" width="6.85546875" style="1" customWidth="1"/>
    <col min="3" max="3" width="10" style="1" customWidth="1"/>
    <col min="4" max="4" width="24.28515625" style="62" customWidth="1"/>
    <col min="5" max="5" width="3.7109375" style="64" customWidth="1"/>
    <col min="6" max="6" width="9.140625" style="1"/>
    <col min="7" max="7" width="3.140625" style="64" customWidth="1"/>
    <col min="8" max="8" width="9" style="1" customWidth="1"/>
    <col min="9" max="9" width="3" style="64" customWidth="1"/>
    <col min="10" max="10" width="9.85546875" style="1" customWidth="1"/>
    <col min="11" max="11" width="3.7109375" style="64" customWidth="1"/>
    <col min="12" max="12" width="9" style="1" customWidth="1"/>
    <col min="13" max="13" width="3" style="64" customWidth="1"/>
    <col min="14" max="14" width="9.7109375" style="1" customWidth="1"/>
    <col min="15" max="15" width="3" style="64" customWidth="1"/>
    <col min="16" max="16" width="11" style="1" customWidth="1"/>
    <col min="17" max="17" width="3" style="64" customWidth="1"/>
    <col min="18" max="18" width="12.85546875" style="1" customWidth="1"/>
  </cols>
  <sheetData>
    <row r="1" spans="1:18" s="46" customFormat="1" ht="24" customHeight="1">
      <c r="A1" s="44"/>
      <c r="B1" s="44"/>
      <c r="C1" s="44"/>
      <c r="D1" s="45"/>
      <c r="E1" s="179" t="s">
        <v>141</v>
      </c>
      <c r="F1" s="179"/>
      <c r="G1" s="179"/>
      <c r="H1" s="179"/>
      <c r="I1" s="179"/>
      <c r="J1" s="179"/>
      <c r="K1" s="179"/>
      <c r="L1" s="179"/>
      <c r="M1" s="179"/>
      <c r="N1" s="179"/>
      <c r="O1" s="179"/>
    </row>
    <row r="2" spans="1:18" s="46" customFormat="1" ht="24" customHeight="1">
      <c r="A2" s="182" t="str">
        <f>ข้อมูล!C7</f>
        <v>โรงเรียนเทศบาลท่าอิฐ อำเภอเมือง จังหวัดอุตรดิตถ์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</row>
    <row r="3" spans="1:18" s="46" customFormat="1" ht="24" customHeight="1">
      <c r="A3" s="179" t="str">
        <f>ข้อมูล!C1</f>
        <v>ชั้นประถมศึกษาปีที่</v>
      </c>
      <c r="B3" s="179"/>
      <c r="C3" s="179"/>
      <c r="D3" s="179"/>
      <c r="E3" s="48"/>
      <c r="F3" s="49" t="str">
        <f>ข้อมูล!C2</f>
        <v>6/3</v>
      </c>
      <c r="G3" s="44"/>
      <c r="H3" s="50" t="s">
        <v>128</v>
      </c>
      <c r="I3" s="171" t="str">
        <f>ข้อมูล!C5</f>
        <v>นางสาวพอใจ  สุขหา</v>
      </c>
      <c r="J3" s="171"/>
      <c r="K3" s="171"/>
      <c r="L3" s="171"/>
      <c r="M3" s="171"/>
      <c r="N3" s="171"/>
      <c r="O3" s="171"/>
      <c r="P3" s="172" t="s">
        <v>129</v>
      </c>
      <c r="Q3" s="172"/>
      <c r="R3" s="51">
        <f>ข้อมูล!C4</f>
        <v>2568</v>
      </c>
    </row>
    <row r="4" spans="1:18" s="46" customFormat="1" ht="24" customHeight="1">
      <c r="A4" s="47"/>
      <c r="B4" s="47"/>
      <c r="C4" s="47"/>
      <c r="D4" s="47"/>
      <c r="E4" s="48"/>
      <c r="F4" s="52"/>
      <c r="G4" s="44"/>
      <c r="H4" s="44"/>
      <c r="I4" s="171" t="str">
        <f>ข้อมูล!C6</f>
        <v>นางสาวพอใจ  สุขหา</v>
      </c>
      <c r="J4" s="171"/>
      <c r="K4" s="171"/>
      <c r="L4" s="171"/>
      <c r="M4" s="171"/>
      <c r="N4" s="171"/>
      <c r="O4" s="171"/>
      <c r="R4" s="52"/>
    </row>
    <row r="5" spans="1:18" ht="24" customHeight="1">
      <c r="A5" s="183" t="s">
        <v>130</v>
      </c>
      <c r="B5" s="173" t="s">
        <v>131</v>
      </c>
      <c r="C5" s="174"/>
      <c r="D5" s="175"/>
      <c r="E5" s="185" t="s">
        <v>117</v>
      </c>
      <c r="F5" s="185"/>
      <c r="G5" s="186" t="s">
        <v>132</v>
      </c>
      <c r="H5" s="187"/>
      <c r="I5" s="186" t="s">
        <v>133</v>
      </c>
      <c r="J5" s="187"/>
      <c r="K5" s="186" t="s">
        <v>134</v>
      </c>
      <c r="L5" s="187"/>
      <c r="M5" s="188" t="s">
        <v>135</v>
      </c>
      <c r="N5" s="189"/>
      <c r="O5" s="180" t="s">
        <v>136</v>
      </c>
      <c r="P5" s="181"/>
      <c r="Q5" s="190" t="s">
        <v>137</v>
      </c>
      <c r="R5" s="191"/>
    </row>
    <row r="6" spans="1:18" ht="63" customHeight="1">
      <c r="A6" s="184"/>
      <c r="B6" s="176"/>
      <c r="C6" s="177"/>
      <c r="D6" s="178"/>
      <c r="E6" s="53" t="s">
        <v>138</v>
      </c>
      <c r="F6" s="54" t="s">
        <v>139</v>
      </c>
      <c r="G6" s="55" t="s">
        <v>138</v>
      </c>
      <c r="H6" s="54" t="s">
        <v>139</v>
      </c>
      <c r="I6" s="55" t="s">
        <v>138</v>
      </c>
      <c r="J6" s="54" t="s">
        <v>139</v>
      </c>
      <c r="K6" s="55" t="s">
        <v>138</v>
      </c>
      <c r="L6" s="54" t="s">
        <v>139</v>
      </c>
      <c r="M6" s="55" t="s">
        <v>138</v>
      </c>
      <c r="N6" s="56" t="s">
        <v>139</v>
      </c>
      <c r="O6" s="53" t="s">
        <v>138</v>
      </c>
      <c r="P6" s="57" t="s">
        <v>139</v>
      </c>
      <c r="Q6" s="55" t="s">
        <v>138</v>
      </c>
      <c r="R6" s="54" t="s">
        <v>139</v>
      </c>
    </row>
    <row r="7" spans="1:18" ht="24" customHeight="1">
      <c r="A7" s="101">
        <v>1</v>
      </c>
      <c r="B7" s="100" t="str">
        <f>รายชื่อ!B1</f>
        <v>เด็กชาย</v>
      </c>
      <c r="C7" s="112" t="str">
        <f>รายชื่อ!C1</f>
        <v>ณฐวัฒน์</v>
      </c>
      <c r="D7" s="113" t="str">
        <f>รายชื่อ!D1</f>
        <v>ขวัญมุข</v>
      </c>
      <c r="E7" s="132">
        <f>'01'!AH7</f>
        <v>0</v>
      </c>
      <c r="F7" s="59" t="str">
        <f t="shared" ref="F7:F46" si="0">IF(E7&gt;5,"เสี่ยง/มีปัญหา","ปกติ")</f>
        <v>ปกติ</v>
      </c>
      <c r="G7" s="132">
        <f>'01'!AH12</f>
        <v>4</v>
      </c>
      <c r="H7" s="59" t="str">
        <f t="shared" ref="H7:H46" si="1">IF(G7&gt;4,"เสี่ยง/มีปัญหา","ปกติ")</f>
        <v>ปกติ</v>
      </c>
      <c r="I7" s="132">
        <f>'01'!AH17</f>
        <v>0</v>
      </c>
      <c r="J7" s="59" t="str">
        <f t="shared" ref="J7:J46" si="2">IF(I7&gt;5,"เสี่ยง/มีปัญหา","ปกติ")</f>
        <v>ปกติ</v>
      </c>
      <c r="K7" s="58">
        <f>'01'!AH22</f>
        <v>0</v>
      </c>
      <c r="L7" s="59" t="str">
        <f t="shared" ref="L7:L46" si="3">IF(K7&gt;3,"เสี่ยง/มีปัญหา","ปกติ")</f>
        <v>ปกติ</v>
      </c>
      <c r="M7" s="58">
        <f t="shared" ref="M7:M46" si="4">E7+G7+I7+K7</f>
        <v>4</v>
      </c>
      <c r="N7" s="59" t="str">
        <f t="shared" ref="N7:N46" si="5">IF(M7&gt;16,"เสี่ยง/มีปัญหา","ปกติ")</f>
        <v>ปกติ</v>
      </c>
      <c r="O7" s="132">
        <f>'01'!AH27</f>
        <v>0</v>
      </c>
      <c r="P7" s="60" t="str">
        <f t="shared" ref="P7:P46" si="6">IF(O7&gt;3,"มีจุดแข็ง","ไม่มีจุดแข็ง")</f>
        <v>ไม่มีจุดแข็ง</v>
      </c>
      <c r="Q7" s="58">
        <f>'01'!AH37</f>
        <v>0</v>
      </c>
      <c r="R7" s="60" t="str">
        <f t="shared" ref="R7:R46" si="7">IF(Q7&gt;0,"เสี่ยง/มีปัญหา","ปกติ")</f>
        <v>ปกติ</v>
      </c>
    </row>
    <row r="8" spans="1:18" ht="24" customHeight="1">
      <c r="A8" s="101">
        <v>2</v>
      </c>
      <c r="B8" s="100" t="str">
        <f>รายชื่อ!B2</f>
        <v>เด็กชาย</v>
      </c>
      <c r="C8" s="112" t="str">
        <f>รายชื่อ!C2</f>
        <v>นพธรรศ</v>
      </c>
      <c r="D8" s="113" t="str">
        <f>รายชื่อ!D2</f>
        <v>ปั่นจีด</v>
      </c>
      <c r="E8" s="132">
        <f>'02'!AH7</f>
        <v>0</v>
      </c>
      <c r="F8" s="59" t="str">
        <f t="shared" si="0"/>
        <v>ปกติ</v>
      </c>
      <c r="G8" s="132">
        <f>'02'!AH12</f>
        <v>2</v>
      </c>
      <c r="H8" s="59" t="str">
        <f t="shared" si="1"/>
        <v>ปกติ</v>
      </c>
      <c r="I8" s="134">
        <f>'02'!AH17</f>
        <v>0</v>
      </c>
      <c r="J8" s="59" t="str">
        <f t="shared" si="2"/>
        <v>ปกติ</v>
      </c>
      <c r="K8" s="134">
        <f>'02'!AH22</f>
        <v>0</v>
      </c>
      <c r="L8" s="59" t="str">
        <f t="shared" si="3"/>
        <v>ปกติ</v>
      </c>
      <c r="M8" s="58">
        <f t="shared" si="4"/>
        <v>2</v>
      </c>
      <c r="N8" s="59" t="str">
        <f t="shared" si="5"/>
        <v>ปกติ</v>
      </c>
      <c r="O8" s="134">
        <f>'02'!AH27</f>
        <v>2</v>
      </c>
      <c r="P8" s="60" t="str">
        <f t="shared" si="6"/>
        <v>ไม่มีจุดแข็ง</v>
      </c>
      <c r="Q8" s="134">
        <f>'02'!AH37</f>
        <v>0</v>
      </c>
      <c r="R8" s="60" t="str">
        <f t="shared" si="7"/>
        <v>ปกติ</v>
      </c>
    </row>
    <row r="9" spans="1:18" ht="24" customHeight="1">
      <c r="A9" s="101">
        <v>3</v>
      </c>
      <c r="B9" s="100" t="str">
        <f>รายชื่อ!B3</f>
        <v>เด็กชาย</v>
      </c>
      <c r="C9" s="112" t="str">
        <f>รายชื่อ!C3</f>
        <v>นภัทร</v>
      </c>
      <c r="D9" s="113" t="str">
        <f>รายชื่อ!D3</f>
        <v>เอมเทศ</v>
      </c>
      <c r="E9" s="134">
        <f>'03'!AH7</f>
        <v>0</v>
      </c>
      <c r="F9" s="59" t="str">
        <f t="shared" si="0"/>
        <v>ปกติ</v>
      </c>
      <c r="G9" s="132">
        <f>'03'!AH12</f>
        <v>0</v>
      </c>
      <c r="H9" s="59" t="str">
        <f t="shared" si="1"/>
        <v>ปกติ</v>
      </c>
      <c r="I9" s="134">
        <f>'03'!AH17</f>
        <v>0</v>
      </c>
      <c r="J9" s="59" t="str">
        <f t="shared" si="2"/>
        <v>ปกติ</v>
      </c>
      <c r="K9" s="134">
        <f>'03'!AH22</f>
        <v>0</v>
      </c>
      <c r="L9" s="59" t="str">
        <f t="shared" si="3"/>
        <v>ปกติ</v>
      </c>
      <c r="M9" s="58">
        <f t="shared" si="4"/>
        <v>0</v>
      </c>
      <c r="N9" s="59" t="str">
        <f t="shared" si="5"/>
        <v>ปกติ</v>
      </c>
      <c r="O9" s="134">
        <f>'03'!AH27</f>
        <v>0</v>
      </c>
      <c r="P9" s="60" t="str">
        <f t="shared" si="6"/>
        <v>ไม่มีจุดแข็ง</v>
      </c>
      <c r="Q9" s="134">
        <f>'03'!AH37</f>
        <v>0</v>
      </c>
      <c r="R9" s="60" t="str">
        <f t="shared" si="7"/>
        <v>ปกติ</v>
      </c>
    </row>
    <row r="10" spans="1:18" ht="24" customHeight="1">
      <c r="A10" s="101">
        <v>4</v>
      </c>
      <c r="B10" s="100" t="str">
        <f>รายชื่อ!B4</f>
        <v>เด็กชาย</v>
      </c>
      <c r="C10" s="112" t="str">
        <f>รายชื่อ!C4</f>
        <v>ภูมิพัฒน์</v>
      </c>
      <c r="D10" s="113" t="str">
        <f>รายชื่อ!D4</f>
        <v>เต็งวิลัย</v>
      </c>
      <c r="E10" s="134">
        <f>'04'!AH7</f>
        <v>0</v>
      </c>
      <c r="F10" s="59" t="str">
        <f t="shared" si="0"/>
        <v>ปกติ</v>
      </c>
      <c r="G10" s="132">
        <f>'04'!AH12</f>
        <v>2</v>
      </c>
      <c r="H10" s="59" t="str">
        <f t="shared" si="1"/>
        <v>ปกติ</v>
      </c>
      <c r="I10" s="134">
        <f>'04'!AH17</f>
        <v>0</v>
      </c>
      <c r="J10" s="59" t="str">
        <f t="shared" si="2"/>
        <v>ปกติ</v>
      </c>
      <c r="K10" s="134">
        <f>'04'!AH22</f>
        <v>0</v>
      </c>
      <c r="L10" s="59" t="str">
        <f t="shared" si="3"/>
        <v>ปกติ</v>
      </c>
      <c r="M10" s="58">
        <f t="shared" si="4"/>
        <v>2</v>
      </c>
      <c r="N10" s="59" t="str">
        <f t="shared" si="5"/>
        <v>ปกติ</v>
      </c>
      <c r="O10" s="134">
        <f>'04'!AH27</f>
        <v>0</v>
      </c>
      <c r="P10" s="60" t="str">
        <f t="shared" si="6"/>
        <v>ไม่มีจุดแข็ง</v>
      </c>
      <c r="Q10" s="134">
        <f>'04'!AH37</f>
        <v>0</v>
      </c>
      <c r="R10" s="60" t="str">
        <f t="shared" si="7"/>
        <v>ปกติ</v>
      </c>
    </row>
    <row r="11" spans="1:18" ht="24" customHeight="1">
      <c r="A11" s="101">
        <v>5</v>
      </c>
      <c r="B11" s="100" t="str">
        <f>รายชื่อ!B5</f>
        <v>เด็กชาย</v>
      </c>
      <c r="C11" s="112" t="str">
        <f>รายชื่อ!C5</f>
        <v>ฑิติพัฒน์</v>
      </c>
      <c r="D11" s="113" t="str">
        <f>รายชื่อ!D5</f>
        <v>เชตุทอง</v>
      </c>
      <c r="E11" s="134">
        <f>'05'!AH7</f>
        <v>0</v>
      </c>
      <c r="F11" s="59" t="str">
        <f t="shared" si="0"/>
        <v>ปกติ</v>
      </c>
      <c r="G11" s="132">
        <f>'05'!AH12</f>
        <v>0</v>
      </c>
      <c r="H11" s="59" t="str">
        <f t="shared" si="1"/>
        <v>ปกติ</v>
      </c>
      <c r="I11" s="134">
        <f>'05'!AH17</f>
        <v>0</v>
      </c>
      <c r="J11" s="59" t="str">
        <f t="shared" si="2"/>
        <v>ปกติ</v>
      </c>
      <c r="K11" s="134">
        <f>'05'!AH22</f>
        <v>0</v>
      </c>
      <c r="L11" s="59" t="str">
        <f t="shared" si="3"/>
        <v>ปกติ</v>
      </c>
      <c r="M11" s="58">
        <f t="shared" si="4"/>
        <v>0</v>
      </c>
      <c r="N11" s="59" t="str">
        <f t="shared" si="5"/>
        <v>ปกติ</v>
      </c>
      <c r="O11" s="134">
        <f>'05'!AH27</f>
        <v>0</v>
      </c>
      <c r="P11" s="60" t="str">
        <f t="shared" si="6"/>
        <v>ไม่มีจุดแข็ง</v>
      </c>
      <c r="Q11" s="134">
        <f>'05'!AH37</f>
        <v>0</v>
      </c>
      <c r="R11" s="60" t="str">
        <f t="shared" si="7"/>
        <v>ปกติ</v>
      </c>
    </row>
    <row r="12" spans="1:18" ht="24" customHeight="1">
      <c r="A12" s="101">
        <v>6</v>
      </c>
      <c r="B12" s="100" t="str">
        <f>รายชื่อ!B6</f>
        <v>เด็กชาย</v>
      </c>
      <c r="C12" s="112" t="str">
        <f>รายชื่อ!C6</f>
        <v>กฤษณพล</v>
      </c>
      <c r="D12" s="113" t="str">
        <f>รายชื่อ!D6</f>
        <v>สมศรี</v>
      </c>
      <c r="E12" s="134">
        <f>'06'!AH7</f>
        <v>0</v>
      </c>
      <c r="F12" s="59" t="str">
        <f t="shared" si="0"/>
        <v>ปกติ</v>
      </c>
      <c r="G12" s="132">
        <f>'06'!AH12</f>
        <v>0</v>
      </c>
      <c r="H12" s="59" t="str">
        <f t="shared" si="1"/>
        <v>ปกติ</v>
      </c>
      <c r="I12" s="134">
        <f>'06'!AH17</f>
        <v>0</v>
      </c>
      <c r="J12" s="59" t="str">
        <f t="shared" si="2"/>
        <v>ปกติ</v>
      </c>
      <c r="K12" s="134">
        <f>'06'!AH22</f>
        <v>0</v>
      </c>
      <c r="L12" s="59" t="str">
        <f t="shared" si="3"/>
        <v>ปกติ</v>
      </c>
      <c r="M12" s="58">
        <f t="shared" si="4"/>
        <v>0</v>
      </c>
      <c r="N12" s="59" t="str">
        <f t="shared" si="5"/>
        <v>ปกติ</v>
      </c>
      <c r="O12" s="134">
        <f>'06'!AH27</f>
        <v>0</v>
      </c>
      <c r="P12" s="60" t="str">
        <f t="shared" si="6"/>
        <v>ไม่มีจุดแข็ง</v>
      </c>
      <c r="Q12" s="134">
        <f>'06'!AH37</f>
        <v>0</v>
      </c>
      <c r="R12" s="60" t="str">
        <f t="shared" si="7"/>
        <v>ปกติ</v>
      </c>
    </row>
    <row r="13" spans="1:18" ht="24" customHeight="1">
      <c r="A13" s="101">
        <v>7</v>
      </c>
      <c r="B13" s="100" t="str">
        <f>รายชื่อ!B7</f>
        <v>เด็กชาย</v>
      </c>
      <c r="C13" s="112" t="str">
        <f>รายชื่อ!C7</f>
        <v>จักรภัทร</v>
      </c>
      <c r="D13" s="113" t="str">
        <f>รายชื่อ!D7</f>
        <v>วิเศษสุวรรณภูมิ</v>
      </c>
      <c r="E13" s="134">
        <f>'07'!AH7</f>
        <v>0</v>
      </c>
      <c r="F13" s="59" t="str">
        <f t="shared" si="0"/>
        <v>ปกติ</v>
      </c>
      <c r="G13" s="132">
        <f>'07'!AH12</f>
        <v>0</v>
      </c>
      <c r="H13" s="59" t="str">
        <f t="shared" si="1"/>
        <v>ปกติ</v>
      </c>
      <c r="I13" s="134">
        <f>'07'!AH17</f>
        <v>2</v>
      </c>
      <c r="J13" s="59" t="str">
        <f t="shared" si="2"/>
        <v>ปกติ</v>
      </c>
      <c r="K13" s="134">
        <f>'07'!AH22</f>
        <v>0</v>
      </c>
      <c r="L13" s="59" t="str">
        <f t="shared" si="3"/>
        <v>ปกติ</v>
      </c>
      <c r="M13" s="58">
        <f t="shared" si="4"/>
        <v>2</v>
      </c>
      <c r="N13" s="59" t="str">
        <f t="shared" si="5"/>
        <v>ปกติ</v>
      </c>
      <c r="O13" s="134">
        <f>'07'!AH27</f>
        <v>0</v>
      </c>
      <c r="P13" s="60" t="str">
        <f t="shared" si="6"/>
        <v>ไม่มีจุดแข็ง</v>
      </c>
      <c r="Q13" s="134">
        <f>'07'!AH37</f>
        <v>0</v>
      </c>
      <c r="R13" s="60" t="str">
        <f t="shared" si="7"/>
        <v>ปกติ</v>
      </c>
    </row>
    <row r="14" spans="1:18" ht="24" customHeight="1">
      <c r="A14" s="101">
        <v>8</v>
      </c>
      <c r="B14" s="100" t="str">
        <f>รายชื่อ!B8</f>
        <v>เด็กชาย</v>
      </c>
      <c r="C14" s="112" t="str">
        <f>รายชื่อ!C8</f>
        <v>จิรายุ</v>
      </c>
      <c r="D14" s="113" t="str">
        <f>รายชื่อ!D8</f>
        <v>บุญเนตร</v>
      </c>
      <c r="E14" s="134">
        <f>'08'!AH7</f>
        <v>0</v>
      </c>
      <c r="F14" s="59" t="str">
        <f t="shared" si="0"/>
        <v>ปกติ</v>
      </c>
      <c r="G14" s="132">
        <f>'08'!AH12</f>
        <v>2</v>
      </c>
      <c r="H14" s="59" t="str">
        <f t="shared" si="1"/>
        <v>ปกติ</v>
      </c>
      <c r="I14" s="134">
        <f>'08'!AH17</f>
        <v>2</v>
      </c>
      <c r="J14" s="59" t="str">
        <f t="shared" si="2"/>
        <v>ปกติ</v>
      </c>
      <c r="K14" s="134">
        <f>'08'!AH22</f>
        <v>2</v>
      </c>
      <c r="L14" s="59" t="str">
        <f t="shared" si="3"/>
        <v>ปกติ</v>
      </c>
      <c r="M14" s="58">
        <f t="shared" si="4"/>
        <v>6</v>
      </c>
      <c r="N14" s="59" t="str">
        <f t="shared" si="5"/>
        <v>ปกติ</v>
      </c>
      <c r="O14" s="134">
        <f>'08'!AH27</f>
        <v>0</v>
      </c>
      <c r="P14" s="60" t="str">
        <f t="shared" si="6"/>
        <v>ไม่มีจุดแข็ง</v>
      </c>
      <c r="Q14" s="134">
        <f>'08'!AH37</f>
        <v>0</v>
      </c>
      <c r="R14" s="60" t="str">
        <f t="shared" si="7"/>
        <v>ปกติ</v>
      </c>
    </row>
    <row r="15" spans="1:18" ht="24" customHeight="1">
      <c r="A15" s="101">
        <v>9</v>
      </c>
      <c r="B15" s="100" t="str">
        <f>รายชื่อ!B9</f>
        <v>เด็กชาย</v>
      </c>
      <c r="C15" s="112" t="str">
        <f>รายชื่อ!C9</f>
        <v>สรศักดิ์</v>
      </c>
      <c r="D15" s="113" t="str">
        <f>รายชื่อ!D9</f>
        <v>เกิดสา</v>
      </c>
      <c r="E15" s="134">
        <f>'09'!AH7</f>
        <v>0</v>
      </c>
      <c r="F15" s="59" t="str">
        <f t="shared" si="0"/>
        <v>ปกติ</v>
      </c>
      <c r="G15" s="132">
        <f>'09'!AH12</f>
        <v>2</v>
      </c>
      <c r="H15" s="59" t="str">
        <f t="shared" si="1"/>
        <v>ปกติ</v>
      </c>
      <c r="I15" s="134">
        <f>'09'!AH17</f>
        <v>2</v>
      </c>
      <c r="J15" s="59" t="str">
        <f t="shared" si="2"/>
        <v>ปกติ</v>
      </c>
      <c r="K15" s="134">
        <f>'09'!AH22</f>
        <v>0</v>
      </c>
      <c r="L15" s="59" t="str">
        <f t="shared" si="3"/>
        <v>ปกติ</v>
      </c>
      <c r="M15" s="58">
        <f t="shared" si="4"/>
        <v>4</v>
      </c>
      <c r="N15" s="59" t="str">
        <f t="shared" si="5"/>
        <v>ปกติ</v>
      </c>
      <c r="O15" s="134">
        <f>'09'!AH27</f>
        <v>0</v>
      </c>
      <c r="P15" s="60" t="str">
        <f t="shared" si="6"/>
        <v>ไม่มีจุดแข็ง</v>
      </c>
      <c r="Q15" s="134">
        <f>'09'!AH37</f>
        <v>0</v>
      </c>
      <c r="R15" s="60" t="str">
        <f t="shared" si="7"/>
        <v>ปกติ</v>
      </c>
    </row>
    <row r="16" spans="1:18" ht="24" customHeight="1">
      <c r="A16" s="101">
        <v>10</v>
      </c>
      <c r="B16" s="100" t="str">
        <f>รายชื่อ!B10</f>
        <v>เด็กชาย</v>
      </c>
      <c r="C16" s="112" t="str">
        <f>รายชื่อ!C10</f>
        <v>ธีรภัทร</v>
      </c>
      <c r="D16" s="113" t="str">
        <f>รายชื่อ!D10</f>
        <v>ทวีชัยการ</v>
      </c>
      <c r="E16" s="134">
        <f>'10'!AH7</f>
        <v>0</v>
      </c>
      <c r="F16" s="59" t="str">
        <f t="shared" si="0"/>
        <v>ปกติ</v>
      </c>
      <c r="G16" s="132">
        <f>'10'!AH12</f>
        <v>0</v>
      </c>
      <c r="H16" s="59" t="str">
        <f t="shared" si="1"/>
        <v>ปกติ</v>
      </c>
      <c r="I16" s="134">
        <f>'10'!AH17</f>
        <v>0</v>
      </c>
      <c r="J16" s="59" t="str">
        <f t="shared" si="2"/>
        <v>ปกติ</v>
      </c>
      <c r="K16" s="134">
        <f>'10'!AH22</f>
        <v>0</v>
      </c>
      <c r="L16" s="59" t="str">
        <f t="shared" si="3"/>
        <v>ปกติ</v>
      </c>
      <c r="M16" s="58">
        <f t="shared" si="4"/>
        <v>0</v>
      </c>
      <c r="N16" s="59" t="str">
        <f t="shared" si="5"/>
        <v>ปกติ</v>
      </c>
      <c r="O16" s="134">
        <f>'10'!AH27</f>
        <v>0</v>
      </c>
      <c r="P16" s="60" t="str">
        <f t="shared" si="6"/>
        <v>ไม่มีจุดแข็ง</v>
      </c>
      <c r="Q16" s="134">
        <f>'10'!AH37</f>
        <v>0</v>
      </c>
      <c r="R16" s="60" t="str">
        <f t="shared" si="7"/>
        <v>ปกติ</v>
      </c>
    </row>
    <row r="17" spans="1:18" ht="24" customHeight="1">
      <c r="A17" s="101">
        <v>11</v>
      </c>
      <c r="B17" s="100" t="str">
        <f>รายชื่อ!B11</f>
        <v>เด็กชาย</v>
      </c>
      <c r="C17" s="112" t="str">
        <f>รายชื่อ!C11</f>
        <v>นัธทวัฒน์</v>
      </c>
      <c r="D17" s="113" t="str">
        <f>รายชื่อ!D11</f>
        <v>เหล่าจันอัน</v>
      </c>
      <c r="E17" s="134">
        <f>'11'!AH7</f>
        <v>0</v>
      </c>
      <c r="F17" s="59" t="str">
        <f t="shared" si="0"/>
        <v>ปกติ</v>
      </c>
      <c r="G17" s="132">
        <f>'11'!AH12</f>
        <v>2</v>
      </c>
      <c r="H17" s="59" t="str">
        <f t="shared" si="1"/>
        <v>ปกติ</v>
      </c>
      <c r="I17" s="134">
        <f>'11'!AH17</f>
        <v>2</v>
      </c>
      <c r="J17" s="59" t="str">
        <f t="shared" si="2"/>
        <v>ปกติ</v>
      </c>
      <c r="K17" s="134">
        <f>'11'!AH22</f>
        <v>0</v>
      </c>
      <c r="L17" s="59" t="str">
        <f t="shared" si="3"/>
        <v>ปกติ</v>
      </c>
      <c r="M17" s="58">
        <f t="shared" si="4"/>
        <v>4</v>
      </c>
      <c r="N17" s="59" t="str">
        <f t="shared" si="5"/>
        <v>ปกติ</v>
      </c>
      <c r="O17" s="134">
        <f>'11'!AH27</f>
        <v>0</v>
      </c>
      <c r="P17" s="60" t="str">
        <f t="shared" si="6"/>
        <v>ไม่มีจุดแข็ง</v>
      </c>
      <c r="Q17" s="134">
        <f>'11'!AH37</f>
        <v>0</v>
      </c>
      <c r="R17" s="60" t="str">
        <f t="shared" si="7"/>
        <v>ปกติ</v>
      </c>
    </row>
    <row r="18" spans="1:18" ht="24" customHeight="1">
      <c r="A18" s="101">
        <v>12</v>
      </c>
      <c r="B18" s="100" t="str">
        <f>รายชื่อ!B12</f>
        <v>เด็กชาย</v>
      </c>
      <c r="C18" s="112" t="str">
        <f>รายชื่อ!C12</f>
        <v>พงศพัศ</v>
      </c>
      <c r="D18" s="113" t="str">
        <f>รายชื่อ!D12</f>
        <v>เกื้อเกตุ</v>
      </c>
      <c r="E18" s="134">
        <f>'12'!AH7</f>
        <v>0</v>
      </c>
      <c r="F18" s="59" t="str">
        <f t="shared" si="0"/>
        <v>ปกติ</v>
      </c>
      <c r="G18" s="132">
        <f>'12'!AH12</f>
        <v>2</v>
      </c>
      <c r="H18" s="59" t="str">
        <f t="shared" si="1"/>
        <v>ปกติ</v>
      </c>
      <c r="I18" s="134">
        <f>'12'!AH17</f>
        <v>2</v>
      </c>
      <c r="J18" s="59" t="str">
        <f t="shared" si="2"/>
        <v>ปกติ</v>
      </c>
      <c r="K18" s="134">
        <f>'12'!AH22</f>
        <v>0</v>
      </c>
      <c r="L18" s="59" t="str">
        <f t="shared" si="3"/>
        <v>ปกติ</v>
      </c>
      <c r="M18" s="58">
        <f t="shared" si="4"/>
        <v>4</v>
      </c>
      <c r="N18" s="59" t="str">
        <f t="shared" si="5"/>
        <v>ปกติ</v>
      </c>
      <c r="O18" s="134">
        <f>'12'!AH27</f>
        <v>0</v>
      </c>
      <c r="P18" s="60" t="str">
        <f t="shared" si="6"/>
        <v>ไม่มีจุดแข็ง</v>
      </c>
      <c r="Q18" s="134">
        <f>'12'!AH37</f>
        <v>0</v>
      </c>
      <c r="R18" s="60" t="str">
        <f t="shared" si="7"/>
        <v>ปกติ</v>
      </c>
    </row>
    <row r="19" spans="1:18" ht="24" customHeight="1">
      <c r="A19" s="101">
        <v>13</v>
      </c>
      <c r="B19" s="100" t="str">
        <f>รายชื่อ!B13</f>
        <v>เด็กชาย</v>
      </c>
      <c r="C19" s="112" t="str">
        <f>รายชื่อ!C13</f>
        <v>ณัฐภัทร</v>
      </c>
      <c r="D19" s="113" t="str">
        <f>รายชื่อ!D13</f>
        <v>องอาจ</v>
      </c>
      <c r="E19" s="134">
        <f>'13'!AH7</f>
        <v>0</v>
      </c>
      <c r="F19" s="59" t="str">
        <f t="shared" si="0"/>
        <v>ปกติ</v>
      </c>
      <c r="G19" s="132">
        <f>'13'!AH12</f>
        <v>0</v>
      </c>
      <c r="H19" s="59" t="str">
        <f t="shared" si="1"/>
        <v>ปกติ</v>
      </c>
      <c r="I19" s="134">
        <f>'13'!AH17</f>
        <v>0</v>
      </c>
      <c r="J19" s="59" t="str">
        <f t="shared" si="2"/>
        <v>ปกติ</v>
      </c>
      <c r="K19" s="134">
        <f>'13'!AH22</f>
        <v>0</v>
      </c>
      <c r="L19" s="59" t="str">
        <f t="shared" si="3"/>
        <v>ปกติ</v>
      </c>
      <c r="M19" s="58">
        <f t="shared" si="4"/>
        <v>0</v>
      </c>
      <c r="N19" s="59" t="str">
        <f t="shared" si="5"/>
        <v>ปกติ</v>
      </c>
      <c r="O19" s="134">
        <f>'13'!AH27</f>
        <v>0</v>
      </c>
      <c r="P19" s="60" t="str">
        <f t="shared" si="6"/>
        <v>ไม่มีจุดแข็ง</v>
      </c>
      <c r="Q19" s="134">
        <f>'13'!AH37</f>
        <v>0</v>
      </c>
      <c r="R19" s="60" t="str">
        <f t="shared" si="7"/>
        <v>ปกติ</v>
      </c>
    </row>
    <row r="20" spans="1:18" ht="24" customHeight="1">
      <c r="A20" s="101">
        <v>14</v>
      </c>
      <c r="B20" s="100" t="str">
        <f>รายชื่อ!B14</f>
        <v>เด็กชาย</v>
      </c>
      <c r="C20" s="112" t="str">
        <f>รายชื่อ!C14</f>
        <v>วิศรุตย์</v>
      </c>
      <c r="D20" s="113" t="str">
        <f>รายชื่อ!D14</f>
        <v>เถื่อนทับ</v>
      </c>
      <c r="E20" s="134">
        <f>'14'!AH7</f>
        <v>0</v>
      </c>
      <c r="F20" s="59" t="str">
        <f t="shared" si="0"/>
        <v>ปกติ</v>
      </c>
      <c r="G20" s="132">
        <f>'14'!AH12</f>
        <v>2</v>
      </c>
      <c r="H20" s="59" t="str">
        <f t="shared" si="1"/>
        <v>ปกติ</v>
      </c>
      <c r="I20" s="134">
        <f>'14'!AH17</f>
        <v>0</v>
      </c>
      <c r="J20" s="59" t="str">
        <f t="shared" si="2"/>
        <v>ปกติ</v>
      </c>
      <c r="K20" s="134">
        <f>'14'!AH22</f>
        <v>2</v>
      </c>
      <c r="L20" s="59" t="str">
        <f t="shared" si="3"/>
        <v>ปกติ</v>
      </c>
      <c r="M20" s="58">
        <f t="shared" si="4"/>
        <v>4</v>
      </c>
      <c r="N20" s="59" t="str">
        <f t="shared" si="5"/>
        <v>ปกติ</v>
      </c>
      <c r="O20" s="134">
        <f>'14'!AH27</f>
        <v>0</v>
      </c>
      <c r="P20" s="60" t="str">
        <f t="shared" si="6"/>
        <v>ไม่มีจุดแข็ง</v>
      </c>
      <c r="Q20" s="134">
        <f>'14'!AH37</f>
        <v>0</v>
      </c>
      <c r="R20" s="60" t="str">
        <f t="shared" si="7"/>
        <v>ปกติ</v>
      </c>
    </row>
    <row r="21" spans="1:18" ht="24" customHeight="1">
      <c r="A21" s="101">
        <v>15</v>
      </c>
      <c r="B21" s="100" t="str">
        <f>รายชื่อ!B15</f>
        <v>เด็กชาย</v>
      </c>
      <c r="C21" s="112" t="str">
        <f>รายชื่อ!C15</f>
        <v>ชนันธร</v>
      </c>
      <c r="D21" s="113" t="str">
        <f>รายชื่อ!D15</f>
        <v>อุดเลิศ</v>
      </c>
      <c r="E21" s="134">
        <f>'15'!AH7</f>
        <v>0</v>
      </c>
      <c r="F21" s="59" t="str">
        <f t="shared" si="0"/>
        <v>ปกติ</v>
      </c>
      <c r="G21" s="132">
        <f>'15'!AH12</f>
        <v>2</v>
      </c>
      <c r="H21" s="59" t="str">
        <f t="shared" si="1"/>
        <v>ปกติ</v>
      </c>
      <c r="I21" s="134">
        <f>'15'!AH17</f>
        <v>2</v>
      </c>
      <c r="J21" s="59" t="str">
        <f t="shared" si="2"/>
        <v>ปกติ</v>
      </c>
      <c r="K21" s="134">
        <f>'15'!AH22</f>
        <v>0</v>
      </c>
      <c r="L21" s="59" t="str">
        <f t="shared" si="3"/>
        <v>ปกติ</v>
      </c>
      <c r="M21" s="58">
        <f t="shared" si="4"/>
        <v>4</v>
      </c>
      <c r="N21" s="59" t="str">
        <f t="shared" si="5"/>
        <v>ปกติ</v>
      </c>
      <c r="O21" s="134">
        <f>'15'!AH27</f>
        <v>0</v>
      </c>
      <c r="P21" s="60" t="str">
        <f t="shared" si="6"/>
        <v>ไม่มีจุดแข็ง</v>
      </c>
      <c r="Q21" s="134">
        <f>'15'!AH37</f>
        <v>0</v>
      </c>
      <c r="R21" s="60" t="str">
        <f t="shared" si="7"/>
        <v>ปกติ</v>
      </c>
    </row>
    <row r="22" spans="1:18" ht="24" customHeight="1">
      <c r="A22" s="101">
        <v>16</v>
      </c>
      <c r="B22" s="100" t="str">
        <f>รายชื่อ!B16</f>
        <v>เด็กหญิง</v>
      </c>
      <c r="C22" s="112" t="str">
        <f>รายชื่อ!C16</f>
        <v>นันท์นภัส</v>
      </c>
      <c r="D22" s="113" t="str">
        <f>รายชื่อ!D16</f>
        <v>พัฒน์เชาวฤทธิ์</v>
      </c>
      <c r="E22" s="134">
        <f>'16'!AH7</f>
        <v>0</v>
      </c>
      <c r="F22" s="59" t="str">
        <f t="shared" si="0"/>
        <v>ปกติ</v>
      </c>
      <c r="G22" s="132">
        <f>'16'!AH12</f>
        <v>2</v>
      </c>
      <c r="H22" s="59" t="str">
        <f t="shared" si="1"/>
        <v>ปกติ</v>
      </c>
      <c r="I22" s="134">
        <f>'16'!AH17</f>
        <v>0</v>
      </c>
      <c r="J22" s="59" t="str">
        <f t="shared" si="2"/>
        <v>ปกติ</v>
      </c>
      <c r="K22" s="134">
        <f>'16'!AH22</f>
        <v>0</v>
      </c>
      <c r="L22" s="59" t="str">
        <f t="shared" si="3"/>
        <v>ปกติ</v>
      </c>
      <c r="M22" s="58">
        <f t="shared" si="4"/>
        <v>2</v>
      </c>
      <c r="N22" s="59" t="str">
        <f t="shared" si="5"/>
        <v>ปกติ</v>
      </c>
      <c r="O22" s="134">
        <f>'16'!AH27</f>
        <v>0</v>
      </c>
      <c r="P22" s="60" t="str">
        <f t="shared" si="6"/>
        <v>ไม่มีจุดแข็ง</v>
      </c>
      <c r="Q22" s="134">
        <f>'16'!AH37</f>
        <v>0</v>
      </c>
      <c r="R22" s="60" t="str">
        <f t="shared" si="7"/>
        <v>ปกติ</v>
      </c>
    </row>
    <row r="23" spans="1:18" ht="24" customHeight="1">
      <c r="A23" s="101">
        <v>17</v>
      </c>
      <c r="B23" s="100" t="str">
        <f>รายชื่อ!B17</f>
        <v>เด็กหญิง</v>
      </c>
      <c r="C23" s="112" t="str">
        <f>รายชื่อ!C17</f>
        <v>ชัยมากา</v>
      </c>
      <c r="D23" s="113" t="str">
        <f>รายชื่อ!D17</f>
        <v>อีเคชูกวู</v>
      </c>
      <c r="E23" s="132">
        <f>'17'!AH7</f>
        <v>0</v>
      </c>
      <c r="F23" s="59" t="str">
        <f t="shared" si="0"/>
        <v>ปกติ</v>
      </c>
      <c r="G23" s="132">
        <f>'17'!AH12</f>
        <v>2</v>
      </c>
      <c r="H23" s="59" t="str">
        <f t="shared" si="1"/>
        <v>ปกติ</v>
      </c>
      <c r="I23" s="134">
        <f>'17'!AH17</f>
        <v>2</v>
      </c>
      <c r="J23" s="59" t="str">
        <f t="shared" si="2"/>
        <v>ปกติ</v>
      </c>
      <c r="K23" s="134">
        <f>'17'!AH22</f>
        <v>2</v>
      </c>
      <c r="L23" s="59" t="str">
        <f t="shared" si="3"/>
        <v>ปกติ</v>
      </c>
      <c r="M23" s="58">
        <f t="shared" si="4"/>
        <v>6</v>
      </c>
      <c r="N23" s="59" t="str">
        <f t="shared" si="5"/>
        <v>ปกติ</v>
      </c>
      <c r="O23" s="134">
        <f>'17'!AH27</f>
        <v>2</v>
      </c>
      <c r="P23" s="60" t="str">
        <f t="shared" si="6"/>
        <v>ไม่มีจุดแข็ง</v>
      </c>
      <c r="Q23" s="134">
        <f>'17'!AH37</f>
        <v>0</v>
      </c>
      <c r="R23" s="60" t="str">
        <f t="shared" si="7"/>
        <v>ปกติ</v>
      </c>
    </row>
    <row r="24" spans="1:18" ht="24" customHeight="1">
      <c r="A24" s="101">
        <v>18</v>
      </c>
      <c r="B24" s="100" t="str">
        <f>รายชื่อ!B18</f>
        <v>เด็กหญิง</v>
      </c>
      <c r="C24" s="112" t="str">
        <f>รายชื่อ!C18</f>
        <v>ภาสินี</v>
      </c>
      <c r="D24" s="113" t="str">
        <f>รายชื่อ!D18</f>
        <v>ภู่ดัด</v>
      </c>
      <c r="E24" s="132">
        <f>'18'!AH7</f>
        <v>0</v>
      </c>
      <c r="F24" s="59" t="str">
        <f t="shared" si="0"/>
        <v>ปกติ</v>
      </c>
      <c r="G24" s="132">
        <f>'18'!AH12</f>
        <v>2</v>
      </c>
      <c r="H24" s="59" t="str">
        <f t="shared" si="1"/>
        <v>ปกติ</v>
      </c>
      <c r="I24" s="134">
        <f>'18'!AH17</f>
        <v>0</v>
      </c>
      <c r="J24" s="59" t="str">
        <f t="shared" si="2"/>
        <v>ปกติ</v>
      </c>
      <c r="K24" s="134">
        <f>'18'!AH22</f>
        <v>0</v>
      </c>
      <c r="L24" s="59" t="str">
        <f t="shared" si="3"/>
        <v>ปกติ</v>
      </c>
      <c r="M24" s="58">
        <f t="shared" si="4"/>
        <v>2</v>
      </c>
      <c r="N24" s="59" t="str">
        <f t="shared" si="5"/>
        <v>ปกติ</v>
      </c>
      <c r="O24" s="134">
        <f>'18'!AH27</f>
        <v>0</v>
      </c>
      <c r="P24" s="60" t="str">
        <f t="shared" si="6"/>
        <v>ไม่มีจุดแข็ง</v>
      </c>
      <c r="Q24" s="134">
        <f>'18'!AH37</f>
        <v>0</v>
      </c>
      <c r="R24" s="60" t="str">
        <f t="shared" si="7"/>
        <v>ปกติ</v>
      </c>
    </row>
    <row r="25" spans="1:18" ht="24" customHeight="1">
      <c r="A25" s="101">
        <v>19</v>
      </c>
      <c r="B25" s="100" t="str">
        <f>รายชื่อ!B19</f>
        <v>เด็กหญิง</v>
      </c>
      <c r="C25" s="112" t="str">
        <f>รายชื่อ!C19</f>
        <v>ณัฐณิชา</v>
      </c>
      <c r="D25" s="113" t="str">
        <f>รายชื่อ!D19</f>
        <v>เจริญเรือง</v>
      </c>
      <c r="E25" s="132">
        <f>'19'!AH7</f>
        <v>0</v>
      </c>
      <c r="F25" s="59" t="str">
        <f t="shared" si="0"/>
        <v>ปกติ</v>
      </c>
      <c r="G25" s="132">
        <f>'19'!AH12</f>
        <v>2</v>
      </c>
      <c r="H25" s="59" t="str">
        <f t="shared" si="1"/>
        <v>ปกติ</v>
      </c>
      <c r="I25" s="134">
        <f>'19'!AH17</f>
        <v>2</v>
      </c>
      <c r="J25" s="59" t="str">
        <f t="shared" si="2"/>
        <v>ปกติ</v>
      </c>
      <c r="K25" s="134">
        <f>'19'!AH22</f>
        <v>0</v>
      </c>
      <c r="L25" s="59" t="str">
        <f t="shared" si="3"/>
        <v>ปกติ</v>
      </c>
      <c r="M25" s="58">
        <f t="shared" si="4"/>
        <v>4</v>
      </c>
      <c r="N25" s="59" t="str">
        <f t="shared" si="5"/>
        <v>ปกติ</v>
      </c>
      <c r="O25" s="134">
        <f>'19'!AH27</f>
        <v>0</v>
      </c>
      <c r="P25" s="60" t="str">
        <f t="shared" si="6"/>
        <v>ไม่มีจุดแข็ง</v>
      </c>
      <c r="Q25" s="134">
        <f>'19'!AH37</f>
        <v>0</v>
      </c>
      <c r="R25" s="60" t="str">
        <f t="shared" si="7"/>
        <v>ปกติ</v>
      </c>
    </row>
    <row r="26" spans="1:18" ht="24" customHeight="1">
      <c r="A26" s="101">
        <v>20</v>
      </c>
      <c r="B26" s="100" t="str">
        <f>รายชื่อ!B20</f>
        <v>เด็กหญิง</v>
      </c>
      <c r="C26" s="112" t="str">
        <f>รายชื่อ!C20</f>
        <v>ธนัญภรณ์</v>
      </c>
      <c r="D26" s="113" t="str">
        <f>รายชื่อ!D20</f>
        <v>คำปลิว</v>
      </c>
      <c r="E26" s="132">
        <f>'20'!AH7</f>
        <v>0</v>
      </c>
      <c r="F26" s="59" t="str">
        <f t="shared" si="0"/>
        <v>ปกติ</v>
      </c>
      <c r="G26" s="132">
        <f>'20'!AH12</f>
        <v>0</v>
      </c>
      <c r="H26" s="59" t="str">
        <f t="shared" si="1"/>
        <v>ปกติ</v>
      </c>
      <c r="I26" s="134">
        <f>'20'!AH17</f>
        <v>0</v>
      </c>
      <c r="J26" s="59" t="str">
        <f t="shared" si="2"/>
        <v>ปกติ</v>
      </c>
      <c r="K26" s="134">
        <f>'20'!AH22</f>
        <v>0</v>
      </c>
      <c r="L26" s="59" t="str">
        <f t="shared" si="3"/>
        <v>ปกติ</v>
      </c>
      <c r="M26" s="58">
        <f t="shared" si="4"/>
        <v>0</v>
      </c>
      <c r="N26" s="59" t="str">
        <f t="shared" si="5"/>
        <v>ปกติ</v>
      </c>
      <c r="O26" s="134">
        <f>'20'!AH27</f>
        <v>0</v>
      </c>
      <c r="P26" s="60" t="str">
        <f t="shared" si="6"/>
        <v>ไม่มีจุดแข็ง</v>
      </c>
      <c r="Q26" s="134">
        <f>'20'!AH37</f>
        <v>0</v>
      </c>
      <c r="R26" s="60" t="str">
        <f t="shared" si="7"/>
        <v>ปกติ</v>
      </c>
    </row>
    <row r="27" spans="1:18" ht="24" customHeight="1">
      <c r="A27" s="101">
        <v>21</v>
      </c>
      <c r="B27" s="100" t="str">
        <f>รายชื่อ!B21</f>
        <v>เด็กหญิง</v>
      </c>
      <c r="C27" s="112" t="str">
        <f>รายชื่อ!C21</f>
        <v>กัญญารัตน์</v>
      </c>
      <c r="D27" s="113" t="str">
        <f>รายชื่อ!D21</f>
        <v>ผาเจริญ</v>
      </c>
      <c r="E27" s="132">
        <f>'21'!AH7</f>
        <v>0</v>
      </c>
      <c r="F27" s="59" t="str">
        <f t="shared" si="0"/>
        <v>ปกติ</v>
      </c>
      <c r="G27" s="132">
        <f>'21'!AH12</f>
        <v>2</v>
      </c>
      <c r="H27" s="59" t="str">
        <f t="shared" si="1"/>
        <v>ปกติ</v>
      </c>
      <c r="I27" s="134">
        <f>'21'!AH17</f>
        <v>2</v>
      </c>
      <c r="J27" s="59" t="str">
        <f t="shared" si="2"/>
        <v>ปกติ</v>
      </c>
      <c r="K27" s="134">
        <f>'21'!AH22</f>
        <v>0</v>
      </c>
      <c r="L27" s="59" t="str">
        <f t="shared" si="3"/>
        <v>ปกติ</v>
      </c>
      <c r="M27" s="58">
        <f t="shared" si="4"/>
        <v>4</v>
      </c>
      <c r="N27" s="59" t="str">
        <f t="shared" si="5"/>
        <v>ปกติ</v>
      </c>
      <c r="O27" s="134">
        <f>'21'!AH27</f>
        <v>0</v>
      </c>
      <c r="P27" s="60" t="str">
        <f t="shared" si="6"/>
        <v>ไม่มีจุดแข็ง</v>
      </c>
      <c r="Q27" s="134">
        <f>'21'!AH37</f>
        <v>0</v>
      </c>
      <c r="R27" s="60" t="str">
        <f t="shared" si="7"/>
        <v>ปกติ</v>
      </c>
    </row>
    <row r="28" spans="1:18" ht="24" customHeight="1">
      <c r="A28" s="101">
        <v>22</v>
      </c>
      <c r="B28" s="100" t="str">
        <f>รายชื่อ!B22</f>
        <v>เด็กหญิง</v>
      </c>
      <c r="C28" s="112" t="str">
        <f>รายชื่อ!C22</f>
        <v>ณหทัย</v>
      </c>
      <c r="D28" s="113" t="str">
        <f>รายชื่อ!D22</f>
        <v>แดงกองโค</v>
      </c>
      <c r="E28" s="132">
        <f>'22'!AH7</f>
        <v>0</v>
      </c>
      <c r="F28" s="59" t="str">
        <f t="shared" si="0"/>
        <v>ปกติ</v>
      </c>
      <c r="G28" s="132">
        <f>'22'!AH12</f>
        <v>4</v>
      </c>
      <c r="H28" s="59" t="str">
        <f t="shared" si="1"/>
        <v>ปกติ</v>
      </c>
      <c r="I28" s="134">
        <f>'22'!AH17</f>
        <v>2</v>
      </c>
      <c r="J28" s="59" t="str">
        <f t="shared" si="2"/>
        <v>ปกติ</v>
      </c>
      <c r="K28" s="134">
        <f>'22'!AH22</f>
        <v>0</v>
      </c>
      <c r="L28" s="59" t="str">
        <f t="shared" si="3"/>
        <v>ปกติ</v>
      </c>
      <c r="M28" s="58">
        <f t="shared" si="4"/>
        <v>6</v>
      </c>
      <c r="N28" s="59" t="str">
        <f t="shared" si="5"/>
        <v>ปกติ</v>
      </c>
      <c r="O28" s="134">
        <f>'22'!AH27</f>
        <v>0</v>
      </c>
      <c r="P28" s="60" t="str">
        <f t="shared" si="6"/>
        <v>ไม่มีจุดแข็ง</v>
      </c>
      <c r="Q28" s="134">
        <f>'22'!AH37</f>
        <v>0</v>
      </c>
      <c r="R28" s="60" t="str">
        <f t="shared" si="7"/>
        <v>ปกติ</v>
      </c>
    </row>
    <row r="29" spans="1:18" ht="24" customHeight="1">
      <c r="A29" s="101">
        <v>23</v>
      </c>
      <c r="B29" s="100" t="str">
        <f>รายชื่อ!B23</f>
        <v>เด็กหญิง</v>
      </c>
      <c r="C29" s="112" t="str">
        <f>รายชื่อ!C23</f>
        <v>อภิษฐา</v>
      </c>
      <c r="D29" s="113" t="str">
        <f>รายชื่อ!D23</f>
        <v>ชูชื่น</v>
      </c>
      <c r="E29" s="132">
        <f>'23'!AH7</f>
        <v>0</v>
      </c>
      <c r="F29" s="59" t="str">
        <f t="shared" si="0"/>
        <v>ปกติ</v>
      </c>
      <c r="G29" s="132">
        <f>'23'!AH12</f>
        <v>2</v>
      </c>
      <c r="H29" s="59" t="str">
        <f t="shared" si="1"/>
        <v>ปกติ</v>
      </c>
      <c r="I29" s="134">
        <f>'23'!AH17</f>
        <v>2</v>
      </c>
      <c r="J29" s="59" t="str">
        <f t="shared" si="2"/>
        <v>ปกติ</v>
      </c>
      <c r="K29" s="134">
        <f>'23'!AH22</f>
        <v>0</v>
      </c>
      <c r="L29" s="59" t="str">
        <f t="shared" si="3"/>
        <v>ปกติ</v>
      </c>
      <c r="M29" s="58">
        <f t="shared" si="4"/>
        <v>4</v>
      </c>
      <c r="N29" s="59" t="str">
        <f t="shared" si="5"/>
        <v>ปกติ</v>
      </c>
      <c r="O29" s="134">
        <f>'23'!AH27</f>
        <v>0</v>
      </c>
      <c r="P29" s="60" t="str">
        <f t="shared" si="6"/>
        <v>ไม่มีจุดแข็ง</v>
      </c>
      <c r="Q29" s="134">
        <f>'23'!AH37</f>
        <v>0</v>
      </c>
      <c r="R29" s="60" t="str">
        <f t="shared" si="7"/>
        <v>ปกติ</v>
      </c>
    </row>
    <row r="30" spans="1:18" ht="24" customHeight="1">
      <c r="A30" s="101">
        <v>24</v>
      </c>
      <c r="B30" s="100" t="str">
        <f>รายชื่อ!B24</f>
        <v>เด็กหญิง</v>
      </c>
      <c r="C30" s="112" t="str">
        <f>รายชื่อ!C24</f>
        <v>อภิษฎา</v>
      </c>
      <c r="D30" s="113" t="str">
        <f>รายชื่อ!D24</f>
        <v>โม่งเมือง</v>
      </c>
      <c r="E30" s="132">
        <f>'24'!AH7</f>
        <v>0</v>
      </c>
      <c r="F30" s="59" t="str">
        <f t="shared" si="0"/>
        <v>ปกติ</v>
      </c>
      <c r="G30" s="132">
        <f>'24'!AH12</f>
        <v>2</v>
      </c>
      <c r="H30" s="59" t="str">
        <f t="shared" si="1"/>
        <v>ปกติ</v>
      </c>
      <c r="I30" s="134">
        <f>'24'!AH17</f>
        <v>2</v>
      </c>
      <c r="J30" s="59" t="str">
        <f t="shared" si="2"/>
        <v>ปกติ</v>
      </c>
      <c r="K30" s="134">
        <f>'24'!AH22</f>
        <v>2</v>
      </c>
      <c r="L30" s="59" t="str">
        <f t="shared" si="3"/>
        <v>ปกติ</v>
      </c>
      <c r="M30" s="58">
        <f t="shared" si="4"/>
        <v>6</v>
      </c>
      <c r="N30" s="59" t="str">
        <f t="shared" si="5"/>
        <v>ปกติ</v>
      </c>
      <c r="O30" s="134">
        <f>'24'!AH27</f>
        <v>0</v>
      </c>
      <c r="P30" s="60" t="str">
        <f t="shared" si="6"/>
        <v>ไม่มีจุดแข็ง</v>
      </c>
      <c r="Q30" s="134">
        <f>'24'!AH37</f>
        <v>0</v>
      </c>
      <c r="R30" s="60" t="str">
        <f t="shared" si="7"/>
        <v>ปกติ</v>
      </c>
    </row>
    <row r="31" spans="1:18" ht="24" customHeight="1">
      <c r="A31" s="101">
        <v>25</v>
      </c>
      <c r="B31" s="100" t="str">
        <f>รายชื่อ!B25</f>
        <v>เด็กหญิง</v>
      </c>
      <c r="C31" s="112" t="str">
        <f>รายชื่อ!C25</f>
        <v>ณิชาพร</v>
      </c>
      <c r="D31" s="113" t="str">
        <f>รายชื่อ!D25</f>
        <v>โตเย็น</v>
      </c>
      <c r="E31" s="132">
        <f>'25'!AH7</f>
        <v>0</v>
      </c>
      <c r="F31" s="59" t="str">
        <f t="shared" si="0"/>
        <v>ปกติ</v>
      </c>
      <c r="G31" s="132">
        <f>'25'!AH12</f>
        <v>2</v>
      </c>
      <c r="H31" s="59" t="str">
        <f t="shared" si="1"/>
        <v>ปกติ</v>
      </c>
      <c r="I31" s="134">
        <f>'25'!AH17</f>
        <v>2</v>
      </c>
      <c r="J31" s="59" t="str">
        <f t="shared" si="2"/>
        <v>ปกติ</v>
      </c>
      <c r="K31" s="134">
        <f>'25'!AH22</f>
        <v>0</v>
      </c>
      <c r="L31" s="59" t="str">
        <f t="shared" si="3"/>
        <v>ปกติ</v>
      </c>
      <c r="M31" s="58">
        <f t="shared" si="4"/>
        <v>4</v>
      </c>
      <c r="N31" s="59" t="str">
        <f t="shared" si="5"/>
        <v>ปกติ</v>
      </c>
      <c r="O31" s="134">
        <f>'25'!AH27</f>
        <v>0</v>
      </c>
      <c r="P31" s="60" t="str">
        <f t="shared" si="6"/>
        <v>ไม่มีจุดแข็ง</v>
      </c>
      <c r="Q31" s="134">
        <f>'25'!AH37</f>
        <v>0</v>
      </c>
      <c r="R31" s="60" t="str">
        <f t="shared" si="7"/>
        <v>ปกติ</v>
      </c>
    </row>
    <row r="32" spans="1:18" ht="24" customHeight="1">
      <c r="A32" s="101">
        <v>26</v>
      </c>
      <c r="B32" s="100" t="str">
        <f>รายชื่อ!B26</f>
        <v>เด็กหญิง</v>
      </c>
      <c r="C32" s="112" t="str">
        <f>รายชื่อ!C26</f>
        <v>วาทการณ์</v>
      </c>
      <c r="D32" s="113" t="str">
        <f>รายชื่อ!D26</f>
        <v>อินดวง</v>
      </c>
      <c r="E32" s="132">
        <f>'26'!AH7</f>
        <v>0</v>
      </c>
      <c r="F32" s="59" t="str">
        <f t="shared" si="0"/>
        <v>ปกติ</v>
      </c>
      <c r="G32" s="132">
        <f>'26'!AH12</f>
        <v>2</v>
      </c>
      <c r="H32" s="59" t="str">
        <f t="shared" si="1"/>
        <v>ปกติ</v>
      </c>
      <c r="I32" s="134">
        <f>'26'!AH17</f>
        <v>2</v>
      </c>
      <c r="J32" s="59" t="str">
        <f t="shared" si="2"/>
        <v>ปกติ</v>
      </c>
      <c r="K32" s="134">
        <f>'26'!AH22</f>
        <v>0</v>
      </c>
      <c r="L32" s="59" t="str">
        <f t="shared" si="3"/>
        <v>ปกติ</v>
      </c>
      <c r="M32" s="58">
        <f t="shared" si="4"/>
        <v>4</v>
      </c>
      <c r="N32" s="59" t="str">
        <f t="shared" si="5"/>
        <v>ปกติ</v>
      </c>
      <c r="O32" s="134">
        <f>'26'!AH27</f>
        <v>0</v>
      </c>
      <c r="P32" s="60" t="str">
        <f t="shared" si="6"/>
        <v>ไม่มีจุดแข็ง</v>
      </c>
      <c r="Q32" s="134">
        <f>'26'!AH37</f>
        <v>0</v>
      </c>
      <c r="R32" s="60" t="str">
        <f t="shared" si="7"/>
        <v>ปกติ</v>
      </c>
    </row>
    <row r="33" spans="1:18" ht="24" customHeight="1">
      <c r="A33" s="101">
        <v>27</v>
      </c>
      <c r="B33" s="100" t="str">
        <f>รายชื่อ!B27</f>
        <v>เด็กหญิง</v>
      </c>
      <c r="C33" s="112" t="str">
        <f>รายชื่อ!C27</f>
        <v>ยิ่งลักษณ์</v>
      </c>
      <c r="D33" s="113" t="str">
        <f>รายชื่อ!D27</f>
        <v>ลักษณพิสุทธิ์</v>
      </c>
      <c r="E33" s="132">
        <f>'27'!AH7</f>
        <v>0</v>
      </c>
      <c r="F33" s="59" t="str">
        <f t="shared" si="0"/>
        <v>ปกติ</v>
      </c>
      <c r="G33" s="132">
        <f>'27'!AH12</f>
        <v>2</v>
      </c>
      <c r="H33" s="59" t="str">
        <f t="shared" si="1"/>
        <v>ปกติ</v>
      </c>
      <c r="I33" s="134">
        <f>'27'!AH17</f>
        <v>2</v>
      </c>
      <c r="J33" s="59" t="str">
        <f t="shared" si="2"/>
        <v>ปกติ</v>
      </c>
      <c r="K33" s="134">
        <f>'27'!AH22</f>
        <v>0</v>
      </c>
      <c r="L33" s="59" t="str">
        <f t="shared" si="3"/>
        <v>ปกติ</v>
      </c>
      <c r="M33" s="58">
        <f t="shared" si="4"/>
        <v>4</v>
      </c>
      <c r="N33" s="59" t="str">
        <f t="shared" si="5"/>
        <v>ปกติ</v>
      </c>
      <c r="O33" s="134">
        <f>'27'!AH27</f>
        <v>0</v>
      </c>
      <c r="P33" s="60" t="str">
        <f t="shared" si="6"/>
        <v>ไม่มีจุดแข็ง</v>
      </c>
      <c r="Q33" s="134">
        <f>'27'!AH37</f>
        <v>0</v>
      </c>
      <c r="R33" s="60" t="str">
        <f t="shared" si="7"/>
        <v>ปกติ</v>
      </c>
    </row>
    <row r="34" spans="1:18" ht="24" customHeight="1">
      <c r="A34" s="101">
        <v>28</v>
      </c>
      <c r="B34" s="100">
        <f>รายชื่อ!B28</f>
        <v>0</v>
      </c>
      <c r="C34" s="112">
        <f>รายชื่อ!C28</f>
        <v>0</v>
      </c>
      <c r="D34" s="113">
        <f>รายชื่อ!D28</f>
        <v>0</v>
      </c>
      <c r="E34" s="132">
        <f>'28'!AH7</f>
        <v>0</v>
      </c>
      <c r="F34" s="59" t="str">
        <f t="shared" si="0"/>
        <v>ปกติ</v>
      </c>
      <c r="G34" s="132">
        <f>'28'!AH12</f>
        <v>0</v>
      </c>
      <c r="H34" s="59" t="str">
        <f t="shared" si="1"/>
        <v>ปกติ</v>
      </c>
      <c r="I34" s="134">
        <f>'28'!AH17</f>
        <v>0</v>
      </c>
      <c r="J34" s="59" t="str">
        <f t="shared" si="2"/>
        <v>ปกติ</v>
      </c>
      <c r="K34" s="134">
        <f>'28'!AH22</f>
        <v>0</v>
      </c>
      <c r="L34" s="59" t="str">
        <f t="shared" si="3"/>
        <v>ปกติ</v>
      </c>
      <c r="M34" s="58">
        <f t="shared" si="4"/>
        <v>0</v>
      </c>
      <c r="N34" s="59" t="str">
        <f t="shared" si="5"/>
        <v>ปกติ</v>
      </c>
      <c r="O34" s="134">
        <f>'28'!AH27</f>
        <v>0</v>
      </c>
      <c r="P34" s="60" t="str">
        <f t="shared" si="6"/>
        <v>ไม่มีจุดแข็ง</v>
      </c>
      <c r="Q34" s="134">
        <f>'28'!AH37</f>
        <v>0</v>
      </c>
      <c r="R34" s="60" t="str">
        <f t="shared" si="7"/>
        <v>ปกติ</v>
      </c>
    </row>
    <row r="35" spans="1:18" ht="24" customHeight="1">
      <c r="A35" s="101">
        <v>29</v>
      </c>
      <c r="B35" s="100">
        <f>รายชื่อ!B29</f>
        <v>0</v>
      </c>
      <c r="C35" s="112">
        <f>รายชื่อ!C29</f>
        <v>0</v>
      </c>
      <c r="D35" s="113">
        <f>รายชื่อ!D29</f>
        <v>0</v>
      </c>
      <c r="E35" s="132">
        <f>'29'!AH7</f>
        <v>0</v>
      </c>
      <c r="F35" s="59" t="str">
        <f t="shared" si="0"/>
        <v>ปกติ</v>
      </c>
      <c r="G35" s="132">
        <f>'29'!AH12</f>
        <v>0</v>
      </c>
      <c r="H35" s="59" t="str">
        <f t="shared" si="1"/>
        <v>ปกติ</v>
      </c>
      <c r="I35" s="134">
        <f>'29'!AH17</f>
        <v>0</v>
      </c>
      <c r="J35" s="59" t="str">
        <f t="shared" si="2"/>
        <v>ปกติ</v>
      </c>
      <c r="K35" s="134">
        <f>'29'!AH22</f>
        <v>0</v>
      </c>
      <c r="L35" s="59" t="str">
        <f t="shared" si="3"/>
        <v>ปกติ</v>
      </c>
      <c r="M35" s="58">
        <f t="shared" si="4"/>
        <v>0</v>
      </c>
      <c r="N35" s="59" t="str">
        <f t="shared" si="5"/>
        <v>ปกติ</v>
      </c>
      <c r="O35" s="134">
        <f>'29'!AH27</f>
        <v>0</v>
      </c>
      <c r="P35" s="60" t="str">
        <f t="shared" si="6"/>
        <v>ไม่มีจุดแข็ง</v>
      </c>
      <c r="Q35" s="134">
        <f>'29'!AH37</f>
        <v>0</v>
      </c>
      <c r="R35" s="60" t="str">
        <f t="shared" si="7"/>
        <v>ปกติ</v>
      </c>
    </row>
    <row r="36" spans="1:18" ht="24" customHeight="1">
      <c r="A36" s="101">
        <v>30</v>
      </c>
      <c r="B36" s="100">
        <f>รายชื่อ!B30</f>
        <v>0</v>
      </c>
      <c r="C36" s="112">
        <f>รายชื่อ!C30</f>
        <v>0</v>
      </c>
      <c r="D36" s="113">
        <f>รายชื่อ!D30</f>
        <v>0</v>
      </c>
      <c r="E36" s="132">
        <f>'30'!AH7</f>
        <v>0</v>
      </c>
      <c r="F36" s="59" t="str">
        <f t="shared" si="0"/>
        <v>ปกติ</v>
      </c>
      <c r="G36" s="132">
        <f>'30'!AH12</f>
        <v>0</v>
      </c>
      <c r="H36" s="59" t="str">
        <f t="shared" si="1"/>
        <v>ปกติ</v>
      </c>
      <c r="I36" s="134">
        <f>'30'!AH17</f>
        <v>0</v>
      </c>
      <c r="J36" s="59" t="str">
        <f t="shared" si="2"/>
        <v>ปกติ</v>
      </c>
      <c r="K36" s="134">
        <f>'30'!AH22</f>
        <v>0</v>
      </c>
      <c r="L36" s="59" t="str">
        <f t="shared" si="3"/>
        <v>ปกติ</v>
      </c>
      <c r="M36" s="58">
        <f t="shared" si="4"/>
        <v>0</v>
      </c>
      <c r="N36" s="59" t="str">
        <f t="shared" si="5"/>
        <v>ปกติ</v>
      </c>
      <c r="O36" s="134">
        <f>'30'!AH27</f>
        <v>0</v>
      </c>
      <c r="P36" s="60" t="str">
        <f t="shared" si="6"/>
        <v>ไม่มีจุดแข็ง</v>
      </c>
      <c r="Q36" s="134">
        <f>'30'!AH37</f>
        <v>0</v>
      </c>
      <c r="R36" s="60" t="str">
        <f t="shared" si="7"/>
        <v>ปกติ</v>
      </c>
    </row>
    <row r="37" spans="1:18" ht="24" customHeight="1">
      <c r="A37" s="101">
        <v>31</v>
      </c>
      <c r="B37" s="100">
        <f>รายชื่อ!B31</f>
        <v>0</v>
      </c>
      <c r="C37" s="112">
        <f>รายชื่อ!C31</f>
        <v>0</v>
      </c>
      <c r="D37" s="113">
        <f>รายชื่อ!D31</f>
        <v>0</v>
      </c>
      <c r="E37" s="132">
        <f>'31'!AH7</f>
        <v>0</v>
      </c>
      <c r="F37" s="59" t="str">
        <f t="shared" si="0"/>
        <v>ปกติ</v>
      </c>
      <c r="G37" s="132">
        <f>'31'!AH12</f>
        <v>0</v>
      </c>
      <c r="H37" s="59" t="str">
        <f t="shared" si="1"/>
        <v>ปกติ</v>
      </c>
      <c r="I37" s="134">
        <f>'31'!AH17</f>
        <v>0</v>
      </c>
      <c r="J37" s="59" t="str">
        <f t="shared" si="2"/>
        <v>ปกติ</v>
      </c>
      <c r="K37" s="134">
        <f>'31'!AH22</f>
        <v>0</v>
      </c>
      <c r="L37" s="59" t="str">
        <f t="shared" si="3"/>
        <v>ปกติ</v>
      </c>
      <c r="M37" s="58">
        <f t="shared" si="4"/>
        <v>0</v>
      </c>
      <c r="N37" s="59" t="str">
        <f t="shared" si="5"/>
        <v>ปกติ</v>
      </c>
      <c r="O37" s="134">
        <f>'31'!AH27</f>
        <v>0</v>
      </c>
      <c r="P37" s="60" t="str">
        <f t="shared" si="6"/>
        <v>ไม่มีจุดแข็ง</v>
      </c>
      <c r="Q37" s="134">
        <f>'31'!AH37</f>
        <v>0</v>
      </c>
      <c r="R37" s="60" t="str">
        <f t="shared" si="7"/>
        <v>ปกติ</v>
      </c>
    </row>
    <row r="38" spans="1:18" ht="24" customHeight="1">
      <c r="A38" s="101">
        <v>32</v>
      </c>
      <c r="B38" s="100">
        <f>รายชื่อ!B32</f>
        <v>0</v>
      </c>
      <c r="C38" s="112">
        <f>รายชื่อ!C32</f>
        <v>0</v>
      </c>
      <c r="D38" s="113">
        <f>รายชื่อ!D32</f>
        <v>0</v>
      </c>
      <c r="E38" s="132">
        <f>'32'!AH7</f>
        <v>0</v>
      </c>
      <c r="F38" s="59" t="str">
        <f t="shared" si="0"/>
        <v>ปกติ</v>
      </c>
      <c r="G38" s="132">
        <f>'32'!AH12</f>
        <v>0</v>
      </c>
      <c r="H38" s="59" t="str">
        <f t="shared" si="1"/>
        <v>ปกติ</v>
      </c>
      <c r="I38" s="134">
        <f>'32'!AH17</f>
        <v>0</v>
      </c>
      <c r="J38" s="59" t="str">
        <f t="shared" si="2"/>
        <v>ปกติ</v>
      </c>
      <c r="K38" s="134">
        <f>'32'!AH22</f>
        <v>0</v>
      </c>
      <c r="L38" s="59" t="str">
        <f t="shared" si="3"/>
        <v>ปกติ</v>
      </c>
      <c r="M38" s="58">
        <f t="shared" si="4"/>
        <v>0</v>
      </c>
      <c r="N38" s="59" t="str">
        <f t="shared" si="5"/>
        <v>ปกติ</v>
      </c>
      <c r="O38" s="134">
        <f>'32'!AH27</f>
        <v>0</v>
      </c>
      <c r="P38" s="60" t="str">
        <f t="shared" si="6"/>
        <v>ไม่มีจุดแข็ง</v>
      </c>
      <c r="Q38" s="134">
        <f>'32'!AH37</f>
        <v>0</v>
      </c>
      <c r="R38" s="60" t="str">
        <f t="shared" si="7"/>
        <v>ปกติ</v>
      </c>
    </row>
    <row r="39" spans="1:18" ht="24" customHeight="1">
      <c r="A39" s="101">
        <v>33</v>
      </c>
      <c r="B39" s="100">
        <f>รายชื่อ!B33</f>
        <v>0</v>
      </c>
      <c r="C39" s="112">
        <f>รายชื่อ!C33</f>
        <v>0</v>
      </c>
      <c r="D39" s="113">
        <f>รายชื่อ!D33</f>
        <v>0</v>
      </c>
      <c r="E39" s="132">
        <f>'33'!AH7</f>
        <v>0</v>
      </c>
      <c r="F39" s="59" t="str">
        <f t="shared" si="0"/>
        <v>ปกติ</v>
      </c>
      <c r="G39" s="132">
        <f>'33'!AH12</f>
        <v>0</v>
      </c>
      <c r="H39" s="59" t="str">
        <f t="shared" si="1"/>
        <v>ปกติ</v>
      </c>
      <c r="I39" s="134">
        <f>'33'!AH17</f>
        <v>0</v>
      </c>
      <c r="J39" s="59" t="str">
        <f t="shared" si="2"/>
        <v>ปกติ</v>
      </c>
      <c r="K39" s="134">
        <f>'33'!AH22</f>
        <v>0</v>
      </c>
      <c r="L39" s="59" t="str">
        <f t="shared" si="3"/>
        <v>ปกติ</v>
      </c>
      <c r="M39" s="58">
        <f t="shared" si="4"/>
        <v>0</v>
      </c>
      <c r="N39" s="59" t="str">
        <f t="shared" si="5"/>
        <v>ปกติ</v>
      </c>
      <c r="O39" s="134">
        <f>'33'!AH27</f>
        <v>0</v>
      </c>
      <c r="P39" s="60" t="str">
        <f t="shared" si="6"/>
        <v>ไม่มีจุดแข็ง</v>
      </c>
      <c r="Q39" s="134">
        <f>'33'!AH37</f>
        <v>0</v>
      </c>
      <c r="R39" s="60" t="str">
        <f t="shared" si="7"/>
        <v>ปกติ</v>
      </c>
    </row>
    <row r="40" spans="1:18" ht="24" customHeight="1">
      <c r="A40" s="101">
        <v>34</v>
      </c>
      <c r="B40" s="100">
        <f>รายชื่อ!B34</f>
        <v>0</v>
      </c>
      <c r="C40" s="112">
        <f>รายชื่อ!C34</f>
        <v>0</v>
      </c>
      <c r="D40" s="113">
        <f>รายชื่อ!D34</f>
        <v>0</v>
      </c>
      <c r="E40" s="132">
        <f>'34'!AH7</f>
        <v>0</v>
      </c>
      <c r="F40" s="59" t="str">
        <f t="shared" si="0"/>
        <v>ปกติ</v>
      </c>
      <c r="G40" s="132">
        <f>'34'!AH12</f>
        <v>0</v>
      </c>
      <c r="H40" s="59" t="str">
        <f t="shared" si="1"/>
        <v>ปกติ</v>
      </c>
      <c r="I40" s="134">
        <f>'34'!AH17</f>
        <v>0</v>
      </c>
      <c r="J40" s="59" t="str">
        <f t="shared" si="2"/>
        <v>ปกติ</v>
      </c>
      <c r="K40" s="134">
        <f>'34'!AH22</f>
        <v>0</v>
      </c>
      <c r="L40" s="59" t="str">
        <f t="shared" si="3"/>
        <v>ปกติ</v>
      </c>
      <c r="M40" s="58">
        <f t="shared" si="4"/>
        <v>0</v>
      </c>
      <c r="N40" s="59" t="str">
        <f t="shared" si="5"/>
        <v>ปกติ</v>
      </c>
      <c r="O40" s="134">
        <f>'34'!AH27</f>
        <v>0</v>
      </c>
      <c r="P40" s="60" t="str">
        <f t="shared" si="6"/>
        <v>ไม่มีจุดแข็ง</v>
      </c>
      <c r="Q40" s="134">
        <f>'34'!AH37</f>
        <v>0</v>
      </c>
      <c r="R40" s="60" t="str">
        <f t="shared" si="7"/>
        <v>ปกติ</v>
      </c>
    </row>
    <row r="41" spans="1:18" ht="24" customHeight="1">
      <c r="A41" s="101">
        <v>35</v>
      </c>
      <c r="B41" s="100">
        <f>รายชื่อ!B35</f>
        <v>0</v>
      </c>
      <c r="C41" s="112">
        <f>รายชื่อ!C35</f>
        <v>0</v>
      </c>
      <c r="D41" s="113">
        <f>รายชื่อ!D35</f>
        <v>0</v>
      </c>
      <c r="E41" s="132">
        <f>'35'!AH7</f>
        <v>0</v>
      </c>
      <c r="F41" s="59" t="str">
        <f t="shared" si="0"/>
        <v>ปกติ</v>
      </c>
      <c r="G41" s="132">
        <f>'35'!AH12</f>
        <v>0</v>
      </c>
      <c r="H41" s="59" t="str">
        <f t="shared" si="1"/>
        <v>ปกติ</v>
      </c>
      <c r="I41" s="134">
        <f>'35'!AH17</f>
        <v>0</v>
      </c>
      <c r="J41" s="59" t="str">
        <f t="shared" si="2"/>
        <v>ปกติ</v>
      </c>
      <c r="K41" s="134">
        <f>'35'!AH22</f>
        <v>0</v>
      </c>
      <c r="L41" s="59" t="str">
        <f t="shared" si="3"/>
        <v>ปกติ</v>
      </c>
      <c r="M41" s="58">
        <f t="shared" si="4"/>
        <v>0</v>
      </c>
      <c r="N41" s="59" t="str">
        <f t="shared" si="5"/>
        <v>ปกติ</v>
      </c>
      <c r="O41" s="134">
        <f>'35'!AH27</f>
        <v>0</v>
      </c>
      <c r="P41" s="60" t="str">
        <f t="shared" si="6"/>
        <v>ไม่มีจุดแข็ง</v>
      </c>
      <c r="Q41" s="134">
        <f>'35'!AH37</f>
        <v>0</v>
      </c>
      <c r="R41" s="60" t="str">
        <f t="shared" si="7"/>
        <v>ปกติ</v>
      </c>
    </row>
    <row r="42" spans="1:18" ht="24" customHeight="1">
      <c r="A42" s="101">
        <v>36</v>
      </c>
      <c r="B42" s="100">
        <f>รายชื่อ!B36</f>
        <v>0</v>
      </c>
      <c r="C42" s="112">
        <f>รายชื่อ!C36</f>
        <v>0</v>
      </c>
      <c r="D42" s="113">
        <f>รายชื่อ!D36</f>
        <v>0</v>
      </c>
      <c r="E42" s="132">
        <f>'36'!AH7</f>
        <v>0</v>
      </c>
      <c r="F42" s="59" t="str">
        <f t="shared" si="0"/>
        <v>ปกติ</v>
      </c>
      <c r="G42" s="132">
        <f>'36'!AH12</f>
        <v>0</v>
      </c>
      <c r="H42" s="59" t="str">
        <f t="shared" si="1"/>
        <v>ปกติ</v>
      </c>
      <c r="I42" s="134">
        <f>'36'!AH17</f>
        <v>0</v>
      </c>
      <c r="J42" s="59" t="str">
        <f t="shared" si="2"/>
        <v>ปกติ</v>
      </c>
      <c r="K42" s="134">
        <f>'36'!AH22</f>
        <v>0</v>
      </c>
      <c r="L42" s="59" t="str">
        <f t="shared" si="3"/>
        <v>ปกติ</v>
      </c>
      <c r="M42" s="58">
        <f t="shared" si="4"/>
        <v>0</v>
      </c>
      <c r="N42" s="59" t="str">
        <f t="shared" si="5"/>
        <v>ปกติ</v>
      </c>
      <c r="O42" s="134">
        <f>'36'!AH27</f>
        <v>0</v>
      </c>
      <c r="P42" s="60" t="str">
        <f t="shared" si="6"/>
        <v>ไม่มีจุดแข็ง</v>
      </c>
      <c r="Q42" s="134">
        <f>'36'!AH37</f>
        <v>0</v>
      </c>
      <c r="R42" s="60" t="str">
        <f t="shared" si="7"/>
        <v>ปกติ</v>
      </c>
    </row>
    <row r="43" spans="1:18" ht="24" customHeight="1">
      <c r="A43" s="61">
        <v>37</v>
      </c>
      <c r="B43" s="100">
        <f>รายชื่อ!B37</f>
        <v>0</v>
      </c>
      <c r="C43" s="112">
        <f>รายชื่อ!C37</f>
        <v>0</v>
      </c>
      <c r="D43" s="113">
        <f>รายชื่อ!D37</f>
        <v>0</v>
      </c>
      <c r="E43" s="132">
        <f>'37'!AH7</f>
        <v>0</v>
      </c>
      <c r="F43" s="59" t="str">
        <f t="shared" si="0"/>
        <v>ปกติ</v>
      </c>
      <c r="G43" s="132">
        <f>'37'!AH12</f>
        <v>0</v>
      </c>
      <c r="H43" s="59" t="str">
        <f t="shared" si="1"/>
        <v>ปกติ</v>
      </c>
      <c r="I43" s="134">
        <f>'37'!AH17</f>
        <v>0</v>
      </c>
      <c r="J43" s="59" t="str">
        <f t="shared" si="2"/>
        <v>ปกติ</v>
      </c>
      <c r="K43" s="134">
        <f>'37'!AH22</f>
        <v>0</v>
      </c>
      <c r="L43" s="59" t="str">
        <f t="shared" si="3"/>
        <v>ปกติ</v>
      </c>
      <c r="M43" s="58">
        <f t="shared" si="4"/>
        <v>0</v>
      </c>
      <c r="N43" s="59" t="str">
        <f t="shared" si="5"/>
        <v>ปกติ</v>
      </c>
      <c r="O43" s="134">
        <f>'37'!AH27</f>
        <v>0</v>
      </c>
      <c r="P43" s="60" t="str">
        <f t="shared" si="6"/>
        <v>ไม่มีจุดแข็ง</v>
      </c>
      <c r="Q43" s="134">
        <f>'37'!AH37</f>
        <v>0</v>
      </c>
      <c r="R43" s="60" t="str">
        <f t="shared" si="7"/>
        <v>ปกติ</v>
      </c>
    </row>
    <row r="44" spans="1:18" ht="24" customHeight="1">
      <c r="A44" s="100">
        <v>38</v>
      </c>
      <c r="B44" s="100">
        <f>รายชื่อ!B38</f>
        <v>0</v>
      </c>
      <c r="C44" s="112">
        <f>รายชื่อ!C38</f>
        <v>0</v>
      </c>
      <c r="D44" s="113">
        <f>รายชื่อ!D38</f>
        <v>0</v>
      </c>
      <c r="E44" s="132">
        <f>'38'!AH7</f>
        <v>0</v>
      </c>
      <c r="F44" s="59" t="str">
        <f t="shared" si="0"/>
        <v>ปกติ</v>
      </c>
      <c r="G44" s="132">
        <f>'38'!AH12</f>
        <v>0</v>
      </c>
      <c r="H44" s="59" t="str">
        <f t="shared" si="1"/>
        <v>ปกติ</v>
      </c>
      <c r="I44" s="134">
        <f>'38'!AH17</f>
        <v>0</v>
      </c>
      <c r="J44" s="59" t="str">
        <f t="shared" si="2"/>
        <v>ปกติ</v>
      </c>
      <c r="K44" s="134">
        <f>'38'!AH22</f>
        <v>0</v>
      </c>
      <c r="L44" s="59" t="str">
        <f t="shared" si="3"/>
        <v>ปกติ</v>
      </c>
      <c r="M44" s="58">
        <f t="shared" si="4"/>
        <v>0</v>
      </c>
      <c r="N44" s="59" t="str">
        <f t="shared" si="5"/>
        <v>ปกติ</v>
      </c>
      <c r="O44" s="134">
        <f>'38'!AH27</f>
        <v>0</v>
      </c>
      <c r="P44" s="60" t="str">
        <f t="shared" si="6"/>
        <v>ไม่มีจุดแข็ง</v>
      </c>
      <c r="Q44" s="134">
        <f>'38'!AH37</f>
        <v>0</v>
      </c>
      <c r="R44" s="60" t="str">
        <f t="shared" si="7"/>
        <v>ปกติ</v>
      </c>
    </row>
    <row r="45" spans="1:18" ht="24" customHeight="1">
      <c r="A45" s="101">
        <v>39</v>
      </c>
      <c r="B45" s="100">
        <f>รายชื่อ!B39</f>
        <v>0</v>
      </c>
      <c r="C45" s="112">
        <f>รายชื่อ!C39</f>
        <v>0</v>
      </c>
      <c r="D45" s="113">
        <f>รายชื่อ!D39</f>
        <v>0</v>
      </c>
      <c r="E45" s="132">
        <f>'39'!AH7</f>
        <v>0</v>
      </c>
      <c r="F45" s="59" t="str">
        <f t="shared" si="0"/>
        <v>ปกติ</v>
      </c>
      <c r="G45" s="132">
        <f>'39'!AH12</f>
        <v>0</v>
      </c>
      <c r="H45" s="59" t="str">
        <f t="shared" si="1"/>
        <v>ปกติ</v>
      </c>
      <c r="I45" s="134">
        <f>'39'!AH17</f>
        <v>0</v>
      </c>
      <c r="J45" s="59" t="str">
        <f t="shared" si="2"/>
        <v>ปกติ</v>
      </c>
      <c r="K45" s="134">
        <f>'39'!AH22</f>
        <v>0</v>
      </c>
      <c r="L45" s="59" t="str">
        <f t="shared" si="3"/>
        <v>ปกติ</v>
      </c>
      <c r="M45" s="58">
        <f t="shared" si="4"/>
        <v>0</v>
      </c>
      <c r="N45" s="59" t="str">
        <f t="shared" si="5"/>
        <v>ปกติ</v>
      </c>
      <c r="O45" s="134">
        <f>'39'!AH27</f>
        <v>0</v>
      </c>
      <c r="P45" s="60" t="str">
        <f t="shared" si="6"/>
        <v>ไม่มีจุดแข็ง</v>
      </c>
      <c r="Q45" s="134">
        <f>'39'!AH37</f>
        <v>0</v>
      </c>
      <c r="R45" s="60" t="str">
        <f t="shared" si="7"/>
        <v>ปกติ</v>
      </c>
    </row>
    <row r="46" spans="1:18" ht="24" customHeight="1">
      <c r="A46" s="101">
        <v>40</v>
      </c>
      <c r="B46" s="100">
        <f>รายชื่อ!B40</f>
        <v>0</v>
      </c>
      <c r="C46" s="112">
        <f>รายชื่อ!C40</f>
        <v>0</v>
      </c>
      <c r="D46" s="113">
        <f>รายชื่อ!D40</f>
        <v>0</v>
      </c>
      <c r="E46" s="132">
        <f>'40'!AH7</f>
        <v>0</v>
      </c>
      <c r="F46" s="59" t="str">
        <f t="shared" si="0"/>
        <v>ปกติ</v>
      </c>
      <c r="G46" s="132">
        <f>'40'!AH12</f>
        <v>0</v>
      </c>
      <c r="H46" s="59" t="str">
        <f t="shared" si="1"/>
        <v>ปกติ</v>
      </c>
      <c r="I46" s="134">
        <f>'40'!AH17</f>
        <v>0</v>
      </c>
      <c r="J46" s="59" t="str">
        <f t="shared" si="2"/>
        <v>ปกติ</v>
      </c>
      <c r="K46" s="134">
        <f>'40'!AH22</f>
        <v>0</v>
      </c>
      <c r="L46" s="59" t="str">
        <f t="shared" si="3"/>
        <v>ปกติ</v>
      </c>
      <c r="M46" s="58">
        <f t="shared" si="4"/>
        <v>0</v>
      </c>
      <c r="N46" s="59" t="str">
        <f t="shared" si="5"/>
        <v>ปกติ</v>
      </c>
      <c r="O46" s="134">
        <f>'40'!AH27</f>
        <v>0</v>
      </c>
      <c r="P46" s="60" t="str">
        <f t="shared" si="6"/>
        <v>ไม่มีจุดแข็ง</v>
      </c>
      <c r="Q46" s="134">
        <f>'40'!AH37</f>
        <v>0</v>
      </c>
      <c r="R46" s="60" t="str">
        <f t="shared" si="7"/>
        <v>ปกติ</v>
      </c>
    </row>
    <row r="47" spans="1:18" ht="24" customHeight="1">
      <c r="D47" s="1"/>
      <c r="E47" s="135"/>
      <c r="G47" s="102"/>
      <c r="I47" s="133"/>
      <c r="K47" s="133"/>
      <c r="M47" s="1"/>
      <c r="O47" s="133"/>
      <c r="Q47" s="133"/>
    </row>
    <row r="48" spans="1:18" ht="24" customHeight="1">
      <c r="D48" s="1"/>
      <c r="E48" s="46"/>
      <c r="G48" s="1"/>
      <c r="I48" s="1"/>
      <c r="K48" s="1"/>
      <c r="M48" s="1"/>
      <c r="O48" s="1"/>
      <c r="Q48" s="1"/>
    </row>
    <row r="49" spans="5:5" s="1" customFormat="1" ht="24" customHeight="1">
      <c r="E49" s="46"/>
    </row>
    <row r="50" spans="5:5" s="1" customFormat="1" ht="24" customHeight="1">
      <c r="E50" s="46"/>
    </row>
    <row r="51" spans="5:5" s="1" customFormat="1" ht="24" customHeight="1">
      <c r="E51" s="46"/>
    </row>
    <row r="52" spans="5:5" s="1" customFormat="1" ht="24" customHeight="1">
      <c r="E52" s="46"/>
    </row>
    <row r="53" spans="5:5" s="1" customFormat="1" ht="24" customHeight="1">
      <c r="E53" s="46"/>
    </row>
    <row r="54" spans="5:5" s="1" customFormat="1" ht="24" customHeight="1">
      <c r="E54" s="46"/>
    </row>
    <row r="55" spans="5:5" s="1" customFormat="1" ht="24" customHeight="1">
      <c r="E55" s="46"/>
    </row>
    <row r="56" spans="5:5" s="1" customFormat="1" ht="24" customHeight="1">
      <c r="E56" s="46"/>
    </row>
    <row r="57" spans="5:5" s="1" customFormat="1" ht="24" customHeight="1">
      <c r="E57" s="46"/>
    </row>
    <row r="58" spans="5:5" s="1" customFormat="1" ht="24" customHeight="1">
      <c r="E58" s="46"/>
    </row>
    <row r="59" spans="5:5" s="1" customFormat="1" ht="24" customHeight="1">
      <c r="E59" s="46"/>
    </row>
    <row r="60" spans="5:5" s="1" customFormat="1" ht="24" customHeight="1">
      <c r="E60" s="46"/>
    </row>
    <row r="61" spans="5:5" s="1" customFormat="1" ht="24" customHeight="1">
      <c r="E61" s="46"/>
    </row>
    <row r="62" spans="5:5" s="1" customFormat="1" ht="24" customHeight="1">
      <c r="E62" s="46"/>
    </row>
    <row r="63" spans="5:5" s="1" customFormat="1" ht="24" customHeight="1">
      <c r="E63" s="46"/>
    </row>
    <row r="64" spans="5:5" s="1" customFormat="1" ht="24" customHeight="1">
      <c r="E64" s="46"/>
    </row>
    <row r="65" spans="5:5" s="1" customFormat="1" ht="24" customHeight="1">
      <c r="E65" s="46"/>
    </row>
    <row r="66" spans="5:5" s="1" customFormat="1" ht="24" customHeight="1">
      <c r="E66" s="46"/>
    </row>
    <row r="67" spans="5:5" s="1" customFormat="1" ht="24" customHeight="1">
      <c r="E67" s="46"/>
    </row>
    <row r="68" spans="5:5" s="1" customFormat="1" ht="24" customHeight="1">
      <c r="E68" s="46"/>
    </row>
    <row r="69" spans="5:5" s="1" customFormat="1" ht="24" customHeight="1">
      <c r="E69" s="46"/>
    </row>
    <row r="70" spans="5:5" s="1" customFormat="1" ht="24" customHeight="1">
      <c r="E70" s="46"/>
    </row>
    <row r="71" spans="5:5" s="1" customFormat="1" ht="24" customHeight="1">
      <c r="E71" s="46"/>
    </row>
    <row r="72" spans="5:5" s="1" customFormat="1" ht="24" customHeight="1">
      <c r="E72" s="46"/>
    </row>
    <row r="73" spans="5:5" s="1" customFormat="1" ht="24" customHeight="1">
      <c r="E73" s="46"/>
    </row>
    <row r="74" spans="5:5" s="1" customFormat="1" ht="24" customHeight="1">
      <c r="E74" s="46"/>
    </row>
    <row r="75" spans="5:5" s="1" customFormat="1" ht="24" customHeight="1">
      <c r="E75" s="46"/>
    </row>
    <row r="76" spans="5:5" s="1" customFormat="1" ht="24" customHeight="1">
      <c r="E76" s="46"/>
    </row>
    <row r="77" spans="5:5" s="1" customFormat="1" ht="24" customHeight="1">
      <c r="E77" s="46"/>
    </row>
    <row r="78" spans="5:5" s="1" customFormat="1" ht="24" customHeight="1">
      <c r="E78" s="46"/>
    </row>
    <row r="79" spans="5:5" s="1" customFormat="1" ht="24" customHeight="1">
      <c r="E79" s="46"/>
    </row>
    <row r="80" spans="5:5" s="1" customFormat="1" ht="24" customHeight="1">
      <c r="E80" s="46"/>
    </row>
    <row r="81" spans="5:5" s="1" customFormat="1" ht="24" customHeight="1">
      <c r="E81" s="46"/>
    </row>
    <row r="82" spans="5:5" s="1" customFormat="1" ht="24" customHeight="1">
      <c r="E82" s="46"/>
    </row>
    <row r="83" spans="5:5" s="1" customFormat="1" ht="24" customHeight="1">
      <c r="E83" s="46"/>
    </row>
    <row r="84" spans="5:5" s="1" customFormat="1" ht="24" customHeight="1">
      <c r="E84" s="46"/>
    </row>
    <row r="85" spans="5:5" s="1" customFormat="1" ht="24" customHeight="1">
      <c r="E85" s="46"/>
    </row>
    <row r="86" spans="5:5" s="1" customFormat="1" ht="24" customHeight="1">
      <c r="E86" s="46"/>
    </row>
    <row r="87" spans="5:5" s="1" customFormat="1" ht="24" customHeight="1">
      <c r="E87" s="46"/>
    </row>
    <row r="88" spans="5:5" s="1" customFormat="1" ht="24" customHeight="1">
      <c r="E88" s="46"/>
    </row>
    <row r="89" spans="5:5" s="1" customFormat="1" ht="24" customHeight="1">
      <c r="E89" s="46"/>
    </row>
    <row r="90" spans="5:5" s="1" customFormat="1" ht="24" customHeight="1">
      <c r="E90" s="46"/>
    </row>
    <row r="91" spans="5:5" s="1" customFormat="1" ht="24" customHeight="1">
      <c r="E91" s="46"/>
    </row>
    <row r="92" spans="5:5" s="1" customFormat="1" ht="24" customHeight="1">
      <c r="E92" s="46"/>
    </row>
    <row r="93" spans="5:5" s="1" customFormat="1" ht="24" customHeight="1">
      <c r="E93" s="46"/>
    </row>
    <row r="94" spans="5:5" s="1" customFormat="1" ht="24" customHeight="1">
      <c r="E94" s="46"/>
    </row>
    <row r="95" spans="5:5" s="1" customFormat="1" ht="24" customHeight="1">
      <c r="E95" s="46"/>
    </row>
    <row r="96" spans="5:5" s="1" customFormat="1" ht="24" customHeight="1">
      <c r="E96" s="46"/>
    </row>
    <row r="97" spans="5:5" s="1" customFormat="1" ht="24" customHeight="1">
      <c r="E97" s="46"/>
    </row>
    <row r="98" spans="5:5" s="1" customFormat="1" ht="24" customHeight="1">
      <c r="E98" s="46"/>
    </row>
    <row r="99" spans="5:5" s="1" customFormat="1" ht="24" customHeight="1">
      <c r="E99" s="46"/>
    </row>
    <row r="100" spans="5:5" s="1" customFormat="1" ht="24" customHeight="1">
      <c r="E100" s="46"/>
    </row>
    <row r="101" spans="5:5" s="1" customFormat="1" ht="24" customHeight="1">
      <c r="E101" s="46"/>
    </row>
    <row r="102" spans="5:5" s="1" customFormat="1" ht="24" customHeight="1">
      <c r="E102" s="46"/>
    </row>
    <row r="103" spans="5:5" s="1" customFormat="1" ht="24" customHeight="1">
      <c r="E103" s="46"/>
    </row>
    <row r="104" spans="5:5" s="1" customFormat="1" ht="24" customHeight="1">
      <c r="E104" s="46"/>
    </row>
    <row r="105" spans="5:5" s="1" customFormat="1" ht="24" customHeight="1">
      <c r="E105" s="46"/>
    </row>
    <row r="106" spans="5:5" s="1" customFormat="1" ht="24" customHeight="1">
      <c r="E106" s="46"/>
    </row>
    <row r="107" spans="5:5" s="1" customFormat="1" ht="24" customHeight="1">
      <c r="E107" s="46"/>
    </row>
    <row r="108" spans="5:5" s="1" customFormat="1" ht="24" customHeight="1">
      <c r="E108" s="46"/>
    </row>
    <row r="109" spans="5:5" s="1" customFormat="1" ht="24" customHeight="1">
      <c r="E109" s="46"/>
    </row>
    <row r="110" spans="5:5" s="1" customFormat="1" ht="24" customHeight="1">
      <c r="E110" s="46"/>
    </row>
    <row r="111" spans="5:5" s="1" customFormat="1" ht="24" customHeight="1">
      <c r="E111" s="46"/>
    </row>
    <row r="112" spans="5:5" s="1" customFormat="1" ht="24" customHeight="1">
      <c r="E112" s="46"/>
    </row>
    <row r="113" spans="5:5" s="1" customFormat="1" ht="24" customHeight="1">
      <c r="E113" s="46"/>
    </row>
    <row r="114" spans="5:5" s="1" customFormat="1" ht="24" customHeight="1">
      <c r="E114" s="46"/>
    </row>
    <row r="115" spans="5:5" s="1" customFormat="1" ht="24" customHeight="1">
      <c r="E115" s="46"/>
    </row>
    <row r="116" spans="5:5" s="1" customFormat="1" ht="24" customHeight="1">
      <c r="E116" s="46"/>
    </row>
    <row r="117" spans="5:5" s="1" customFormat="1" ht="24" customHeight="1">
      <c r="E117" s="46"/>
    </row>
    <row r="118" spans="5:5" s="1" customFormat="1" ht="24" customHeight="1">
      <c r="E118" s="46"/>
    </row>
    <row r="119" spans="5:5" s="1" customFormat="1" ht="24" customHeight="1">
      <c r="E119" s="46"/>
    </row>
    <row r="120" spans="5:5" s="1" customFormat="1" ht="24" customHeight="1">
      <c r="E120" s="46"/>
    </row>
    <row r="121" spans="5:5" s="1" customFormat="1" ht="24" customHeight="1">
      <c r="E121" s="46"/>
    </row>
    <row r="122" spans="5:5" s="1" customFormat="1" ht="24" customHeight="1">
      <c r="E122" s="46"/>
    </row>
    <row r="123" spans="5:5" s="1" customFormat="1" ht="24" customHeight="1">
      <c r="E123" s="46"/>
    </row>
    <row r="124" spans="5:5" s="1" customFormat="1" ht="24" customHeight="1">
      <c r="E124" s="46"/>
    </row>
    <row r="125" spans="5:5" s="1" customFormat="1" ht="24" customHeight="1">
      <c r="E125" s="46"/>
    </row>
    <row r="126" spans="5:5" s="1" customFormat="1" ht="24" customHeight="1">
      <c r="E126" s="46"/>
    </row>
    <row r="127" spans="5:5" s="1" customFormat="1" ht="24" customHeight="1">
      <c r="E127" s="46"/>
    </row>
    <row r="128" spans="5:5" s="1" customFormat="1" ht="24" customHeight="1">
      <c r="E128" s="46"/>
    </row>
    <row r="129" spans="5:5" s="1" customFormat="1" ht="24" customHeight="1">
      <c r="E129" s="46"/>
    </row>
    <row r="130" spans="5:5" s="1" customFormat="1" ht="24" customHeight="1">
      <c r="E130" s="46"/>
    </row>
    <row r="131" spans="5:5" s="1" customFormat="1" ht="24" customHeight="1">
      <c r="E131" s="46"/>
    </row>
    <row r="132" spans="5:5" s="1" customFormat="1" ht="24" customHeight="1">
      <c r="E132" s="46"/>
    </row>
    <row r="133" spans="5:5" s="1" customFormat="1" ht="24" customHeight="1">
      <c r="E133" s="46"/>
    </row>
    <row r="134" spans="5:5" s="1" customFormat="1" ht="24" customHeight="1">
      <c r="E134" s="46"/>
    </row>
    <row r="135" spans="5:5" s="1" customFormat="1" ht="24" customHeight="1">
      <c r="E135" s="46"/>
    </row>
    <row r="136" spans="5:5" s="1" customFormat="1" ht="24" customHeight="1">
      <c r="E136" s="46"/>
    </row>
    <row r="137" spans="5:5" s="1" customFormat="1" ht="24" customHeight="1">
      <c r="E137" s="46"/>
    </row>
    <row r="138" spans="5:5" s="1" customFormat="1" ht="24" customHeight="1">
      <c r="E138" s="46"/>
    </row>
    <row r="139" spans="5:5" s="1" customFormat="1" ht="24" customHeight="1">
      <c r="E139" s="46"/>
    </row>
    <row r="140" spans="5:5" s="1" customFormat="1" ht="24" customHeight="1">
      <c r="E140" s="46"/>
    </row>
    <row r="141" spans="5:5" s="1" customFormat="1" ht="24" customHeight="1">
      <c r="E141" s="46"/>
    </row>
    <row r="142" spans="5:5" s="1" customFormat="1" ht="24" customHeight="1">
      <c r="E142" s="46"/>
    </row>
    <row r="143" spans="5:5" s="1" customFormat="1" ht="24" customHeight="1">
      <c r="E143" s="46"/>
    </row>
    <row r="144" spans="5:5" s="1" customFormat="1" ht="24" customHeight="1">
      <c r="E144" s="46"/>
    </row>
    <row r="145" spans="5:5" s="1" customFormat="1" ht="24" customHeight="1">
      <c r="E145" s="46"/>
    </row>
    <row r="146" spans="5:5" s="1" customFormat="1" ht="24" customHeight="1">
      <c r="E146" s="46"/>
    </row>
    <row r="147" spans="5:5" s="1" customFormat="1" ht="24" customHeight="1">
      <c r="E147" s="46"/>
    </row>
    <row r="148" spans="5:5" s="1" customFormat="1" ht="24" customHeight="1">
      <c r="E148" s="46"/>
    </row>
    <row r="149" spans="5:5" s="1" customFormat="1" ht="24" customHeight="1">
      <c r="E149" s="46"/>
    </row>
    <row r="150" spans="5:5" s="1" customFormat="1" ht="24" customHeight="1">
      <c r="E150" s="46"/>
    </row>
    <row r="151" spans="5:5" s="1" customFormat="1" ht="24" customHeight="1">
      <c r="E151" s="46"/>
    </row>
    <row r="152" spans="5:5" s="1" customFormat="1" ht="24" customHeight="1">
      <c r="E152" s="46"/>
    </row>
    <row r="153" spans="5:5" s="1" customFormat="1" ht="24" customHeight="1">
      <c r="E153" s="46"/>
    </row>
    <row r="154" spans="5:5" s="1" customFormat="1" ht="24" customHeight="1">
      <c r="E154" s="46"/>
    </row>
    <row r="155" spans="5:5" s="1" customFormat="1" ht="24" customHeight="1">
      <c r="E155" s="46"/>
    </row>
    <row r="156" spans="5:5" s="1" customFormat="1" ht="24" customHeight="1">
      <c r="E156" s="46"/>
    </row>
    <row r="157" spans="5:5" s="1" customFormat="1" ht="24" customHeight="1">
      <c r="E157" s="46"/>
    </row>
    <row r="158" spans="5:5" s="1" customFormat="1" ht="24" customHeight="1">
      <c r="E158" s="46"/>
    </row>
    <row r="159" spans="5:5" s="1" customFormat="1" ht="24" customHeight="1">
      <c r="E159" s="46"/>
    </row>
    <row r="160" spans="5:5" s="1" customFormat="1" ht="24" customHeight="1">
      <c r="E160" s="46"/>
    </row>
    <row r="161" spans="5:5" s="1" customFormat="1" ht="24" customHeight="1">
      <c r="E161" s="46"/>
    </row>
    <row r="162" spans="5:5" s="1" customFormat="1" ht="24" customHeight="1">
      <c r="E162" s="46"/>
    </row>
    <row r="163" spans="5:5" s="1" customFormat="1" ht="24" customHeight="1">
      <c r="E163" s="46"/>
    </row>
    <row r="164" spans="5:5" s="1" customFormat="1" ht="24" customHeight="1">
      <c r="E164" s="46"/>
    </row>
    <row r="165" spans="5:5" s="1" customFormat="1" ht="24" customHeight="1">
      <c r="E165" s="46"/>
    </row>
    <row r="166" spans="5:5" s="1" customFormat="1" ht="24" customHeight="1">
      <c r="E166" s="46"/>
    </row>
    <row r="167" spans="5:5" s="1" customFormat="1" ht="24" customHeight="1">
      <c r="E167" s="46"/>
    </row>
    <row r="168" spans="5:5" s="1" customFormat="1" ht="24" customHeight="1">
      <c r="E168" s="46"/>
    </row>
    <row r="169" spans="5:5" s="1" customFormat="1" ht="24" customHeight="1">
      <c r="E169" s="46"/>
    </row>
    <row r="170" spans="5:5" s="1" customFormat="1" ht="24" customHeight="1">
      <c r="E170" s="46"/>
    </row>
    <row r="171" spans="5:5" s="1" customFormat="1" ht="24" customHeight="1">
      <c r="E171" s="46"/>
    </row>
    <row r="172" spans="5:5" s="1" customFormat="1" ht="24" customHeight="1">
      <c r="E172" s="46"/>
    </row>
    <row r="173" spans="5:5" s="1" customFormat="1" ht="24" customHeight="1">
      <c r="E173" s="46"/>
    </row>
    <row r="174" spans="5:5" s="1" customFormat="1" ht="24" customHeight="1">
      <c r="E174" s="46"/>
    </row>
    <row r="175" spans="5:5" s="1" customFormat="1" ht="24" customHeight="1">
      <c r="E175" s="46"/>
    </row>
    <row r="176" spans="5:5" s="1" customFormat="1" ht="24" customHeight="1">
      <c r="E176" s="46"/>
    </row>
    <row r="177" spans="5:5" s="1" customFormat="1" ht="24" customHeight="1">
      <c r="E177" s="46"/>
    </row>
    <row r="178" spans="5:5" s="1" customFormat="1" ht="24" customHeight="1">
      <c r="E178" s="46"/>
    </row>
    <row r="179" spans="5:5" s="1" customFormat="1" ht="24" customHeight="1">
      <c r="E179" s="46"/>
    </row>
    <row r="180" spans="5:5" s="1" customFormat="1" ht="24" customHeight="1">
      <c r="E180" s="46"/>
    </row>
    <row r="181" spans="5:5" s="1" customFormat="1" ht="24" customHeight="1">
      <c r="E181" s="46"/>
    </row>
    <row r="182" spans="5:5" s="1" customFormat="1" ht="24" customHeight="1">
      <c r="E182" s="46"/>
    </row>
    <row r="183" spans="5:5" s="1" customFormat="1" ht="24" customHeight="1">
      <c r="E183" s="46"/>
    </row>
    <row r="184" spans="5:5" s="1" customFormat="1" ht="24" customHeight="1">
      <c r="E184" s="46"/>
    </row>
    <row r="185" spans="5:5" s="1" customFormat="1" ht="24" customHeight="1">
      <c r="E185" s="46"/>
    </row>
    <row r="186" spans="5:5" s="1" customFormat="1" ht="24" customHeight="1">
      <c r="E186" s="46"/>
    </row>
    <row r="187" spans="5:5" s="1" customFormat="1" ht="24" customHeight="1">
      <c r="E187" s="46"/>
    </row>
    <row r="188" spans="5:5" s="1" customFormat="1" ht="24" customHeight="1">
      <c r="E188" s="46"/>
    </row>
    <row r="189" spans="5:5" s="1" customFormat="1" ht="24" customHeight="1">
      <c r="E189" s="46"/>
    </row>
    <row r="190" spans="5:5" s="1" customFormat="1" ht="24" customHeight="1">
      <c r="E190" s="46"/>
    </row>
    <row r="191" spans="5:5" s="1" customFormat="1" ht="24" customHeight="1">
      <c r="E191" s="46"/>
    </row>
    <row r="192" spans="5:5" s="1" customFormat="1" ht="24" customHeight="1">
      <c r="E192" s="46"/>
    </row>
    <row r="193" spans="5:5" s="1" customFormat="1" ht="24" customHeight="1">
      <c r="E193" s="46"/>
    </row>
    <row r="194" spans="5:5" s="1" customFormat="1" ht="24" customHeight="1">
      <c r="E194" s="46"/>
    </row>
    <row r="195" spans="5:5" s="1" customFormat="1" ht="24" customHeight="1">
      <c r="E195" s="46"/>
    </row>
    <row r="196" spans="5:5" s="1" customFormat="1" ht="24" customHeight="1">
      <c r="E196" s="46"/>
    </row>
    <row r="197" spans="5:5" s="1" customFormat="1" ht="24" customHeight="1">
      <c r="E197" s="46"/>
    </row>
    <row r="198" spans="5:5" s="1" customFormat="1" ht="24" customHeight="1">
      <c r="E198" s="46"/>
    </row>
    <row r="199" spans="5:5" s="1" customFormat="1" ht="24" customHeight="1">
      <c r="E199" s="46"/>
    </row>
    <row r="200" spans="5:5" s="1" customFormat="1" ht="24" customHeight="1">
      <c r="E200" s="46"/>
    </row>
    <row r="201" spans="5:5" s="1" customFormat="1" ht="24" customHeight="1">
      <c r="E201" s="46"/>
    </row>
    <row r="202" spans="5:5" s="1" customFormat="1" ht="24" customHeight="1">
      <c r="E202" s="46"/>
    </row>
    <row r="203" spans="5:5" s="1" customFormat="1" ht="24" customHeight="1">
      <c r="E203" s="46"/>
    </row>
    <row r="204" spans="5:5" s="1" customFormat="1" ht="24" customHeight="1">
      <c r="E204" s="46"/>
    </row>
    <row r="205" spans="5:5" s="1" customFormat="1" ht="24" customHeight="1">
      <c r="E205" s="46"/>
    </row>
    <row r="206" spans="5:5" s="1" customFormat="1" ht="24" customHeight="1">
      <c r="E206" s="46"/>
    </row>
    <row r="207" spans="5:5" s="1" customFormat="1" ht="24" customHeight="1">
      <c r="E207" s="46"/>
    </row>
    <row r="208" spans="5:5" s="1" customFormat="1" ht="24" customHeight="1">
      <c r="E208" s="46"/>
    </row>
    <row r="209" spans="5:5" s="1" customFormat="1" ht="24" customHeight="1">
      <c r="E209" s="46"/>
    </row>
    <row r="210" spans="5:5" s="1" customFormat="1" ht="24" customHeight="1">
      <c r="E210" s="46"/>
    </row>
    <row r="211" spans="5:5" s="1" customFormat="1" ht="24" customHeight="1">
      <c r="E211" s="46"/>
    </row>
    <row r="212" spans="5:5" s="1" customFormat="1" ht="24" customHeight="1">
      <c r="E212" s="46"/>
    </row>
    <row r="213" spans="5:5" s="1" customFormat="1" ht="24" customHeight="1">
      <c r="E213" s="46"/>
    </row>
    <row r="214" spans="5:5" s="1" customFormat="1" ht="24" customHeight="1">
      <c r="E214" s="46"/>
    </row>
    <row r="215" spans="5:5" s="1" customFormat="1" ht="24" customHeight="1">
      <c r="E215" s="46"/>
    </row>
    <row r="216" spans="5:5" s="1" customFormat="1" ht="24" customHeight="1">
      <c r="E216" s="46"/>
    </row>
    <row r="217" spans="5:5" s="1" customFormat="1" ht="24" customHeight="1">
      <c r="E217" s="46"/>
    </row>
    <row r="218" spans="5:5" s="1" customFormat="1" ht="24" customHeight="1">
      <c r="E218" s="46"/>
    </row>
    <row r="219" spans="5:5" s="1" customFormat="1" ht="24" customHeight="1">
      <c r="E219" s="46"/>
    </row>
    <row r="220" spans="5:5" s="1" customFormat="1" ht="24" customHeight="1">
      <c r="E220" s="46"/>
    </row>
    <row r="221" spans="5:5" s="1" customFormat="1" ht="24" customHeight="1">
      <c r="E221" s="46"/>
    </row>
    <row r="222" spans="5:5" s="1" customFormat="1" ht="24" customHeight="1">
      <c r="E222" s="46"/>
    </row>
    <row r="223" spans="5:5" s="1" customFormat="1" ht="24" customHeight="1">
      <c r="E223" s="46"/>
    </row>
    <row r="224" spans="5:5" s="1" customFormat="1" ht="24" customHeight="1">
      <c r="E224" s="46"/>
    </row>
    <row r="225" spans="5:5" s="1" customFormat="1" ht="24" customHeight="1">
      <c r="E225" s="46"/>
    </row>
    <row r="226" spans="5:5" s="1" customFormat="1" ht="24" customHeight="1">
      <c r="E226" s="46"/>
    </row>
    <row r="227" spans="5:5" s="1" customFormat="1" ht="24" customHeight="1">
      <c r="E227" s="46"/>
    </row>
    <row r="228" spans="5:5" s="1" customFormat="1" ht="24" customHeight="1">
      <c r="E228" s="46"/>
    </row>
    <row r="229" spans="5:5" s="1" customFormat="1" ht="24" customHeight="1">
      <c r="E229" s="46"/>
    </row>
    <row r="230" spans="5:5" s="1" customFormat="1" ht="24" customHeight="1">
      <c r="E230" s="46"/>
    </row>
    <row r="231" spans="5:5" s="1" customFormat="1" ht="24" customHeight="1">
      <c r="E231" s="46"/>
    </row>
    <row r="232" spans="5:5" s="1" customFormat="1" ht="24" customHeight="1">
      <c r="E232" s="46"/>
    </row>
    <row r="233" spans="5:5" s="1" customFormat="1" ht="24" customHeight="1">
      <c r="E233" s="46"/>
    </row>
    <row r="234" spans="5:5" s="1" customFormat="1" ht="24" customHeight="1">
      <c r="E234" s="46"/>
    </row>
    <row r="235" spans="5:5" s="1" customFormat="1" ht="24" customHeight="1">
      <c r="E235" s="46"/>
    </row>
    <row r="236" spans="5:5" s="1" customFormat="1" ht="24" customHeight="1">
      <c r="E236" s="46"/>
    </row>
    <row r="237" spans="5:5" s="1" customFormat="1" ht="24" customHeight="1">
      <c r="E237" s="46"/>
    </row>
    <row r="238" spans="5:5" s="1" customFormat="1" ht="24" customHeight="1">
      <c r="E238" s="46"/>
    </row>
    <row r="239" spans="5:5" s="1" customFormat="1" ht="24" customHeight="1">
      <c r="E239" s="46"/>
    </row>
    <row r="240" spans="5:5" s="1" customFormat="1" ht="24" customHeight="1">
      <c r="E240" s="46"/>
    </row>
    <row r="241" spans="5:5" s="1" customFormat="1" ht="24" customHeight="1">
      <c r="E241" s="46"/>
    </row>
    <row r="242" spans="5:5" s="1" customFormat="1" ht="24" customHeight="1">
      <c r="E242" s="46"/>
    </row>
    <row r="243" spans="5:5" s="1" customFormat="1" ht="24" customHeight="1">
      <c r="E243" s="46"/>
    </row>
    <row r="244" spans="5:5" s="1" customFormat="1" ht="24" customHeight="1">
      <c r="E244" s="46"/>
    </row>
    <row r="245" spans="5:5" s="1" customFormat="1" ht="24" customHeight="1">
      <c r="E245" s="46"/>
    </row>
    <row r="246" spans="5:5" s="1" customFormat="1" ht="24" customHeight="1">
      <c r="E246" s="46"/>
    </row>
    <row r="247" spans="5:5" s="1" customFormat="1" ht="24" customHeight="1">
      <c r="E247" s="46"/>
    </row>
    <row r="248" spans="5:5" s="1" customFormat="1" ht="24" customHeight="1">
      <c r="E248" s="46"/>
    </row>
    <row r="249" spans="5:5" s="1" customFormat="1" ht="24" customHeight="1">
      <c r="E249" s="46"/>
    </row>
    <row r="250" spans="5:5" s="1" customFormat="1" ht="24" customHeight="1">
      <c r="E250" s="46"/>
    </row>
    <row r="251" spans="5:5" s="1" customFormat="1" ht="24" customHeight="1">
      <c r="E251" s="46"/>
    </row>
    <row r="252" spans="5:5" s="1" customFormat="1" ht="24" customHeight="1">
      <c r="E252" s="46"/>
    </row>
    <row r="253" spans="5:5" s="1" customFormat="1" ht="24" customHeight="1">
      <c r="E253" s="46"/>
    </row>
    <row r="254" spans="5:5" s="1" customFormat="1" ht="24" customHeight="1">
      <c r="E254" s="46"/>
    </row>
    <row r="255" spans="5:5" s="1" customFormat="1" ht="24" customHeight="1">
      <c r="E255" s="46"/>
    </row>
    <row r="256" spans="5:5" s="1" customFormat="1" ht="24" customHeight="1">
      <c r="E256" s="46"/>
    </row>
    <row r="257" spans="5:5" s="1" customFormat="1" ht="24" customHeight="1">
      <c r="E257" s="46"/>
    </row>
    <row r="258" spans="5:5" s="1" customFormat="1" ht="24" customHeight="1">
      <c r="E258" s="46"/>
    </row>
    <row r="259" spans="5:5" s="1" customFormat="1" ht="24" customHeight="1">
      <c r="E259" s="46"/>
    </row>
    <row r="260" spans="5:5" s="1" customFormat="1" ht="24" customHeight="1">
      <c r="E260" s="46"/>
    </row>
    <row r="261" spans="5:5" s="1" customFormat="1" ht="24" customHeight="1">
      <c r="E261" s="46"/>
    </row>
    <row r="262" spans="5:5" s="1" customFormat="1" ht="24" customHeight="1">
      <c r="E262" s="46"/>
    </row>
    <row r="263" spans="5:5" s="1" customFormat="1" ht="24" customHeight="1">
      <c r="E263" s="46"/>
    </row>
    <row r="264" spans="5:5" s="1" customFormat="1" ht="24" customHeight="1">
      <c r="E264" s="46"/>
    </row>
    <row r="265" spans="5:5" s="1" customFormat="1" ht="24" customHeight="1">
      <c r="E265" s="46"/>
    </row>
    <row r="266" spans="5:5" s="1" customFormat="1" ht="24" customHeight="1">
      <c r="E266" s="46"/>
    </row>
    <row r="267" spans="5:5" s="1" customFormat="1" ht="24" customHeight="1">
      <c r="E267" s="46"/>
    </row>
    <row r="268" spans="5:5" s="1" customFormat="1" ht="24" customHeight="1">
      <c r="E268" s="46"/>
    </row>
    <row r="269" spans="5:5" s="1" customFormat="1" ht="24" customHeight="1">
      <c r="E269" s="46"/>
    </row>
    <row r="270" spans="5:5" s="1" customFormat="1" ht="24" customHeight="1">
      <c r="E270" s="46"/>
    </row>
    <row r="271" spans="5:5" s="1" customFormat="1" ht="24" customHeight="1">
      <c r="E271" s="46"/>
    </row>
    <row r="272" spans="5:5" s="1" customFormat="1" ht="24" customHeight="1">
      <c r="E272" s="46"/>
    </row>
    <row r="273" spans="5:5" s="1" customFormat="1" ht="24" customHeight="1">
      <c r="E273" s="46"/>
    </row>
    <row r="274" spans="5:5" s="1" customFormat="1" ht="24" customHeight="1">
      <c r="E274" s="46"/>
    </row>
    <row r="275" spans="5:5" s="1" customFormat="1" ht="24" customHeight="1">
      <c r="E275" s="46"/>
    </row>
    <row r="276" spans="5:5" s="1" customFormat="1" ht="24" customHeight="1">
      <c r="E276" s="46"/>
    </row>
    <row r="277" spans="5:5" s="1" customFormat="1" ht="24" customHeight="1">
      <c r="E277" s="46"/>
    </row>
    <row r="278" spans="5:5" s="1" customFormat="1" ht="24" customHeight="1">
      <c r="E278" s="46"/>
    </row>
    <row r="279" spans="5:5" s="1" customFormat="1" ht="24" customHeight="1">
      <c r="E279" s="46"/>
    </row>
    <row r="280" spans="5:5" s="1" customFormat="1" ht="24" customHeight="1">
      <c r="E280" s="46"/>
    </row>
    <row r="281" spans="5:5" s="1" customFormat="1" ht="24" customHeight="1">
      <c r="E281" s="46"/>
    </row>
    <row r="282" spans="5:5" s="1" customFormat="1" ht="24" customHeight="1">
      <c r="E282" s="46"/>
    </row>
    <row r="283" spans="5:5" s="1" customFormat="1" ht="24" customHeight="1">
      <c r="E283" s="46"/>
    </row>
    <row r="284" spans="5:5" s="1" customFormat="1" ht="24" customHeight="1">
      <c r="E284" s="46"/>
    </row>
    <row r="285" spans="5:5" s="1" customFormat="1" ht="24" customHeight="1">
      <c r="E285" s="46"/>
    </row>
    <row r="286" spans="5:5" s="1" customFormat="1" ht="24" customHeight="1">
      <c r="E286" s="46"/>
    </row>
    <row r="287" spans="5:5" s="1" customFormat="1" ht="24" customHeight="1">
      <c r="E287" s="46"/>
    </row>
    <row r="288" spans="5:5" s="1" customFormat="1" ht="24" customHeight="1">
      <c r="E288" s="46"/>
    </row>
    <row r="289" spans="5:5" s="1" customFormat="1" ht="24" customHeight="1">
      <c r="E289" s="46"/>
    </row>
    <row r="290" spans="5:5" s="1" customFormat="1" ht="24" customHeight="1">
      <c r="E290" s="46"/>
    </row>
    <row r="291" spans="5:5" s="1" customFormat="1" ht="24" customHeight="1">
      <c r="E291" s="46"/>
    </row>
    <row r="292" spans="5:5" s="1" customFormat="1" ht="24" customHeight="1">
      <c r="E292" s="46"/>
    </row>
    <row r="293" spans="5:5" s="1" customFormat="1" ht="24" customHeight="1">
      <c r="E293" s="46"/>
    </row>
    <row r="294" spans="5:5" s="1" customFormat="1" ht="24" customHeight="1">
      <c r="E294" s="46"/>
    </row>
    <row r="295" spans="5:5" s="1" customFormat="1" ht="24" customHeight="1">
      <c r="E295" s="46"/>
    </row>
    <row r="296" spans="5:5" s="1" customFormat="1" ht="24" customHeight="1">
      <c r="E296" s="46"/>
    </row>
    <row r="297" spans="5:5" s="1" customFormat="1" ht="24" customHeight="1">
      <c r="E297" s="46"/>
    </row>
    <row r="298" spans="5:5" s="1" customFormat="1" ht="24" customHeight="1">
      <c r="E298" s="46"/>
    </row>
    <row r="299" spans="5:5" s="1" customFormat="1" ht="24" customHeight="1">
      <c r="E299" s="46"/>
    </row>
    <row r="300" spans="5:5" s="1" customFormat="1" ht="24" customHeight="1">
      <c r="E300" s="46"/>
    </row>
    <row r="301" spans="5:5" s="1" customFormat="1" ht="24" customHeight="1">
      <c r="E301" s="46"/>
    </row>
    <row r="302" spans="5:5" s="1" customFormat="1" ht="24" customHeight="1">
      <c r="E302" s="46"/>
    </row>
    <row r="303" spans="5:5" s="1" customFormat="1" ht="24" customHeight="1">
      <c r="E303" s="46"/>
    </row>
    <row r="304" spans="5:5" s="1" customFormat="1" ht="24" customHeight="1">
      <c r="E304" s="46"/>
    </row>
    <row r="305" spans="5:5" s="1" customFormat="1" ht="24" customHeight="1">
      <c r="E305" s="46"/>
    </row>
    <row r="306" spans="5:5" s="1" customFormat="1" ht="24" customHeight="1">
      <c r="E306" s="46"/>
    </row>
    <row r="307" spans="5:5" s="1" customFormat="1" ht="24" customHeight="1">
      <c r="E307" s="46"/>
    </row>
    <row r="308" spans="5:5" s="1" customFormat="1" ht="24" customHeight="1">
      <c r="E308" s="46"/>
    </row>
    <row r="309" spans="5:5" s="1" customFormat="1" ht="24" customHeight="1">
      <c r="E309" s="46"/>
    </row>
    <row r="310" spans="5:5" s="1" customFormat="1" ht="24" customHeight="1">
      <c r="E310" s="46"/>
    </row>
    <row r="311" spans="5:5" s="1" customFormat="1" ht="24" customHeight="1">
      <c r="E311" s="46"/>
    </row>
    <row r="312" spans="5:5" s="1" customFormat="1" ht="24" customHeight="1">
      <c r="E312" s="46"/>
    </row>
    <row r="313" spans="5:5" s="1" customFormat="1" ht="24" customHeight="1">
      <c r="E313" s="46"/>
    </row>
    <row r="314" spans="5:5" s="1" customFormat="1" ht="24" customHeight="1">
      <c r="E314" s="46"/>
    </row>
    <row r="315" spans="5:5" s="1" customFormat="1" ht="24" customHeight="1">
      <c r="E315" s="46"/>
    </row>
    <row r="316" spans="5:5" s="1" customFormat="1" ht="24" customHeight="1">
      <c r="E316" s="46"/>
    </row>
    <row r="317" spans="5:5" s="1" customFormat="1" ht="24" customHeight="1">
      <c r="E317" s="46"/>
    </row>
    <row r="318" spans="5:5" s="1" customFormat="1" ht="24" customHeight="1">
      <c r="E318" s="46"/>
    </row>
    <row r="319" spans="5:5" s="1" customFormat="1" ht="24" customHeight="1">
      <c r="E319" s="46"/>
    </row>
    <row r="320" spans="5:5" s="1" customFormat="1" ht="24" customHeight="1">
      <c r="E320" s="46"/>
    </row>
    <row r="321" spans="5:5" s="1" customFormat="1" ht="24" customHeight="1">
      <c r="E321" s="46"/>
    </row>
    <row r="322" spans="5:5" s="1" customFormat="1" ht="24" customHeight="1">
      <c r="E322" s="46"/>
    </row>
    <row r="323" spans="5:5" s="1" customFormat="1" ht="24" customHeight="1">
      <c r="E323" s="46"/>
    </row>
    <row r="324" spans="5:5" s="1" customFormat="1" ht="24" customHeight="1">
      <c r="E324" s="46"/>
    </row>
    <row r="325" spans="5:5" s="1" customFormat="1" ht="24" customHeight="1">
      <c r="E325" s="46"/>
    </row>
    <row r="326" spans="5:5" s="1" customFormat="1" ht="24" customHeight="1">
      <c r="E326" s="46"/>
    </row>
    <row r="327" spans="5:5" s="1" customFormat="1" ht="24" customHeight="1">
      <c r="E327" s="46"/>
    </row>
    <row r="328" spans="5:5" s="1" customFormat="1" ht="24" customHeight="1">
      <c r="E328" s="46"/>
    </row>
    <row r="329" spans="5:5" s="1" customFormat="1" ht="24" customHeight="1">
      <c r="E329" s="46"/>
    </row>
    <row r="330" spans="5:5" s="1" customFormat="1" ht="24" customHeight="1">
      <c r="E330" s="46"/>
    </row>
    <row r="331" spans="5:5" s="1" customFormat="1" ht="24" customHeight="1">
      <c r="E331" s="46"/>
    </row>
    <row r="332" spans="5:5" s="1" customFormat="1" ht="24" customHeight="1">
      <c r="E332" s="46"/>
    </row>
    <row r="333" spans="5:5" s="1" customFormat="1" ht="24" customHeight="1">
      <c r="E333" s="46"/>
    </row>
    <row r="334" spans="5:5" s="1" customFormat="1" ht="24" customHeight="1">
      <c r="E334" s="46"/>
    </row>
    <row r="335" spans="5:5" s="1" customFormat="1" ht="24" customHeight="1">
      <c r="E335" s="46"/>
    </row>
    <row r="336" spans="5:5" s="1" customFormat="1" ht="24" customHeight="1">
      <c r="E336" s="46"/>
    </row>
    <row r="337" spans="5:5" s="1" customFormat="1" ht="24" customHeight="1">
      <c r="E337" s="46"/>
    </row>
    <row r="338" spans="5:5" s="1" customFormat="1" ht="24" customHeight="1">
      <c r="E338" s="46"/>
    </row>
    <row r="339" spans="5:5" s="1" customFormat="1" ht="24" customHeight="1">
      <c r="E339" s="46"/>
    </row>
    <row r="340" spans="5:5" s="1" customFormat="1" ht="24" customHeight="1">
      <c r="E340" s="46"/>
    </row>
    <row r="341" spans="5:5" s="1" customFormat="1" ht="24" customHeight="1">
      <c r="E341" s="46"/>
    </row>
    <row r="342" spans="5:5" s="1" customFormat="1" ht="24" customHeight="1">
      <c r="E342" s="46"/>
    </row>
    <row r="343" spans="5:5" s="1" customFormat="1" ht="24" customHeight="1">
      <c r="E343" s="46"/>
    </row>
    <row r="344" spans="5:5" s="1" customFormat="1" ht="24" customHeight="1">
      <c r="E344" s="46"/>
    </row>
    <row r="345" spans="5:5" s="1" customFormat="1" ht="24" customHeight="1">
      <c r="E345" s="46"/>
    </row>
    <row r="346" spans="5:5" s="1" customFormat="1" ht="24" customHeight="1">
      <c r="E346" s="46"/>
    </row>
    <row r="347" spans="5:5" s="1" customFormat="1" ht="24" customHeight="1">
      <c r="E347" s="46"/>
    </row>
    <row r="348" spans="5:5" s="1" customFormat="1" ht="24" customHeight="1">
      <c r="E348" s="46"/>
    </row>
    <row r="349" spans="5:5" s="1" customFormat="1" ht="24" customHeight="1">
      <c r="E349" s="46"/>
    </row>
    <row r="350" spans="5:5" s="1" customFormat="1" ht="24" customHeight="1">
      <c r="E350" s="46"/>
    </row>
    <row r="351" spans="5:5" s="1" customFormat="1" ht="24" customHeight="1">
      <c r="E351" s="46"/>
    </row>
    <row r="352" spans="5:5" s="1" customFormat="1" ht="24" customHeight="1">
      <c r="E352" s="46"/>
    </row>
    <row r="353" spans="5:5" s="1" customFormat="1" ht="24" customHeight="1">
      <c r="E353" s="46"/>
    </row>
    <row r="354" spans="5:5" s="1" customFormat="1" ht="24" customHeight="1">
      <c r="E354" s="46"/>
    </row>
    <row r="355" spans="5:5" s="1" customFormat="1" ht="24" customHeight="1">
      <c r="E355" s="46"/>
    </row>
    <row r="356" spans="5:5" s="1" customFormat="1" ht="24" customHeight="1">
      <c r="E356" s="46"/>
    </row>
    <row r="357" spans="5:5" s="1" customFormat="1" ht="24" customHeight="1">
      <c r="E357" s="46"/>
    </row>
    <row r="358" spans="5:5" s="1" customFormat="1" ht="24" customHeight="1">
      <c r="E358" s="46"/>
    </row>
    <row r="359" spans="5:5" s="1" customFormat="1" ht="24" customHeight="1">
      <c r="E359" s="46"/>
    </row>
    <row r="360" spans="5:5" s="1" customFormat="1" ht="24" customHeight="1">
      <c r="E360" s="46"/>
    </row>
    <row r="361" spans="5:5" s="1" customFormat="1" ht="24" customHeight="1">
      <c r="E361" s="46"/>
    </row>
    <row r="362" spans="5:5" s="1" customFormat="1" ht="24" customHeight="1">
      <c r="E362" s="46"/>
    </row>
    <row r="363" spans="5:5" s="1" customFormat="1" ht="24" customHeight="1">
      <c r="E363" s="46"/>
    </row>
    <row r="364" spans="5:5" s="1" customFormat="1" ht="24" customHeight="1">
      <c r="E364" s="46"/>
    </row>
    <row r="365" spans="5:5" s="1" customFormat="1" ht="24" customHeight="1">
      <c r="E365" s="46"/>
    </row>
    <row r="366" spans="5:5" s="1" customFormat="1" ht="24" customHeight="1">
      <c r="E366" s="46"/>
    </row>
    <row r="367" spans="5:5" s="1" customFormat="1" ht="24" customHeight="1">
      <c r="E367" s="46"/>
    </row>
    <row r="368" spans="5:5" s="1" customFormat="1" ht="24" customHeight="1">
      <c r="E368" s="46"/>
    </row>
    <row r="369" spans="5:5" s="1" customFormat="1" ht="24" customHeight="1">
      <c r="E369" s="46"/>
    </row>
    <row r="370" spans="5:5" s="1" customFormat="1" ht="24" customHeight="1">
      <c r="E370" s="46"/>
    </row>
    <row r="371" spans="5:5" s="1" customFormat="1" ht="24" customHeight="1">
      <c r="E371" s="46"/>
    </row>
    <row r="372" spans="5:5" s="1" customFormat="1" ht="24" customHeight="1">
      <c r="E372" s="46"/>
    </row>
    <row r="373" spans="5:5" s="1" customFormat="1" ht="24" customHeight="1">
      <c r="E373" s="46"/>
    </row>
    <row r="374" spans="5:5" s="1" customFormat="1" ht="24" customHeight="1">
      <c r="E374" s="46"/>
    </row>
    <row r="375" spans="5:5" s="1" customFormat="1" ht="24" customHeight="1">
      <c r="E375" s="46"/>
    </row>
    <row r="376" spans="5:5" s="1" customFormat="1" ht="24" customHeight="1">
      <c r="E376" s="46"/>
    </row>
    <row r="377" spans="5:5" s="1" customFormat="1" ht="24" customHeight="1">
      <c r="E377" s="46"/>
    </row>
    <row r="378" spans="5:5" s="1" customFormat="1" ht="24" customHeight="1">
      <c r="E378" s="46"/>
    </row>
    <row r="379" spans="5:5" s="1" customFormat="1" ht="24" customHeight="1">
      <c r="E379" s="46"/>
    </row>
    <row r="380" spans="5:5" s="1" customFormat="1" ht="24" customHeight="1">
      <c r="E380" s="46"/>
    </row>
    <row r="381" spans="5:5" s="1" customFormat="1" ht="24" customHeight="1">
      <c r="E381" s="46"/>
    </row>
    <row r="382" spans="5:5" s="1" customFormat="1" ht="24" customHeight="1">
      <c r="E382" s="46"/>
    </row>
    <row r="383" spans="5:5" s="1" customFormat="1" ht="24" customHeight="1">
      <c r="E383" s="46"/>
    </row>
    <row r="384" spans="5:5" s="1" customFormat="1" ht="24" customHeight="1">
      <c r="E384" s="46"/>
    </row>
    <row r="385" spans="5:5" s="1" customFormat="1" ht="24" customHeight="1">
      <c r="E385" s="46"/>
    </row>
    <row r="386" spans="5:5" s="1" customFormat="1" ht="24" customHeight="1">
      <c r="E386" s="46"/>
    </row>
    <row r="387" spans="5:5" s="1" customFormat="1" ht="24" customHeight="1">
      <c r="E387" s="46"/>
    </row>
    <row r="388" spans="5:5" s="1" customFormat="1" ht="24" customHeight="1">
      <c r="E388" s="46"/>
    </row>
    <row r="389" spans="5:5" s="1" customFormat="1" ht="24" customHeight="1">
      <c r="E389" s="46"/>
    </row>
    <row r="390" spans="5:5" s="1" customFormat="1" ht="24" customHeight="1">
      <c r="E390" s="46"/>
    </row>
    <row r="391" spans="5:5" s="1" customFormat="1" ht="24" customHeight="1">
      <c r="E391" s="46"/>
    </row>
    <row r="392" spans="5:5" s="1" customFormat="1" ht="24" customHeight="1">
      <c r="E392" s="46"/>
    </row>
    <row r="393" spans="5:5" s="1" customFormat="1" ht="24" customHeight="1">
      <c r="E393" s="46"/>
    </row>
    <row r="394" spans="5:5" s="1" customFormat="1" ht="24" customHeight="1">
      <c r="E394" s="46"/>
    </row>
    <row r="395" spans="5:5" s="1" customFormat="1" ht="24" customHeight="1">
      <c r="E395" s="46"/>
    </row>
    <row r="396" spans="5:5" s="1" customFormat="1" ht="24" customHeight="1">
      <c r="E396" s="46"/>
    </row>
    <row r="397" spans="5:5" s="1" customFormat="1" ht="24" customHeight="1">
      <c r="E397" s="46"/>
    </row>
    <row r="398" spans="5:5" s="1" customFormat="1" ht="24" customHeight="1">
      <c r="E398" s="46"/>
    </row>
    <row r="399" spans="5:5" s="1" customFormat="1" ht="24" customHeight="1">
      <c r="E399" s="46"/>
    </row>
    <row r="400" spans="5:5" s="1" customFormat="1" ht="24" customHeight="1">
      <c r="E400" s="46"/>
    </row>
    <row r="401" spans="5:5" s="1" customFormat="1" ht="24" customHeight="1">
      <c r="E401" s="46"/>
    </row>
    <row r="402" spans="5:5" s="1" customFormat="1" ht="24" customHeight="1">
      <c r="E402" s="46"/>
    </row>
    <row r="403" spans="5:5" s="1" customFormat="1" ht="24" customHeight="1">
      <c r="E403" s="46"/>
    </row>
    <row r="404" spans="5:5" s="1" customFormat="1" ht="24" customHeight="1">
      <c r="E404" s="46"/>
    </row>
    <row r="405" spans="5:5" s="1" customFormat="1" ht="24" customHeight="1">
      <c r="E405" s="46"/>
    </row>
    <row r="406" spans="5:5" s="1" customFormat="1" ht="24" customHeight="1">
      <c r="E406" s="46"/>
    </row>
    <row r="407" spans="5:5" s="1" customFormat="1" ht="24" customHeight="1">
      <c r="E407" s="46"/>
    </row>
    <row r="408" spans="5:5" s="1" customFormat="1" ht="24" customHeight="1">
      <c r="E408" s="46"/>
    </row>
    <row r="409" spans="5:5" s="1" customFormat="1" ht="24" customHeight="1">
      <c r="E409" s="46"/>
    </row>
    <row r="410" spans="5:5" s="1" customFormat="1" ht="24" customHeight="1">
      <c r="E410" s="46"/>
    </row>
    <row r="411" spans="5:5" s="1" customFormat="1" ht="24" customHeight="1">
      <c r="E411" s="46"/>
    </row>
    <row r="412" spans="5:5" s="1" customFormat="1" ht="24" customHeight="1">
      <c r="E412" s="46"/>
    </row>
    <row r="413" spans="5:5" s="1" customFormat="1" ht="24" customHeight="1">
      <c r="E413" s="46"/>
    </row>
    <row r="414" spans="5:5" s="1" customFormat="1" ht="24" customHeight="1">
      <c r="E414" s="46"/>
    </row>
    <row r="415" spans="5:5" s="1" customFormat="1" ht="24" customHeight="1">
      <c r="E415" s="46"/>
    </row>
    <row r="416" spans="5:5" s="1" customFormat="1" ht="24" customHeight="1">
      <c r="E416" s="46"/>
    </row>
    <row r="417" spans="5:5" s="1" customFormat="1" ht="24" customHeight="1">
      <c r="E417" s="46"/>
    </row>
    <row r="418" spans="5:5" s="1" customFormat="1" ht="24" customHeight="1">
      <c r="E418" s="46"/>
    </row>
    <row r="419" spans="5:5" s="1" customFormat="1" ht="24" customHeight="1">
      <c r="E419" s="46"/>
    </row>
    <row r="420" spans="5:5" s="1" customFormat="1" ht="24" customHeight="1">
      <c r="E420" s="46"/>
    </row>
    <row r="421" spans="5:5" s="1" customFormat="1" ht="24" customHeight="1">
      <c r="E421" s="46"/>
    </row>
    <row r="422" spans="5:5" s="1" customFormat="1" ht="24" customHeight="1">
      <c r="E422" s="46"/>
    </row>
    <row r="423" spans="5:5" s="1" customFormat="1" ht="24" customHeight="1">
      <c r="E423" s="46"/>
    </row>
    <row r="424" spans="5:5" s="1" customFormat="1" ht="24" customHeight="1">
      <c r="E424" s="46"/>
    </row>
    <row r="425" spans="5:5" s="1" customFormat="1" ht="24" customHeight="1">
      <c r="E425" s="46"/>
    </row>
    <row r="426" spans="5:5" s="1" customFormat="1" ht="24" customHeight="1">
      <c r="E426" s="46"/>
    </row>
    <row r="427" spans="5:5" s="1" customFormat="1" ht="24" customHeight="1">
      <c r="E427" s="46"/>
    </row>
    <row r="428" spans="5:5" s="1" customFormat="1" ht="24" customHeight="1">
      <c r="E428" s="46"/>
    </row>
    <row r="429" spans="5:5" s="1" customFormat="1" ht="24" customHeight="1">
      <c r="E429" s="46"/>
    </row>
    <row r="430" spans="5:5" s="1" customFormat="1" ht="24" customHeight="1">
      <c r="E430" s="46"/>
    </row>
    <row r="431" spans="5:5" s="1" customFormat="1" ht="24" customHeight="1">
      <c r="E431" s="46"/>
    </row>
    <row r="432" spans="5:5" s="1" customFormat="1" ht="24" customHeight="1">
      <c r="E432" s="46"/>
    </row>
    <row r="433" spans="5:5" s="1" customFormat="1" ht="24" customHeight="1">
      <c r="E433" s="46"/>
    </row>
    <row r="434" spans="5:5" s="1" customFormat="1" ht="24" customHeight="1">
      <c r="E434" s="46"/>
    </row>
    <row r="435" spans="5:5" s="1" customFormat="1" ht="24" customHeight="1">
      <c r="E435" s="46"/>
    </row>
    <row r="436" spans="5:5" s="1" customFormat="1" ht="24" customHeight="1">
      <c r="E436" s="46"/>
    </row>
    <row r="437" spans="5:5" s="1" customFormat="1" ht="24" customHeight="1">
      <c r="E437" s="46"/>
    </row>
    <row r="438" spans="5:5" s="1" customFormat="1" ht="24" customHeight="1">
      <c r="E438" s="46"/>
    </row>
    <row r="439" spans="5:5" s="1" customFormat="1" ht="24" customHeight="1">
      <c r="E439" s="46"/>
    </row>
    <row r="440" spans="5:5" s="1" customFormat="1" ht="24" customHeight="1">
      <c r="E440" s="46"/>
    </row>
    <row r="441" spans="5:5" s="1" customFormat="1" ht="24" customHeight="1">
      <c r="E441" s="46"/>
    </row>
    <row r="442" spans="5:5" s="1" customFormat="1" ht="24" customHeight="1">
      <c r="E442" s="46"/>
    </row>
    <row r="443" spans="5:5" s="1" customFormat="1" ht="24" customHeight="1">
      <c r="E443" s="46"/>
    </row>
    <row r="444" spans="5:5" s="1" customFormat="1" ht="24" customHeight="1">
      <c r="E444" s="46"/>
    </row>
    <row r="445" spans="5:5" s="1" customFormat="1" ht="24" customHeight="1">
      <c r="E445" s="46"/>
    </row>
    <row r="446" spans="5:5" s="1" customFormat="1" ht="24" customHeight="1">
      <c r="E446" s="46"/>
    </row>
    <row r="447" spans="5:5" s="1" customFormat="1" ht="24" customHeight="1">
      <c r="E447" s="46"/>
    </row>
    <row r="448" spans="5:5" s="1" customFormat="1" ht="24" customHeight="1">
      <c r="E448" s="46"/>
    </row>
    <row r="449" spans="5:5" s="1" customFormat="1" ht="24" customHeight="1">
      <c r="E449" s="46"/>
    </row>
    <row r="450" spans="5:5" s="1" customFormat="1" ht="24" customHeight="1">
      <c r="E450" s="46"/>
    </row>
    <row r="451" spans="5:5" s="1" customFormat="1" ht="24" customHeight="1">
      <c r="E451" s="46"/>
    </row>
    <row r="452" spans="5:5" s="1" customFormat="1" ht="24" customHeight="1">
      <c r="E452" s="46"/>
    </row>
    <row r="453" spans="5:5" s="1" customFormat="1" ht="24" customHeight="1">
      <c r="E453" s="46"/>
    </row>
    <row r="454" spans="5:5" s="1" customFormat="1" ht="24" customHeight="1">
      <c r="E454" s="46"/>
    </row>
    <row r="455" spans="5:5" s="1" customFormat="1" ht="24" customHeight="1">
      <c r="E455" s="46"/>
    </row>
    <row r="456" spans="5:5" s="1" customFormat="1" ht="24" customHeight="1">
      <c r="E456" s="46"/>
    </row>
    <row r="457" spans="5:5" s="1" customFormat="1" ht="24" customHeight="1">
      <c r="E457" s="46"/>
    </row>
    <row r="458" spans="5:5" s="1" customFormat="1" ht="24" customHeight="1">
      <c r="E458" s="46"/>
    </row>
    <row r="459" spans="5:5" s="1" customFormat="1" ht="24" customHeight="1">
      <c r="E459" s="46"/>
    </row>
    <row r="460" spans="5:5" s="1" customFormat="1" ht="24" customHeight="1">
      <c r="E460" s="46"/>
    </row>
    <row r="461" spans="5:5" s="1" customFormat="1" ht="24" customHeight="1">
      <c r="E461" s="46"/>
    </row>
    <row r="462" spans="5:5" s="1" customFormat="1" ht="24" customHeight="1">
      <c r="E462" s="46"/>
    </row>
    <row r="463" spans="5:5" s="1" customFormat="1" ht="24" customHeight="1">
      <c r="E463" s="46"/>
    </row>
    <row r="464" spans="5:5" s="1" customFormat="1" ht="24" customHeight="1">
      <c r="E464" s="46"/>
    </row>
    <row r="465" spans="5:5" s="1" customFormat="1" ht="24" customHeight="1">
      <c r="E465" s="46"/>
    </row>
    <row r="466" spans="5:5" s="1" customFormat="1" ht="24" customHeight="1">
      <c r="E466" s="46"/>
    </row>
    <row r="467" spans="5:5" s="1" customFormat="1" ht="24" customHeight="1">
      <c r="E467" s="46"/>
    </row>
    <row r="468" spans="5:5" s="1" customFormat="1" ht="24" customHeight="1">
      <c r="E468" s="46"/>
    </row>
    <row r="469" spans="5:5" s="1" customFormat="1" ht="24" customHeight="1">
      <c r="E469" s="46"/>
    </row>
    <row r="470" spans="5:5" s="1" customFormat="1" ht="24" customHeight="1">
      <c r="E470" s="46"/>
    </row>
    <row r="471" spans="5:5" s="1" customFormat="1" ht="24" customHeight="1">
      <c r="E471" s="46"/>
    </row>
    <row r="472" spans="5:5" s="1" customFormat="1" ht="24" customHeight="1">
      <c r="E472" s="46"/>
    </row>
    <row r="473" spans="5:5" s="1" customFormat="1" ht="24" customHeight="1">
      <c r="E473" s="46"/>
    </row>
    <row r="474" spans="5:5" s="1" customFormat="1" ht="24" customHeight="1">
      <c r="E474" s="46"/>
    </row>
    <row r="475" spans="5:5" s="1" customFormat="1" ht="24" customHeight="1">
      <c r="E475" s="46"/>
    </row>
    <row r="476" spans="5:5" s="1" customFormat="1" ht="24" customHeight="1">
      <c r="E476" s="46"/>
    </row>
    <row r="477" spans="5:5" s="1" customFormat="1" ht="24" customHeight="1">
      <c r="E477" s="46"/>
    </row>
    <row r="478" spans="5:5" s="1" customFormat="1" ht="24" customHeight="1">
      <c r="E478" s="46"/>
    </row>
    <row r="479" spans="5:5" s="1" customFormat="1" ht="24" customHeight="1">
      <c r="E479" s="46"/>
    </row>
    <row r="480" spans="5:5" s="1" customFormat="1" ht="24" customHeight="1">
      <c r="E480" s="46"/>
    </row>
    <row r="481" spans="5:5" s="1" customFormat="1" ht="24" customHeight="1">
      <c r="E481" s="46"/>
    </row>
    <row r="482" spans="5:5" s="1" customFormat="1" ht="24" customHeight="1">
      <c r="E482" s="46"/>
    </row>
    <row r="483" spans="5:5" s="1" customFormat="1" ht="24" customHeight="1">
      <c r="E483" s="46"/>
    </row>
    <row r="484" spans="5:5" s="1" customFormat="1" ht="24" customHeight="1">
      <c r="E484" s="46"/>
    </row>
    <row r="485" spans="5:5" s="1" customFormat="1" ht="24" customHeight="1">
      <c r="E485" s="46"/>
    </row>
    <row r="486" spans="5:5" s="1" customFormat="1" ht="24" customHeight="1">
      <c r="E486" s="46"/>
    </row>
    <row r="487" spans="5:5" s="1" customFormat="1" ht="24" customHeight="1">
      <c r="E487" s="46"/>
    </row>
    <row r="488" spans="5:5" s="1" customFormat="1" ht="24" customHeight="1">
      <c r="E488" s="46"/>
    </row>
    <row r="489" spans="5:5" s="1" customFormat="1" ht="24" customHeight="1">
      <c r="E489" s="46"/>
    </row>
    <row r="490" spans="5:5" s="1" customFormat="1" ht="24" customHeight="1">
      <c r="E490" s="46"/>
    </row>
    <row r="491" spans="5:5" s="1" customFormat="1" ht="24" customHeight="1">
      <c r="E491" s="46"/>
    </row>
    <row r="492" spans="5:5" s="1" customFormat="1" ht="24" customHeight="1">
      <c r="E492" s="46"/>
    </row>
    <row r="493" spans="5:5" s="1" customFormat="1" ht="24" customHeight="1">
      <c r="E493" s="46"/>
    </row>
    <row r="494" spans="5:5" s="1" customFormat="1" ht="24" customHeight="1">
      <c r="E494" s="46"/>
    </row>
    <row r="495" spans="5:5" s="1" customFormat="1" ht="24" customHeight="1">
      <c r="E495" s="46"/>
    </row>
    <row r="496" spans="5:5" s="1" customFormat="1" ht="24" customHeight="1">
      <c r="E496" s="46"/>
    </row>
    <row r="497" spans="5:5" s="1" customFormat="1" ht="24" customHeight="1">
      <c r="E497" s="46"/>
    </row>
    <row r="498" spans="5:5" s="1" customFormat="1" ht="24" customHeight="1">
      <c r="E498" s="46"/>
    </row>
    <row r="499" spans="5:5" s="1" customFormat="1" ht="24" customHeight="1">
      <c r="E499" s="46"/>
    </row>
    <row r="500" spans="5:5" s="1" customFormat="1" ht="24" customHeight="1">
      <c r="E500" s="46"/>
    </row>
    <row r="501" spans="5:5" s="1" customFormat="1" ht="24" customHeight="1">
      <c r="E501" s="46"/>
    </row>
    <row r="502" spans="5:5" s="1" customFormat="1" ht="24" customHeight="1">
      <c r="E502" s="46"/>
    </row>
    <row r="503" spans="5:5" s="1" customFormat="1" ht="24" customHeight="1">
      <c r="E503" s="46"/>
    </row>
    <row r="504" spans="5:5" s="1" customFormat="1" ht="24" customHeight="1">
      <c r="E504" s="46"/>
    </row>
    <row r="505" spans="5:5" s="1" customFormat="1" ht="24" customHeight="1">
      <c r="E505" s="46"/>
    </row>
    <row r="506" spans="5:5" s="1" customFormat="1" ht="24" customHeight="1">
      <c r="E506" s="46"/>
    </row>
    <row r="507" spans="5:5" s="1" customFormat="1" ht="24" customHeight="1">
      <c r="E507" s="46"/>
    </row>
    <row r="508" spans="5:5" s="1" customFormat="1" ht="24" customHeight="1">
      <c r="E508" s="46"/>
    </row>
    <row r="509" spans="5:5" s="1" customFormat="1" ht="24" customHeight="1">
      <c r="E509" s="46"/>
    </row>
    <row r="510" spans="5:5" s="1" customFormat="1" ht="24" customHeight="1">
      <c r="E510" s="46"/>
    </row>
    <row r="511" spans="5:5" s="1" customFormat="1" ht="24" customHeight="1">
      <c r="E511" s="46"/>
    </row>
    <row r="512" spans="5:5" s="1" customFormat="1" ht="24" customHeight="1">
      <c r="E512" s="46"/>
    </row>
    <row r="513" spans="5:5" s="1" customFormat="1" ht="24" customHeight="1">
      <c r="E513" s="46"/>
    </row>
    <row r="514" spans="5:5" s="1" customFormat="1" ht="24" customHeight="1">
      <c r="E514" s="46"/>
    </row>
    <row r="515" spans="5:5" s="1" customFormat="1" ht="24" customHeight="1">
      <c r="E515" s="46"/>
    </row>
    <row r="516" spans="5:5" s="1" customFormat="1" ht="24" customHeight="1">
      <c r="E516" s="46"/>
    </row>
    <row r="517" spans="5:5" s="1" customFormat="1" ht="24" customHeight="1">
      <c r="E517" s="46"/>
    </row>
    <row r="518" spans="5:5" s="1" customFormat="1" ht="24" customHeight="1">
      <c r="E518" s="46"/>
    </row>
    <row r="519" spans="5:5" s="1" customFormat="1" ht="24" customHeight="1">
      <c r="E519" s="46"/>
    </row>
    <row r="520" spans="5:5" s="1" customFormat="1" ht="24" customHeight="1">
      <c r="E520" s="46"/>
    </row>
    <row r="521" spans="5:5" s="1" customFormat="1" ht="24" customHeight="1">
      <c r="E521" s="46"/>
    </row>
    <row r="522" spans="5:5" s="1" customFormat="1" ht="24" customHeight="1">
      <c r="E522" s="46"/>
    </row>
    <row r="523" spans="5:5" s="1" customFormat="1" ht="24" customHeight="1">
      <c r="E523" s="46"/>
    </row>
    <row r="524" spans="5:5" s="1" customFormat="1" ht="24" customHeight="1">
      <c r="E524" s="46"/>
    </row>
    <row r="525" spans="5:5" s="1" customFormat="1" ht="24" customHeight="1">
      <c r="E525" s="46"/>
    </row>
    <row r="526" spans="5:5" s="1" customFormat="1" ht="24" customHeight="1">
      <c r="E526" s="46"/>
    </row>
    <row r="527" spans="5:5" s="1" customFormat="1" ht="24" customHeight="1">
      <c r="E527" s="46"/>
    </row>
    <row r="528" spans="5:5" s="1" customFormat="1" ht="24" customHeight="1">
      <c r="E528" s="46"/>
    </row>
    <row r="529" spans="5:5" s="1" customFormat="1" ht="24" customHeight="1">
      <c r="E529" s="46"/>
    </row>
    <row r="530" spans="5:5" s="1" customFormat="1" ht="24" customHeight="1">
      <c r="E530" s="46"/>
    </row>
    <row r="531" spans="5:5" s="1" customFormat="1" ht="24" customHeight="1">
      <c r="E531" s="46"/>
    </row>
    <row r="532" spans="5:5" s="1" customFormat="1" ht="24" customHeight="1">
      <c r="E532" s="46"/>
    </row>
    <row r="533" spans="5:5" s="1" customFormat="1" ht="24" customHeight="1">
      <c r="E533" s="46"/>
    </row>
    <row r="534" spans="5:5" s="1" customFormat="1" ht="24" customHeight="1">
      <c r="E534" s="46"/>
    </row>
    <row r="535" spans="5:5" s="1" customFormat="1" ht="24" customHeight="1">
      <c r="E535" s="46"/>
    </row>
    <row r="536" spans="5:5" s="1" customFormat="1" ht="24" customHeight="1">
      <c r="E536" s="46"/>
    </row>
    <row r="537" spans="5:5" s="1" customFormat="1" ht="24" customHeight="1">
      <c r="E537" s="46"/>
    </row>
    <row r="538" spans="5:5" s="1" customFormat="1" ht="24" customHeight="1">
      <c r="E538" s="46"/>
    </row>
    <row r="539" spans="5:5" s="1" customFormat="1" ht="24" customHeight="1">
      <c r="E539" s="46"/>
    </row>
    <row r="540" spans="5:5" s="1" customFormat="1" ht="24" customHeight="1">
      <c r="E540" s="46"/>
    </row>
    <row r="541" spans="5:5" s="1" customFormat="1" ht="24" customHeight="1">
      <c r="E541" s="46"/>
    </row>
    <row r="542" spans="5:5" s="1" customFormat="1" ht="24" customHeight="1">
      <c r="E542" s="46"/>
    </row>
    <row r="543" spans="5:5" s="1" customFormat="1" ht="24" customHeight="1">
      <c r="E543" s="46"/>
    </row>
    <row r="544" spans="5:5" s="1" customFormat="1" ht="24" customHeight="1">
      <c r="E544" s="46"/>
    </row>
    <row r="545" spans="5:5" s="1" customFormat="1" ht="24" customHeight="1">
      <c r="E545" s="46"/>
    </row>
    <row r="546" spans="5:5" s="1" customFormat="1" ht="24" customHeight="1">
      <c r="E546" s="46"/>
    </row>
    <row r="547" spans="5:5" s="1" customFormat="1" ht="24" customHeight="1">
      <c r="E547" s="46"/>
    </row>
    <row r="548" spans="5:5" s="1" customFormat="1" ht="24" customHeight="1">
      <c r="E548" s="46"/>
    </row>
    <row r="549" spans="5:5" s="1" customFormat="1" ht="24" customHeight="1">
      <c r="E549" s="46"/>
    </row>
    <row r="550" spans="5:5" s="1" customFormat="1" ht="24" customHeight="1">
      <c r="E550" s="46"/>
    </row>
    <row r="551" spans="5:5" s="1" customFormat="1" ht="24" customHeight="1">
      <c r="E551" s="46"/>
    </row>
    <row r="552" spans="5:5" s="1" customFormat="1" ht="24" customHeight="1">
      <c r="E552" s="46"/>
    </row>
    <row r="553" spans="5:5" s="1" customFormat="1" ht="24" customHeight="1">
      <c r="E553" s="46"/>
    </row>
    <row r="554" spans="5:5" s="1" customFormat="1" ht="24" customHeight="1">
      <c r="E554" s="46"/>
    </row>
    <row r="555" spans="5:5" s="1" customFormat="1" ht="24" customHeight="1">
      <c r="E555" s="46"/>
    </row>
    <row r="556" spans="5:5" s="1" customFormat="1" ht="24" customHeight="1">
      <c r="E556" s="46"/>
    </row>
    <row r="557" spans="5:5" s="1" customFormat="1" ht="24" customHeight="1">
      <c r="E557" s="46"/>
    </row>
    <row r="558" spans="5:5" s="1" customFormat="1" ht="24" customHeight="1">
      <c r="E558" s="46"/>
    </row>
    <row r="559" spans="5:5" s="1" customFormat="1" ht="24" customHeight="1">
      <c r="E559" s="46"/>
    </row>
    <row r="560" spans="5:5" s="1" customFormat="1" ht="24" customHeight="1">
      <c r="E560" s="46"/>
    </row>
    <row r="561" spans="5:5" s="1" customFormat="1" ht="24" customHeight="1">
      <c r="E561" s="46"/>
    </row>
    <row r="562" spans="5:5" s="1" customFormat="1" ht="24" customHeight="1">
      <c r="E562" s="46"/>
    </row>
    <row r="563" spans="5:5" s="1" customFormat="1" ht="24" customHeight="1">
      <c r="E563" s="46"/>
    </row>
    <row r="564" spans="5:5" s="1" customFormat="1" ht="24" customHeight="1">
      <c r="E564" s="46"/>
    </row>
    <row r="565" spans="5:5" s="1" customFormat="1" ht="24" customHeight="1">
      <c r="E565" s="46"/>
    </row>
    <row r="566" spans="5:5" s="1" customFormat="1" ht="24" customHeight="1">
      <c r="E566" s="46"/>
    </row>
    <row r="567" spans="5:5" s="1" customFormat="1" ht="24" customHeight="1">
      <c r="E567" s="46"/>
    </row>
    <row r="568" spans="5:5" s="1" customFormat="1" ht="24" customHeight="1">
      <c r="E568" s="46"/>
    </row>
    <row r="569" spans="5:5" s="1" customFormat="1" ht="24" customHeight="1">
      <c r="E569" s="46"/>
    </row>
    <row r="570" spans="5:5" s="1" customFormat="1" ht="24" customHeight="1">
      <c r="E570" s="46"/>
    </row>
    <row r="571" spans="5:5" s="1" customFormat="1" ht="24" customHeight="1">
      <c r="E571" s="46"/>
    </row>
    <row r="572" spans="5:5" s="1" customFormat="1" ht="24" customHeight="1">
      <c r="E572" s="46"/>
    </row>
    <row r="573" spans="5:5" s="1" customFormat="1" ht="24" customHeight="1">
      <c r="E573" s="46"/>
    </row>
    <row r="574" spans="5:5" s="1" customFormat="1" ht="24" customHeight="1">
      <c r="E574" s="46"/>
    </row>
    <row r="575" spans="5:5" s="1" customFormat="1" ht="24" customHeight="1">
      <c r="E575" s="46"/>
    </row>
    <row r="576" spans="5:5" s="1" customFormat="1" ht="24" customHeight="1">
      <c r="E576" s="46"/>
    </row>
    <row r="577" spans="5:5" s="1" customFormat="1" ht="24" customHeight="1">
      <c r="E577" s="46"/>
    </row>
    <row r="578" spans="5:5" s="1" customFormat="1" ht="24" customHeight="1">
      <c r="E578" s="46"/>
    </row>
    <row r="579" spans="5:5" s="1" customFormat="1" ht="24" customHeight="1">
      <c r="E579" s="46"/>
    </row>
    <row r="580" spans="5:5" s="1" customFormat="1" ht="24" customHeight="1">
      <c r="E580" s="46"/>
    </row>
    <row r="581" spans="5:5" s="1" customFormat="1" ht="24" customHeight="1">
      <c r="E581" s="46"/>
    </row>
    <row r="582" spans="5:5" s="1" customFormat="1" ht="24" customHeight="1">
      <c r="E582" s="46"/>
    </row>
    <row r="583" spans="5:5" s="1" customFormat="1" ht="24" customHeight="1">
      <c r="E583" s="46"/>
    </row>
    <row r="584" spans="5:5" s="1" customFormat="1" ht="24" customHeight="1">
      <c r="E584" s="46"/>
    </row>
    <row r="585" spans="5:5" s="1" customFormat="1" ht="24" customHeight="1">
      <c r="E585" s="46"/>
    </row>
    <row r="586" spans="5:5" s="1" customFormat="1" ht="24" customHeight="1">
      <c r="E586" s="46"/>
    </row>
    <row r="587" spans="5:5" s="1" customFormat="1" ht="24" customHeight="1">
      <c r="E587" s="46"/>
    </row>
    <row r="588" spans="5:5" s="1" customFormat="1" ht="24" customHeight="1">
      <c r="E588" s="46"/>
    </row>
    <row r="589" spans="5:5" s="1" customFormat="1" ht="24" customHeight="1">
      <c r="E589" s="46"/>
    </row>
    <row r="590" spans="5:5" s="1" customFormat="1" ht="24" customHeight="1">
      <c r="E590" s="46"/>
    </row>
    <row r="591" spans="5:5" s="1" customFormat="1" ht="24" customHeight="1">
      <c r="E591" s="46"/>
    </row>
    <row r="592" spans="5:5" s="1" customFormat="1" ht="24" customHeight="1">
      <c r="E592" s="46"/>
    </row>
    <row r="593" spans="5:5" s="1" customFormat="1" ht="24" customHeight="1">
      <c r="E593" s="46"/>
    </row>
    <row r="594" spans="5:5" s="1" customFormat="1" ht="24" customHeight="1">
      <c r="E594" s="46"/>
    </row>
    <row r="595" spans="5:5" s="1" customFormat="1" ht="24" customHeight="1">
      <c r="E595" s="46"/>
    </row>
    <row r="596" spans="5:5" s="1" customFormat="1" ht="24" customHeight="1">
      <c r="E596" s="46"/>
    </row>
    <row r="597" spans="5:5" s="1" customFormat="1" ht="24" customHeight="1">
      <c r="E597" s="46"/>
    </row>
    <row r="598" spans="5:5" s="1" customFormat="1" ht="24" customHeight="1">
      <c r="E598" s="46"/>
    </row>
    <row r="599" spans="5:5" s="1" customFormat="1" ht="24" customHeight="1">
      <c r="E599" s="46"/>
    </row>
    <row r="600" spans="5:5" s="1" customFormat="1" ht="24" customHeight="1">
      <c r="E600" s="46"/>
    </row>
    <row r="601" spans="5:5" s="1" customFormat="1" ht="24" customHeight="1">
      <c r="E601" s="46"/>
    </row>
    <row r="602" spans="5:5" s="1" customFormat="1" ht="24" customHeight="1">
      <c r="E602" s="46"/>
    </row>
    <row r="603" spans="5:5" s="1" customFormat="1" ht="24" customHeight="1">
      <c r="E603" s="46"/>
    </row>
    <row r="604" spans="5:5" s="1" customFormat="1" ht="24" customHeight="1">
      <c r="E604" s="46"/>
    </row>
    <row r="605" spans="5:5" s="1" customFormat="1" ht="24" customHeight="1">
      <c r="E605" s="46"/>
    </row>
    <row r="606" spans="5:5" s="1" customFormat="1" ht="24" customHeight="1">
      <c r="E606" s="46"/>
    </row>
    <row r="607" spans="5:5" s="1" customFormat="1" ht="24" customHeight="1">
      <c r="E607" s="46"/>
    </row>
    <row r="608" spans="5:5" s="1" customFormat="1" ht="24" customHeight="1">
      <c r="E608" s="46"/>
    </row>
    <row r="609" spans="5:5" s="1" customFormat="1" ht="24" customHeight="1">
      <c r="E609" s="46"/>
    </row>
    <row r="610" spans="5:5" s="1" customFormat="1" ht="24" customHeight="1">
      <c r="E610" s="46"/>
    </row>
    <row r="611" spans="5:5" s="1" customFormat="1" ht="24" customHeight="1">
      <c r="E611" s="46"/>
    </row>
    <row r="612" spans="5:5" s="1" customFormat="1" ht="24" customHeight="1">
      <c r="E612" s="46"/>
    </row>
    <row r="613" spans="5:5" s="1" customFormat="1" ht="24" customHeight="1">
      <c r="E613" s="46"/>
    </row>
    <row r="614" spans="5:5" s="1" customFormat="1" ht="24" customHeight="1">
      <c r="E614" s="46"/>
    </row>
    <row r="615" spans="5:5" s="1" customFormat="1" ht="24" customHeight="1">
      <c r="E615" s="46"/>
    </row>
    <row r="616" spans="5:5" s="1" customFormat="1" ht="24" customHeight="1">
      <c r="E616" s="46"/>
    </row>
    <row r="617" spans="5:5" s="1" customFormat="1" ht="24" customHeight="1">
      <c r="E617" s="46"/>
    </row>
    <row r="618" spans="5:5" s="1" customFormat="1" ht="24" customHeight="1">
      <c r="E618" s="46"/>
    </row>
    <row r="619" spans="5:5" s="1" customFormat="1" ht="24" customHeight="1">
      <c r="E619" s="46"/>
    </row>
    <row r="620" spans="5:5" s="1" customFormat="1" ht="24" customHeight="1">
      <c r="E620" s="46"/>
    </row>
    <row r="621" spans="5:5" s="1" customFormat="1" ht="24" customHeight="1">
      <c r="E621" s="46"/>
    </row>
    <row r="622" spans="5:5" s="1" customFormat="1" ht="24" customHeight="1">
      <c r="E622" s="46"/>
    </row>
    <row r="623" spans="5:5" s="1" customFormat="1" ht="24" customHeight="1">
      <c r="E623" s="46"/>
    </row>
    <row r="624" spans="5:5" s="1" customFormat="1" ht="24" customHeight="1">
      <c r="E624" s="46"/>
    </row>
    <row r="625" spans="5:5" s="1" customFormat="1" ht="24" customHeight="1">
      <c r="E625" s="46"/>
    </row>
    <row r="626" spans="5:5" s="1" customFormat="1" ht="24" customHeight="1">
      <c r="E626" s="46"/>
    </row>
    <row r="627" spans="5:5" s="1" customFormat="1" ht="24" customHeight="1">
      <c r="E627" s="46"/>
    </row>
    <row r="628" spans="5:5" s="1" customFormat="1" ht="24" customHeight="1">
      <c r="E628" s="46"/>
    </row>
    <row r="629" spans="5:5" s="1" customFormat="1" ht="24" customHeight="1">
      <c r="E629" s="46"/>
    </row>
    <row r="630" spans="5:5" s="1" customFormat="1" ht="24" customHeight="1">
      <c r="E630" s="46"/>
    </row>
    <row r="631" spans="5:5" s="1" customFormat="1" ht="24" customHeight="1">
      <c r="E631" s="46"/>
    </row>
    <row r="632" spans="5:5" s="1" customFormat="1" ht="24" customHeight="1">
      <c r="E632" s="46"/>
    </row>
    <row r="633" spans="5:5" s="1" customFormat="1" ht="24" customHeight="1">
      <c r="E633" s="46"/>
    </row>
    <row r="634" spans="5:5" s="1" customFormat="1" ht="24" customHeight="1">
      <c r="E634" s="46"/>
    </row>
    <row r="635" spans="5:5" s="1" customFormat="1" ht="24" customHeight="1">
      <c r="E635" s="46"/>
    </row>
    <row r="636" spans="5:5" s="1" customFormat="1" ht="24" customHeight="1">
      <c r="E636" s="46"/>
    </row>
    <row r="637" spans="5:5" s="1" customFormat="1" ht="24" customHeight="1">
      <c r="E637" s="46"/>
    </row>
    <row r="638" spans="5:5" s="1" customFormat="1" ht="24" customHeight="1">
      <c r="E638" s="46"/>
    </row>
    <row r="639" spans="5:5" s="1" customFormat="1" ht="24" customHeight="1">
      <c r="E639" s="46"/>
    </row>
    <row r="640" spans="5:5" s="1" customFormat="1" ht="24" customHeight="1">
      <c r="E640" s="46"/>
    </row>
    <row r="641" spans="5:5" s="1" customFormat="1" ht="24" customHeight="1">
      <c r="E641" s="46"/>
    </row>
    <row r="642" spans="5:5" s="1" customFormat="1" ht="24" customHeight="1">
      <c r="E642" s="46"/>
    </row>
    <row r="643" spans="5:5" s="1" customFormat="1" ht="24" customHeight="1">
      <c r="E643" s="46"/>
    </row>
    <row r="644" spans="5:5" s="1" customFormat="1" ht="24" customHeight="1">
      <c r="E644" s="46"/>
    </row>
    <row r="645" spans="5:5" s="1" customFormat="1" ht="24" customHeight="1">
      <c r="E645" s="46"/>
    </row>
    <row r="646" spans="5:5" s="1" customFormat="1" ht="24" customHeight="1">
      <c r="E646" s="46"/>
    </row>
    <row r="647" spans="5:5" s="1" customFormat="1" ht="24" customHeight="1">
      <c r="E647" s="46"/>
    </row>
    <row r="648" spans="5:5" s="1" customFormat="1" ht="24" customHeight="1">
      <c r="E648" s="46"/>
    </row>
    <row r="649" spans="5:5" s="1" customFormat="1" ht="24" customHeight="1">
      <c r="E649" s="46"/>
    </row>
    <row r="650" spans="5:5" s="1" customFormat="1" ht="24" customHeight="1">
      <c r="E650" s="46"/>
    </row>
    <row r="651" spans="5:5" s="1" customFormat="1" ht="24" customHeight="1">
      <c r="E651" s="46"/>
    </row>
    <row r="652" spans="5:5" s="1" customFormat="1" ht="24" customHeight="1">
      <c r="E652" s="46"/>
    </row>
    <row r="653" spans="5:5" s="1" customFormat="1" ht="24" customHeight="1">
      <c r="E653" s="46"/>
    </row>
    <row r="654" spans="5:5" s="1" customFormat="1" ht="24" customHeight="1">
      <c r="E654" s="46"/>
    </row>
    <row r="655" spans="5:5" s="1" customFormat="1" ht="24" customHeight="1">
      <c r="E655" s="46"/>
    </row>
    <row r="656" spans="5:5" s="1" customFormat="1" ht="24" customHeight="1">
      <c r="E656" s="46"/>
    </row>
    <row r="657" spans="5:5" s="1" customFormat="1" ht="24" customHeight="1">
      <c r="E657" s="46"/>
    </row>
    <row r="658" spans="5:5" s="1" customFormat="1" ht="24" customHeight="1">
      <c r="E658" s="46"/>
    </row>
    <row r="659" spans="5:5" s="1" customFormat="1" ht="24" customHeight="1">
      <c r="E659" s="46"/>
    </row>
    <row r="660" spans="5:5" s="1" customFormat="1" ht="24" customHeight="1">
      <c r="E660" s="46"/>
    </row>
    <row r="661" spans="5:5" s="1" customFormat="1" ht="24" customHeight="1">
      <c r="E661" s="46"/>
    </row>
    <row r="662" spans="5:5" s="1" customFormat="1" ht="24" customHeight="1">
      <c r="E662" s="46"/>
    </row>
    <row r="663" spans="5:5" s="1" customFormat="1" ht="24" customHeight="1">
      <c r="E663" s="46"/>
    </row>
    <row r="664" spans="5:5" s="1" customFormat="1" ht="24" customHeight="1">
      <c r="E664" s="46"/>
    </row>
    <row r="665" spans="5:5" s="1" customFormat="1" ht="24" customHeight="1">
      <c r="E665" s="46"/>
    </row>
    <row r="666" spans="5:5" s="1" customFormat="1" ht="24" customHeight="1">
      <c r="E666" s="46"/>
    </row>
    <row r="667" spans="5:5" s="1" customFormat="1" ht="24" customHeight="1">
      <c r="E667" s="46"/>
    </row>
    <row r="668" spans="5:5" s="1" customFormat="1" ht="24" customHeight="1">
      <c r="E668" s="46"/>
    </row>
    <row r="669" spans="5:5" s="1" customFormat="1" ht="24" customHeight="1">
      <c r="E669" s="46"/>
    </row>
    <row r="670" spans="5:5" s="1" customFormat="1" ht="24" customHeight="1">
      <c r="E670" s="46"/>
    </row>
    <row r="671" spans="5:5" s="1" customFormat="1" ht="24" customHeight="1">
      <c r="E671" s="46"/>
    </row>
    <row r="672" spans="5:5" s="1" customFormat="1" ht="24" customHeight="1">
      <c r="E672" s="46"/>
    </row>
    <row r="673" spans="5:5" s="1" customFormat="1" ht="24" customHeight="1">
      <c r="E673" s="46"/>
    </row>
    <row r="674" spans="5:5" s="1" customFormat="1" ht="24" customHeight="1">
      <c r="E674" s="46"/>
    </row>
    <row r="675" spans="5:5" s="1" customFormat="1" ht="24" customHeight="1">
      <c r="E675" s="46"/>
    </row>
    <row r="676" spans="5:5" s="1" customFormat="1" ht="24" customHeight="1">
      <c r="E676" s="46"/>
    </row>
    <row r="677" spans="5:5" s="1" customFormat="1" ht="24" customHeight="1">
      <c r="E677" s="46"/>
    </row>
    <row r="678" spans="5:5" s="1" customFormat="1" ht="24" customHeight="1">
      <c r="E678" s="46"/>
    </row>
    <row r="679" spans="5:5" s="1" customFormat="1" ht="24" customHeight="1">
      <c r="E679" s="46"/>
    </row>
    <row r="680" spans="5:5" s="1" customFormat="1" ht="24" customHeight="1">
      <c r="E680" s="46"/>
    </row>
    <row r="681" spans="5:5" s="1" customFormat="1" ht="24" customHeight="1">
      <c r="E681" s="46"/>
    </row>
    <row r="682" spans="5:5" s="1" customFormat="1" ht="24" customHeight="1">
      <c r="E682" s="46"/>
    </row>
    <row r="683" spans="5:5" s="1" customFormat="1" ht="24" customHeight="1">
      <c r="E683" s="46"/>
    </row>
    <row r="684" spans="5:5" s="1" customFormat="1" ht="24" customHeight="1">
      <c r="E684" s="46"/>
    </row>
    <row r="685" spans="5:5" s="1" customFormat="1" ht="24" customHeight="1">
      <c r="E685" s="46"/>
    </row>
    <row r="686" spans="5:5" s="1" customFormat="1" ht="24" customHeight="1">
      <c r="E686" s="46"/>
    </row>
    <row r="687" spans="5:5" s="1" customFormat="1" ht="24" customHeight="1">
      <c r="E687" s="46"/>
    </row>
    <row r="688" spans="5:5" s="1" customFormat="1" ht="24" customHeight="1">
      <c r="E688" s="46"/>
    </row>
    <row r="689" spans="5:5" s="1" customFormat="1" ht="24" customHeight="1">
      <c r="E689" s="46"/>
    </row>
    <row r="690" spans="5:5" s="1" customFormat="1" ht="24" customHeight="1">
      <c r="E690" s="46"/>
    </row>
    <row r="691" spans="5:5" s="1" customFormat="1" ht="24" customHeight="1">
      <c r="E691" s="46"/>
    </row>
    <row r="692" spans="5:5" s="1" customFormat="1" ht="24" customHeight="1">
      <c r="E692" s="46"/>
    </row>
    <row r="693" spans="5:5" s="1" customFormat="1" ht="24" customHeight="1">
      <c r="E693" s="46"/>
    </row>
    <row r="694" spans="5:5" s="1" customFormat="1" ht="24" customHeight="1">
      <c r="E694" s="46"/>
    </row>
    <row r="695" spans="5:5" s="1" customFormat="1" ht="24" customHeight="1">
      <c r="E695" s="46"/>
    </row>
    <row r="696" spans="5:5" s="1" customFormat="1" ht="24" customHeight="1">
      <c r="E696" s="46"/>
    </row>
    <row r="697" spans="5:5" s="1" customFormat="1" ht="24" customHeight="1">
      <c r="E697" s="46"/>
    </row>
    <row r="698" spans="5:5" s="1" customFormat="1" ht="24" customHeight="1">
      <c r="E698" s="46"/>
    </row>
    <row r="699" spans="5:5" s="1" customFormat="1" ht="24" customHeight="1">
      <c r="E699" s="46"/>
    </row>
    <row r="700" spans="5:5" s="1" customFormat="1" ht="24" customHeight="1">
      <c r="E700" s="46"/>
    </row>
    <row r="701" spans="5:5" s="1" customFormat="1" ht="24" customHeight="1">
      <c r="E701" s="46"/>
    </row>
    <row r="702" spans="5:5" s="1" customFormat="1" ht="24" customHeight="1">
      <c r="E702" s="46"/>
    </row>
    <row r="703" spans="5:5" s="1" customFormat="1" ht="24" customHeight="1">
      <c r="E703" s="46"/>
    </row>
    <row r="704" spans="5:5" s="1" customFormat="1" ht="24" customHeight="1">
      <c r="E704" s="46"/>
    </row>
    <row r="705" spans="5:5" s="1" customFormat="1" ht="24" customHeight="1">
      <c r="E705" s="46"/>
    </row>
    <row r="706" spans="5:5" s="1" customFormat="1" ht="24" customHeight="1">
      <c r="E706" s="46"/>
    </row>
    <row r="707" spans="5:5" s="1" customFormat="1" ht="24" customHeight="1">
      <c r="E707" s="46"/>
    </row>
    <row r="708" spans="5:5" s="1" customFormat="1" ht="24" customHeight="1">
      <c r="E708" s="46"/>
    </row>
    <row r="709" spans="5:5" s="1" customFormat="1" ht="24" customHeight="1">
      <c r="E709" s="46"/>
    </row>
    <row r="710" spans="5:5" s="1" customFormat="1" ht="24" customHeight="1">
      <c r="E710" s="46"/>
    </row>
    <row r="711" spans="5:5" s="1" customFormat="1" ht="24" customHeight="1">
      <c r="E711" s="46"/>
    </row>
    <row r="712" spans="5:5" s="1" customFormat="1" ht="24" customHeight="1">
      <c r="E712" s="46"/>
    </row>
    <row r="713" spans="5:5" s="1" customFormat="1" ht="24" customHeight="1">
      <c r="E713" s="46"/>
    </row>
    <row r="714" spans="5:5" s="1" customFormat="1" ht="24" customHeight="1">
      <c r="E714" s="46"/>
    </row>
    <row r="715" spans="5:5" s="1" customFormat="1" ht="24" customHeight="1">
      <c r="E715" s="46"/>
    </row>
    <row r="716" spans="5:5" s="1" customFormat="1" ht="24" customHeight="1">
      <c r="E716" s="46"/>
    </row>
    <row r="717" spans="5:5" s="1" customFormat="1" ht="24" customHeight="1">
      <c r="E717" s="46"/>
    </row>
    <row r="718" spans="5:5" s="1" customFormat="1" ht="24" customHeight="1">
      <c r="E718" s="46"/>
    </row>
    <row r="719" spans="5:5" s="1" customFormat="1" ht="24" customHeight="1">
      <c r="E719" s="46"/>
    </row>
    <row r="720" spans="5:5" s="1" customFormat="1" ht="24" customHeight="1">
      <c r="E720" s="46"/>
    </row>
    <row r="721" spans="5:5" s="1" customFormat="1" ht="24" customHeight="1">
      <c r="E721" s="46"/>
    </row>
    <row r="722" spans="5:5" s="1" customFormat="1" ht="24" customHeight="1">
      <c r="E722" s="46"/>
    </row>
    <row r="723" spans="5:5" s="1" customFormat="1" ht="24" customHeight="1">
      <c r="E723" s="46"/>
    </row>
    <row r="724" spans="5:5" s="1" customFormat="1" ht="24" customHeight="1">
      <c r="E724" s="46"/>
    </row>
    <row r="725" spans="5:5" s="1" customFormat="1" ht="24" customHeight="1">
      <c r="E725" s="46"/>
    </row>
    <row r="726" spans="5:5" s="1" customFormat="1" ht="24" customHeight="1">
      <c r="E726" s="46"/>
    </row>
    <row r="727" spans="5:5" s="1" customFormat="1" ht="24" customHeight="1">
      <c r="E727" s="46"/>
    </row>
    <row r="728" spans="5:5" s="1" customFormat="1" ht="24" customHeight="1">
      <c r="E728" s="46"/>
    </row>
    <row r="729" spans="5:5" s="1" customFormat="1" ht="24" customHeight="1">
      <c r="E729" s="46"/>
    </row>
    <row r="730" spans="5:5" s="1" customFormat="1" ht="24" customHeight="1">
      <c r="E730" s="46"/>
    </row>
    <row r="731" spans="5:5" s="1" customFormat="1" ht="24" customHeight="1">
      <c r="E731" s="46"/>
    </row>
    <row r="732" spans="5:5" s="1" customFormat="1" ht="24" customHeight="1">
      <c r="E732" s="46"/>
    </row>
    <row r="733" spans="5:5" s="1" customFormat="1" ht="24" customHeight="1">
      <c r="E733" s="46"/>
    </row>
    <row r="734" spans="5:5" s="1" customFormat="1" ht="24" customHeight="1">
      <c r="E734" s="46"/>
    </row>
    <row r="735" spans="5:5" s="1" customFormat="1" ht="24" customHeight="1">
      <c r="E735" s="46"/>
    </row>
    <row r="736" spans="5:5" s="1" customFormat="1" ht="24" customHeight="1">
      <c r="E736" s="46"/>
    </row>
    <row r="737" spans="5:5" s="1" customFormat="1" ht="24" customHeight="1">
      <c r="E737" s="46"/>
    </row>
    <row r="738" spans="5:5" s="1" customFormat="1" ht="24" customHeight="1">
      <c r="E738" s="46"/>
    </row>
    <row r="739" spans="5:5" s="1" customFormat="1" ht="24" customHeight="1">
      <c r="E739" s="46"/>
    </row>
    <row r="740" spans="5:5" s="1" customFormat="1" ht="24" customHeight="1">
      <c r="E740" s="46"/>
    </row>
    <row r="741" spans="5:5" s="1" customFormat="1" ht="24" customHeight="1">
      <c r="E741" s="46"/>
    </row>
    <row r="742" spans="5:5" s="1" customFormat="1" ht="24" customHeight="1">
      <c r="E742" s="46"/>
    </row>
    <row r="743" spans="5:5" s="1" customFormat="1" ht="24" customHeight="1">
      <c r="E743" s="46"/>
    </row>
    <row r="744" spans="5:5" s="1" customFormat="1" ht="24" customHeight="1">
      <c r="E744" s="46"/>
    </row>
    <row r="745" spans="5:5" s="1" customFormat="1" ht="24" customHeight="1">
      <c r="E745" s="46"/>
    </row>
    <row r="746" spans="5:5" s="1" customFormat="1" ht="24" customHeight="1">
      <c r="E746" s="46"/>
    </row>
    <row r="747" spans="5:5" s="1" customFormat="1" ht="24" customHeight="1">
      <c r="E747" s="46"/>
    </row>
    <row r="748" spans="5:5" s="1" customFormat="1" ht="24" customHeight="1">
      <c r="E748" s="46"/>
    </row>
    <row r="749" spans="5:5" s="1" customFormat="1" ht="24" customHeight="1">
      <c r="E749" s="46"/>
    </row>
    <row r="750" spans="5:5" s="1" customFormat="1" ht="24" customHeight="1">
      <c r="E750" s="46"/>
    </row>
    <row r="751" spans="5:5" s="1" customFormat="1" ht="24" customHeight="1">
      <c r="E751" s="46"/>
    </row>
    <row r="752" spans="5:5" s="1" customFormat="1" ht="24" customHeight="1">
      <c r="E752" s="46"/>
    </row>
    <row r="753" spans="5:5" s="1" customFormat="1" ht="24" customHeight="1">
      <c r="E753" s="46"/>
    </row>
    <row r="754" spans="5:5" s="1" customFormat="1" ht="24" customHeight="1">
      <c r="E754" s="46"/>
    </row>
    <row r="755" spans="5:5" s="1" customFormat="1" ht="24" customHeight="1">
      <c r="E755" s="46"/>
    </row>
    <row r="756" spans="5:5" s="1" customFormat="1" ht="24" customHeight="1">
      <c r="E756" s="46"/>
    </row>
    <row r="757" spans="5:5" s="1" customFormat="1" ht="24" customHeight="1">
      <c r="E757" s="46"/>
    </row>
    <row r="758" spans="5:5" s="1" customFormat="1" ht="24" customHeight="1">
      <c r="E758" s="46"/>
    </row>
    <row r="759" spans="5:5" s="1" customFormat="1" ht="24" customHeight="1">
      <c r="E759" s="46"/>
    </row>
    <row r="760" spans="5:5" s="1" customFormat="1" ht="24" customHeight="1">
      <c r="E760" s="46"/>
    </row>
    <row r="761" spans="5:5" s="1" customFormat="1" ht="24" customHeight="1">
      <c r="E761" s="46"/>
    </row>
    <row r="762" spans="5:5" s="1" customFormat="1" ht="24" customHeight="1">
      <c r="E762" s="46"/>
    </row>
    <row r="763" spans="5:5" s="1" customFormat="1" ht="24" customHeight="1">
      <c r="E763" s="46"/>
    </row>
    <row r="764" spans="5:5" s="1" customFormat="1" ht="24" customHeight="1">
      <c r="E764" s="46"/>
    </row>
    <row r="765" spans="5:5" s="1" customFormat="1" ht="24" customHeight="1">
      <c r="E765" s="46"/>
    </row>
    <row r="766" spans="5:5" s="1" customFormat="1" ht="24" customHeight="1">
      <c r="E766" s="46"/>
    </row>
    <row r="767" spans="5:5" s="1" customFormat="1" ht="24" customHeight="1">
      <c r="E767" s="46"/>
    </row>
    <row r="768" spans="5:5" s="1" customFormat="1" ht="24" customHeight="1">
      <c r="E768" s="46"/>
    </row>
    <row r="769" spans="5:5" s="1" customFormat="1" ht="24" customHeight="1">
      <c r="E769" s="46"/>
    </row>
    <row r="770" spans="5:5" s="1" customFormat="1" ht="24" customHeight="1">
      <c r="E770" s="46"/>
    </row>
    <row r="771" spans="5:5" s="1" customFormat="1" ht="24" customHeight="1">
      <c r="E771" s="46"/>
    </row>
    <row r="772" spans="5:5" s="1" customFormat="1" ht="24" customHeight="1">
      <c r="E772" s="46"/>
    </row>
    <row r="773" spans="5:5" s="1" customFormat="1" ht="24" customHeight="1">
      <c r="E773" s="46"/>
    </row>
    <row r="774" spans="5:5" s="1" customFormat="1" ht="24" customHeight="1">
      <c r="E774" s="46"/>
    </row>
    <row r="775" spans="5:5" s="1" customFormat="1" ht="24" customHeight="1">
      <c r="E775" s="46"/>
    </row>
    <row r="776" spans="5:5" s="1" customFormat="1" ht="24" customHeight="1">
      <c r="E776" s="46"/>
    </row>
    <row r="777" spans="5:5" s="1" customFormat="1" ht="24" customHeight="1">
      <c r="E777" s="46"/>
    </row>
    <row r="778" spans="5:5" s="1" customFormat="1" ht="24" customHeight="1">
      <c r="E778" s="46"/>
    </row>
    <row r="779" spans="5:5" s="1" customFormat="1" ht="24" customHeight="1">
      <c r="E779" s="46"/>
    </row>
    <row r="780" spans="5:5" s="1" customFormat="1" ht="24" customHeight="1">
      <c r="E780" s="46"/>
    </row>
    <row r="781" spans="5:5" s="1" customFormat="1" ht="24" customHeight="1">
      <c r="E781" s="46"/>
    </row>
    <row r="782" spans="5:5" s="1" customFormat="1" ht="24" customHeight="1">
      <c r="E782" s="46"/>
    </row>
    <row r="783" spans="5:5" s="1" customFormat="1" ht="24" customHeight="1">
      <c r="E783" s="46"/>
    </row>
    <row r="784" spans="5:5" s="1" customFormat="1" ht="24" customHeight="1">
      <c r="E784" s="46"/>
    </row>
    <row r="785" spans="5:5" s="1" customFormat="1" ht="24" customHeight="1">
      <c r="E785" s="46"/>
    </row>
    <row r="786" spans="5:5" s="1" customFormat="1" ht="24" customHeight="1">
      <c r="E786" s="46"/>
    </row>
    <row r="787" spans="5:5" s="1" customFormat="1" ht="24" customHeight="1">
      <c r="E787" s="46"/>
    </row>
    <row r="788" spans="5:5" s="1" customFormat="1" ht="24" customHeight="1">
      <c r="E788" s="46"/>
    </row>
    <row r="789" spans="5:5" s="1" customFormat="1" ht="24" customHeight="1">
      <c r="E789" s="46"/>
    </row>
    <row r="790" spans="5:5" s="1" customFormat="1" ht="24" customHeight="1">
      <c r="E790" s="46"/>
    </row>
    <row r="791" spans="5:5" s="1" customFormat="1" ht="24" customHeight="1">
      <c r="E791" s="46"/>
    </row>
    <row r="792" spans="5:5" s="1" customFormat="1" ht="24" customHeight="1">
      <c r="E792" s="46"/>
    </row>
    <row r="793" spans="5:5" s="1" customFormat="1" ht="24" customHeight="1">
      <c r="E793" s="46"/>
    </row>
    <row r="794" spans="5:5" s="1" customFormat="1" ht="24" customHeight="1">
      <c r="E794" s="46"/>
    </row>
    <row r="795" spans="5:5" s="1" customFormat="1" ht="24" customHeight="1">
      <c r="E795" s="46"/>
    </row>
    <row r="796" spans="5:5" s="1" customFormat="1" ht="24" customHeight="1">
      <c r="E796" s="46"/>
    </row>
    <row r="797" spans="5:5" s="1" customFormat="1" ht="24" customHeight="1">
      <c r="E797" s="46"/>
    </row>
    <row r="798" spans="5:5" s="1" customFormat="1" ht="24" customHeight="1">
      <c r="E798" s="46"/>
    </row>
    <row r="799" spans="5:5" s="1" customFormat="1" ht="24" customHeight="1">
      <c r="E799" s="46"/>
    </row>
    <row r="800" spans="5:5" s="1" customFormat="1" ht="24" customHeight="1">
      <c r="E800" s="46"/>
    </row>
    <row r="801" spans="5:5" s="1" customFormat="1" ht="24" customHeight="1">
      <c r="E801" s="46"/>
    </row>
    <row r="802" spans="5:5" s="1" customFormat="1" ht="24" customHeight="1">
      <c r="E802" s="46"/>
    </row>
    <row r="803" spans="5:5" s="1" customFormat="1" ht="24" customHeight="1">
      <c r="E803" s="46"/>
    </row>
    <row r="804" spans="5:5" s="1" customFormat="1" ht="24" customHeight="1">
      <c r="E804" s="46"/>
    </row>
    <row r="805" spans="5:5" s="1" customFormat="1" ht="24" customHeight="1">
      <c r="E805" s="46"/>
    </row>
    <row r="806" spans="5:5" s="1" customFormat="1" ht="24" customHeight="1">
      <c r="E806" s="46"/>
    </row>
    <row r="807" spans="5:5" s="1" customFormat="1" ht="24" customHeight="1">
      <c r="E807" s="46"/>
    </row>
    <row r="808" spans="5:5" s="1" customFormat="1" ht="24" customHeight="1">
      <c r="E808" s="46"/>
    </row>
    <row r="809" spans="5:5" s="1" customFormat="1" ht="24" customHeight="1">
      <c r="E809" s="46"/>
    </row>
    <row r="810" spans="5:5" s="1" customFormat="1" ht="24" customHeight="1">
      <c r="E810" s="46"/>
    </row>
    <row r="811" spans="5:5" s="1" customFormat="1" ht="24" customHeight="1">
      <c r="E811" s="46"/>
    </row>
    <row r="812" spans="5:5" s="1" customFormat="1" ht="24" customHeight="1">
      <c r="E812" s="46"/>
    </row>
    <row r="813" spans="5:5" s="1" customFormat="1" ht="24" customHeight="1">
      <c r="E813" s="46"/>
    </row>
    <row r="814" spans="5:5" s="1" customFormat="1" ht="24" customHeight="1">
      <c r="E814" s="46"/>
    </row>
    <row r="815" spans="5:5" s="1" customFormat="1" ht="24" customHeight="1">
      <c r="E815" s="46"/>
    </row>
    <row r="816" spans="5:5" s="1" customFormat="1" ht="24" customHeight="1">
      <c r="E816" s="46"/>
    </row>
    <row r="817" spans="5:5" s="1" customFormat="1" ht="24" customHeight="1">
      <c r="E817" s="46"/>
    </row>
    <row r="818" spans="5:5" s="1" customFormat="1" ht="24" customHeight="1">
      <c r="E818" s="46"/>
    </row>
    <row r="819" spans="5:5" s="1" customFormat="1" ht="24" customHeight="1">
      <c r="E819" s="46"/>
    </row>
    <row r="820" spans="5:5" s="1" customFormat="1" ht="24" customHeight="1">
      <c r="E820" s="46"/>
    </row>
    <row r="821" spans="5:5" s="1" customFormat="1" ht="24" customHeight="1">
      <c r="E821" s="46"/>
    </row>
    <row r="822" spans="5:5" s="1" customFormat="1" ht="24" customHeight="1">
      <c r="E822" s="46"/>
    </row>
    <row r="823" spans="5:5" s="1" customFormat="1" ht="24" customHeight="1">
      <c r="E823" s="46"/>
    </row>
    <row r="824" spans="5:5" s="1" customFormat="1" ht="24" customHeight="1">
      <c r="E824" s="46"/>
    </row>
    <row r="825" spans="5:5" s="1" customFormat="1" ht="24" customHeight="1">
      <c r="E825" s="46"/>
    </row>
    <row r="826" spans="5:5" s="1" customFormat="1" ht="24" customHeight="1">
      <c r="E826" s="46"/>
    </row>
    <row r="827" spans="5:5" s="1" customFormat="1" ht="24" customHeight="1">
      <c r="E827" s="46"/>
    </row>
    <row r="828" spans="5:5" s="1" customFormat="1" ht="24" customHeight="1">
      <c r="E828" s="46"/>
    </row>
    <row r="829" spans="5:5" s="1" customFormat="1" ht="24" customHeight="1">
      <c r="E829" s="46"/>
    </row>
    <row r="830" spans="5:5" s="1" customFormat="1" ht="24" customHeight="1">
      <c r="E830" s="46"/>
    </row>
    <row r="831" spans="5:5" s="1" customFormat="1" ht="24" customHeight="1">
      <c r="E831" s="46"/>
    </row>
    <row r="832" spans="5:5" s="1" customFormat="1" ht="24" customHeight="1">
      <c r="E832" s="46"/>
    </row>
    <row r="833" spans="5:5" s="1" customFormat="1" ht="24" customHeight="1">
      <c r="E833" s="46"/>
    </row>
    <row r="834" spans="5:5" s="1" customFormat="1" ht="24" customHeight="1">
      <c r="E834" s="46"/>
    </row>
    <row r="835" spans="5:5" s="1" customFormat="1" ht="24" customHeight="1">
      <c r="E835" s="46"/>
    </row>
    <row r="836" spans="5:5" s="1" customFormat="1" ht="24" customHeight="1">
      <c r="E836" s="46"/>
    </row>
    <row r="837" spans="5:5" s="1" customFormat="1" ht="24" customHeight="1">
      <c r="E837" s="46"/>
    </row>
    <row r="838" spans="5:5" s="1" customFormat="1" ht="24" customHeight="1">
      <c r="E838" s="46"/>
    </row>
    <row r="839" spans="5:5" s="1" customFormat="1" ht="24" customHeight="1">
      <c r="E839" s="46"/>
    </row>
    <row r="840" spans="5:5" s="1" customFormat="1" ht="24" customHeight="1">
      <c r="E840" s="46"/>
    </row>
    <row r="841" spans="5:5" s="1" customFormat="1" ht="24" customHeight="1">
      <c r="E841" s="46"/>
    </row>
    <row r="842" spans="5:5" s="1" customFormat="1" ht="24" customHeight="1">
      <c r="E842" s="46"/>
    </row>
    <row r="843" spans="5:5" s="1" customFormat="1" ht="24" customHeight="1">
      <c r="E843" s="46"/>
    </row>
    <row r="844" spans="5:5" s="1" customFormat="1" ht="24" customHeight="1">
      <c r="E844" s="46"/>
    </row>
    <row r="845" spans="5:5" s="1" customFormat="1" ht="24" customHeight="1">
      <c r="E845" s="46"/>
    </row>
    <row r="846" spans="5:5" s="1" customFormat="1" ht="24" customHeight="1">
      <c r="E846" s="46"/>
    </row>
    <row r="847" spans="5:5" s="1" customFormat="1" ht="24" customHeight="1">
      <c r="E847" s="46"/>
    </row>
    <row r="848" spans="5:5" s="1" customFormat="1" ht="24" customHeight="1">
      <c r="E848" s="46"/>
    </row>
    <row r="849" spans="5:5" s="1" customFormat="1" ht="24" customHeight="1">
      <c r="E849" s="46"/>
    </row>
    <row r="850" spans="5:5" s="1" customFormat="1" ht="24" customHeight="1">
      <c r="E850" s="46"/>
    </row>
    <row r="851" spans="5:5" s="1" customFormat="1" ht="24" customHeight="1">
      <c r="E851" s="46"/>
    </row>
    <row r="852" spans="5:5" s="1" customFormat="1" ht="24" customHeight="1">
      <c r="E852" s="46"/>
    </row>
    <row r="853" spans="5:5" s="1" customFormat="1" ht="24" customHeight="1">
      <c r="E853" s="46"/>
    </row>
    <row r="854" spans="5:5" s="1" customFormat="1" ht="24" customHeight="1">
      <c r="E854" s="46"/>
    </row>
    <row r="855" spans="5:5" s="1" customFormat="1" ht="24" customHeight="1">
      <c r="E855" s="46"/>
    </row>
    <row r="856" spans="5:5" s="1" customFormat="1" ht="24" customHeight="1">
      <c r="E856" s="46"/>
    </row>
    <row r="857" spans="5:5" s="1" customFormat="1" ht="24" customHeight="1">
      <c r="E857" s="46"/>
    </row>
    <row r="858" spans="5:5" s="1" customFormat="1" ht="24" customHeight="1">
      <c r="E858" s="46"/>
    </row>
    <row r="859" spans="5:5" s="1" customFormat="1" ht="24" customHeight="1">
      <c r="E859" s="46"/>
    </row>
    <row r="860" spans="5:5" s="1" customFormat="1" ht="24" customHeight="1">
      <c r="E860" s="46"/>
    </row>
    <row r="861" spans="5:5" s="1" customFormat="1" ht="24" customHeight="1">
      <c r="E861" s="46"/>
    </row>
    <row r="862" spans="5:5" s="1" customFormat="1" ht="24" customHeight="1">
      <c r="E862" s="46"/>
    </row>
    <row r="863" spans="5:5" s="1" customFormat="1" ht="24" customHeight="1">
      <c r="E863" s="46"/>
    </row>
    <row r="864" spans="5:5" s="1" customFormat="1" ht="24" customHeight="1">
      <c r="E864" s="46"/>
    </row>
    <row r="865" spans="5:5" s="1" customFormat="1" ht="24" customHeight="1">
      <c r="E865" s="46"/>
    </row>
    <row r="866" spans="5:5" s="1" customFormat="1" ht="24" customHeight="1">
      <c r="E866" s="46"/>
    </row>
    <row r="867" spans="5:5" s="1" customFormat="1" ht="24" customHeight="1">
      <c r="E867" s="46"/>
    </row>
    <row r="868" spans="5:5" s="1" customFormat="1" ht="24" customHeight="1">
      <c r="E868" s="46"/>
    </row>
    <row r="869" spans="5:5" s="1" customFormat="1" ht="24" customHeight="1">
      <c r="E869" s="46"/>
    </row>
    <row r="870" spans="5:5" s="1" customFormat="1" ht="24" customHeight="1">
      <c r="E870" s="46"/>
    </row>
    <row r="871" spans="5:5" s="1" customFormat="1" ht="24" customHeight="1">
      <c r="E871" s="46"/>
    </row>
    <row r="872" spans="5:5" s="1" customFormat="1" ht="24" customHeight="1">
      <c r="E872" s="46"/>
    </row>
    <row r="873" spans="5:5" s="1" customFormat="1" ht="24" customHeight="1">
      <c r="E873" s="46"/>
    </row>
    <row r="874" spans="5:5" s="1" customFormat="1" ht="24" customHeight="1">
      <c r="E874" s="46"/>
    </row>
    <row r="875" spans="5:5" s="1" customFormat="1" ht="24" customHeight="1">
      <c r="E875" s="46"/>
    </row>
    <row r="876" spans="5:5" s="1" customFormat="1" ht="24" customHeight="1">
      <c r="E876" s="46"/>
    </row>
    <row r="877" spans="5:5" s="1" customFormat="1" ht="24" customHeight="1">
      <c r="E877" s="46"/>
    </row>
    <row r="878" spans="5:5" s="1" customFormat="1" ht="24" customHeight="1">
      <c r="E878" s="46"/>
    </row>
    <row r="879" spans="5:5" s="1" customFormat="1" ht="24" customHeight="1">
      <c r="E879" s="46"/>
    </row>
    <row r="880" spans="5:5" s="1" customFormat="1" ht="24" customHeight="1">
      <c r="E880" s="46"/>
    </row>
    <row r="881" spans="5:5" s="1" customFormat="1" ht="24" customHeight="1">
      <c r="E881" s="46"/>
    </row>
    <row r="882" spans="5:5" s="1" customFormat="1" ht="24" customHeight="1">
      <c r="E882" s="46"/>
    </row>
    <row r="883" spans="5:5" s="1" customFormat="1" ht="24" customHeight="1">
      <c r="E883" s="46"/>
    </row>
    <row r="884" spans="5:5" s="1" customFormat="1" ht="24" customHeight="1">
      <c r="E884" s="46"/>
    </row>
    <row r="885" spans="5:5" s="1" customFormat="1" ht="24" customHeight="1">
      <c r="E885" s="46"/>
    </row>
    <row r="886" spans="5:5" s="1" customFormat="1" ht="24" customHeight="1">
      <c r="E886" s="46"/>
    </row>
    <row r="887" spans="5:5" s="1" customFormat="1" ht="24" customHeight="1">
      <c r="E887" s="46"/>
    </row>
    <row r="888" spans="5:5" s="1" customFormat="1" ht="24" customHeight="1">
      <c r="E888" s="46"/>
    </row>
    <row r="889" spans="5:5" s="1" customFormat="1" ht="24" customHeight="1">
      <c r="E889" s="46"/>
    </row>
    <row r="890" spans="5:5" s="1" customFormat="1" ht="24" customHeight="1">
      <c r="E890" s="46"/>
    </row>
    <row r="891" spans="5:5" s="1" customFormat="1" ht="24" customHeight="1">
      <c r="E891" s="46"/>
    </row>
    <row r="892" spans="5:5" s="1" customFormat="1" ht="24" customHeight="1">
      <c r="E892" s="46"/>
    </row>
    <row r="893" spans="5:5" s="1" customFormat="1" ht="24" customHeight="1">
      <c r="E893" s="46"/>
    </row>
    <row r="894" spans="5:5" s="1" customFormat="1" ht="24" customHeight="1">
      <c r="E894" s="46"/>
    </row>
    <row r="895" spans="5:5" s="1" customFormat="1" ht="24" customHeight="1">
      <c r="E895" s="46"/>
    </row>
    <row r="896" spans="5:5" s="1" customFormat="1" ht="24" customHeight="1">
      <c r="E896" s="46"/>
    </row>
    <row r="897" spans="5:5" s="1" customFormat="1" ht="24" customHeight="1">
      <c r="E897" s="46"/>
    </row>
    <row r="898" spans="5:5" s="1" customFormat="1" ht="24" customHeight="1">
      <c r="E898" s="46"/>
    </row>
    <row r="899" spans="5:5" s="1" customFormat="1" ht="24" customHeight="1">
      <c r="E899" s="46"/>
    </row>
    <row r="900" spans="5:5" s="1" customFormat="1" ht="24" customHeight="1">
      <c r="E900" s="46"/>
    </row>
    <row r="901" spans="5:5" s="1" customFormat="1" ht="24" customHeight="1">
      <c r="E901" s="46"/>
    </row>
    <row r="902" spans="5:5" s="1" customFormat="1" ht="24" customHeight="1">
      <c r="E902" s="46"/>
    </row>
    <row r="903" spans="5:5" s="1" customFormat="1" ht="24" customHeight="1">
      <c r="E903" s="46"/>
    </row>
    <row r="904" spans="5:5" s="1" customFormat="1" ht="24" customHeight="1">
      <c r="E904" s="46"/>
    </row>
    <row r="905" spans="5:5" s="1" customFormat="1" ht="24" customHeight="1">
      <c r="E905" s="46"/>
    </row>
    <row r="906" spans="5:5" s="1" customFormat="1" ht="24" customHeight="1">
      <c r="E906" s="46"/>
    </row>
    <row r="907" spans="5:5" s="1" customFormat="1" ht="24" customHeight="1">
      <c r="E907" s="46"/>
    </row>
    <row r="908" spans="5:5" s="1" customFormat="1" ht="24" customHeight="1">
      <c r="E908" s="46"/>
    </row>
    <row r="909" spans="5:5" s="1" customFormat="1" ht="24" customHeight="1">
      <c r="E909" s="46"/>
    </row>
    <row r="910" spans="5:5" s="1" customFormat="1" ht="24" customHeight="1">
      <c r="E910" s="46"/>
    </row>
    <row r="911" spans="5:5" s="1" customFormat="1" ht="24" customHeight="1">
      <c r="E911" s="46"/>
    </row>
    <row r="912" spans="5:5" s="1" customFormat="1" ht="24" customHeight="1">
      <c r="E912" s="46"/>
    </row>
    <row r="913" spans="5:5" s="1" customFormat="1" ht="24" customHeight="1">
      <c r="E913" s="46"/>
    </row>
    <row r="914" spans="5:5" s="1" customFormat="1" ht="24" customHeight="1">
      <c r="E914" s="46"/>
    </row>
    <row r="915" spans="5:5" s="1" customFormat="1" ht="24" customHeight="1">
      <c r="E915" s="46"/>
    </row>
    <row r="916" spans="5:5" s="1" customFormat="1" ht="24" customHeight="1">
      <c r="E916" s="46"/>
    </row>
    <row r="917" spans="5:5" s="1" customFormat="1" ht="24" customHeight="1">
      <c r="E917" s="46"/>
    </row>
    <row r="918" spans="5:5" s="1" customFormat="1" ht="24" customHeight="1">
      <c r="E918" s="46"/>
    </row>
    <row r="919" spans="5:5" s="1" customFormat="1" ht="24" customHeight="1">
      <c r="E919" s="46"/>
    </row>
    <row r="920" spans="5:5" s="1" customFormat="1" ht="24" customHeight="1">
      <c r="E920" s="46"/>
    </row>
    <row r="921" spans="5:5" s="1" customFormat="1" ht="24" customHeight="1">
      <c r="E921" s="46"/>
    </row>
    <row r="922" spans="5:5" s="1" customFormat="1" ht="24" customHeight="1">
      <c r="E922" s="46"/>
    </row>
    <row r="923" spans="5:5" s="1" customFormat="1" ht="24" customHeight="1">
      <c r="E923" s="46"/>
    </row>
    <row r="924" spans="5:5" s="1" customFormat="1" ht="24" customHeight="1">
      <c r="E924" s="46"/>
    </row>
    <row r="925" spans="5:5" s="1" customFormat="1" ht="24" customHeight="1">
      <c r="E925" s="46"/>
    </row>
    <row r="926" spans="5:5" s="1" customFormat="1" ht="24" customHeight="1">
      <c r="E926" s="46"/>
    </row>
    <row r="927" spans="5:5" s="1" customFormat="1" ht="24" customHeight="1">
      <c r="E927" s="46"/>
    </row>
    <row r="928" spans="5:5" s="1" customFormat="1" ht="24" customHeight="1">
      <c r="E928" s="46"/>
    </row>
    <row r="929" spans="5:5" s="1" customFormat="1" ht="24" customHeight="1">
      <c r="E929" s="46"/>
    </row>
    <row r="930" spans="5:5" s="1" customFormat="1" ht="24" customHeight="1">
      <c r="E930" s="46"/>
    </row>
    <row r="931" spans="5:5" s="1" customFormat="1" ht="24" customHeight="1">
      <c r="E931" s="46"/>
    </row>
    <row r="932" spans="5:5" s="1" customFormat="1" ht="24" customHeight="1">
      <c r="E932" s="46"/>
    </row>
    <row r="933" spans="5:5" s="1" customFormat="1" ht="24" customHeight="1">
      <c r="E933" s="46"/>
    </row>
    <row r="934" spans="5:5" s="1" customFormat="1" ht="24" customHeight="1">
      <c r="E934" s="46"/>
    </row>
    <row r="935" spans="5:5" s="1" customFormat="1" ht="24" customHeight="1">
      <c r="E935" s="46"/>
    </row>
    <row r="936" spans="5:5" s="1" customFormat="1" ht="24" customHeight="1">
      <c r="E936" s="46"/>
    </row>
    <row r="937" spans="5:5" s="1" customFormat="1" ht="24" customHeight="1">
      <c r="E937" s="46"/>
    </row>
    <row r="938" spans="5:5" s="1" customFormat="1" ht="24" customHeight="1">
      <c r="E938" s="46"/>
    </row>
    <row r="939" spans="5:5" s="1" customFormat="1" ht="24" customHeight="1">
      <c r="E939" s="46"/>
    </row>
    <row r="940" spans="5:5" s="1" customFormat="1" ht="24" customHeight="1">
      <c r="E940" s="46"/>
    </row>
    <row r="941" spans="5:5" s="1" customFormat="1" ht="24" customHeight="1">
      <c r="E941" s="46"/>
    </row>
    <row r="942" spans="5:5" s="1" customFormat="1" ht="24" customHeight="1">
      <c r="E942" s="46"/>
    </row>
    <row r="943" spans="5:5" s="1" customFormat="1" ht="24" customHeight="1">
      <c r="E943" s="46"/>
    </row>
    <row r="944" spans="5:5" s="1" customFormat="1" ht="24" customHeight="1">
      <c r="E944" s="46"/>
    </row>
    <row r="945" spans="5:5" s="1" customFormat="1" ht="24" customHeight="1">
      <c r="E945" s="46"/>
    </row>
    <row r="946" spans="5:5" s="1" customFormat="1" ht="24" customHeight="1">
      <c r="E946" s="46"/>
    </row>
    <row r="947" spans="5:5" s="1" customFormat="1" ht="24" customHeight="1">
      <c r="E947" s="46"/>
    </row>
    <row r="948" spans="5:5" s="1" customFormat="1" ht="24" customHeight="1">
      <c r="E948" s="46"/>
    </row>
    <row r="949" spans="5:5" s="1" customFormat="1" ht="24" customHeight="1">
      <c r="E949" s="46"/>
    </row>
    <row r="950" spans="5:5" s="1" customFormat="1" ht="24" customHeight="1">
      <c r="E950" s="46"/>
    </row>
    <row r="951" spans="5:5" s="1" customFormat="1" ht="24" customHeight="1">
      <c r="E951" s="46"/>
    </row>
    <row r="952" spans="5:5" s="1" customFormat="1" ht="24" customHeight="1">
      <c r="E952" s="46"/>
    </row>
    <row r="953" spans="5:5" s="1" customFormat="1" ht="24" customHeight="1">
      <c r="E953" s="46"/>
    </row>
    <row r="954" spans="5:5" s="1" customFormat="1" ht="24" customHeight="1">
      <c r="E954" s="46"/>
    </row>
    <row r="955" spans="5:5" s="1" customFormat="1" ht="24" customHeight="1">
      <c r="E955" s="46"/>
    </row>
    <row r="956" spans="5:5" s="1" customFormat="1" ht="24" customHeight="1">
      <c r="E956" s="46"/>
    </row>
    <row r="957" spans="5:5" s="1" customFormat="1" ht="24" customHeight="1">
      <c r="E957" s="46"/>
    </row>
    <row r="958" spans="5:5" s="1" customFormat="1" ht="24" customHeight="1">
      <c r="E958" s="46"/>
    </row>
    <row r="959" spans="5:5" s="1" customFormat="1" ht="24" customHeight="1">
      <c r="E959" s="46"/>
    </row>
    <row r="960" spans="5:5" s="1" customFormat="1" ht="24" customHeight="1">
      <c r="E960" s="46"/>
    </row>
    <row r="961" spans="5:5" s="1" customFormat="1" ht="24" customHeight="1">
      <c r="E961" s="46"/>
    </row>
    <row r="962" spans="5:5" s="1" customFormat="1" ht="24" customHeight="1">
      <c r="E962" s="46"/>
    </row>
    <row r="963" spans="5:5" s="1" customFormat="1" ht="24" customHeight="1">
      <c r="E963" s="46"/>
    </row>
    <row r="964" spans="5:5" s="1" customFormat="1" ht="24" customHeight="1">
      <c r="E964" s="46"/>
    </row>
    <row r="965" spans="5:5" s="1" customFormat="1" ht="24" customHeight="1">
      <c r="E965" s="46"/>
    </row>
    <row r="966" spans="5:5" s="1" customFormat="1" ht="24" customHeight="1">
      <c r="E966" s="46"/>
    </row>
    <row r="967" spans="5:5" s="1" customFormat="1" ht="24" customHeight="1">
      <c r="E967" s="46"/>
    </row>
    <row r="968" spans="5:5" s="1" customFormat="1" ht="24" customHeight="1">
      <c r="E968" s="46"/>
    </row>
    <row r="969" spans="5:5" s="1" customFormat="1" ht="24" customHeight="1">
      <c r="E969" s="46"/>
    </row>
    <row r="970" spans="5:5" s="1" customFormat="1" ht="24" customHeight="1">
      <c r="E970" s="46"/>
    </row>
    <row r="971" spans="5:5" s="1" customFormat="1" ht="24" customHeight="1">
      <c r="E971" s="46"/>
    </row>
    <row r="972" spans="5:5" s="1" customFormat="1" ht="24" customHeight="1">
      <c r="E972" s="46"/>
    </row>
    <row r="973" spans="5:5" s="1" customFormat="1" ht="24" customHeight="1">
      <c r="E973" s="46"/>
    </row>
    <row r="974" spans="5:5" s="1" customFormat="1" ht="24" customHeight="1">
      <c r="E974" s="46"/>
    </row>
    <row r="975" spans="5:5" s="1" customFormat="1" ht="24" customHeight="1">
      <c r="E975" s="46"/>
    </row>
    <row r="976" spans="5:5" s="1" customFormat="1" ht="24" customHeight="1">
      <c r="E976" s="46"/>
    </row>
    <row r="977" spans="5:5" s="1" customFormat="1" ht="24" customHeight="1">
      <c r="E977" s="46"/>
    </row>
    <row r="978" spans="5:5" s="1" customFormat="1" ht="24" customHeight="1">
      <c r="E978" s="46"/>
    </row>
    <row r="979" spans="5:5" s="1" customFormat="1" ht="24" customHeight="1">
      <c r="E979" s="46"/>
    </row>
    <row r="980" spans="5:5" s="1" customFormat="1" ht="24" customHeight="1">
      <c r="E980" s="46"/>
    </row>
    <row r="981" spans="5:5" s="1" customFormat="1" ht="24" customHeight="1">
      <c r="E981" s="46"/>
    </row>
    <row r="982" spans="5:5" s="1" customFormat="1" ht="24" customHeight="1">
      <c r="E982" s="46"/>
    </row>
    <row r="983" spans="5:5" s="1" customFormat="1" ht="24" customHeight="1">
      <c r="E983" s="46"/>
    </row>
    <row r="984" spans="5:5" s="1" customFormat="1" ht="24" customHeight="1">
      <c r="E984" s="46"/>
    </row>
    <row r="985" spans="5:5" s="1" customFormat="1" ht="24" customHeight="1">
      <c r="E985" s="46"/>
    </row>
    <row r="986" spans="5:5" s="1" customFormat="1" ht="24" customHeight="1">
      <c r="E986" s="46"/>
    </row>
    <row r="987" spans="5:5" s="1" customFormat="1" ht="24" customHeight="1">
      <c r="E987" s="46"/>
    </row>
    <row r="988" spans="5:5" s="1" customFormat="1" ht="24" customHeight="1">
      <c r="E988" s="46"/>
    </row>
    <row r="989" spans="5:5" s="1" customFormat="1" ht="24" customHeight="1">
      <c r="E989" s="46"/>
    </row>
    <row r="990" spans="5:5" s="1" customFormat="1" ht="24" customHeight="1">
      <c r="E990" s="46"/>
    </row>
    <row r="991" spans="5:5" s="1" customFormat="1" ht="24" customHeight="1">
      <c r="E991" s="46"/>
    </row>
    <row r="992" spans="5:5" s="1" customFormat="1" ht="24" customHeight="1">
      <c r="E992" s="46"/>
    </row>
    <row r="993" spans="5:5" s="1" customFormat="1" ht="24" customHeight="1">
      <c r="E993" s="46"/>
    </row>
    <row r="994" spans="5:5" s="1" customFormat="1" ht="24" customHeight="1">
      <c r="E994" s="46"/>
    </row>
    <row r="995" spans="5:5" s="1" customFormat="1" ht="24" customHeight="1">
      <c r="E995" s="46"/>
    </row>
    <row r="996" spans="5:5" s="1" customFormat="1" ht="24" customHeight="1">
      <c r="E996" s="46"/>
    </row>
    <row r="997" spans="5:5" s="1" customFormat="1" ht="24" customHeight="1">
      <c r="E997" s="46"/>
    </row>
    <row r="998" spans="5:5" s="1" customFormat="1" ht="24" customHeight="1">
      <c r="E998" s="46"/>
    </row>
    <row r="999" spans="5:5" s="1" customFormat="1" ht="24" customHeight="1">
      <c r="E999" s="46"/>
    </row>
    <row r="1000" spans="5:5" s="1" customFormat="1" ht="24" customHeight="1">
      <c r="E1000" s="46"/>
    </row>
    <row r="1001" spans="5:5" s="1" customFormat="1" ht="24" customHeight="1">
      <c r="E1001" s="46"/>
    </row>
    <row r="1002" spans="5:5" s="1" customFormat="1" ht="24" customHeight="1">
      <c r="E1002" s="46"/>
    </row>
    <row r="1003" spans="5:5" s="1" customFormat="1" ht="24" customHeight="1">
      <c r="E1003" s="46"/>
    </row>
    <row r="1004" spans="5:5" s="1" customFormat="1" ht="24" customHeight="1">
      <c r="E1004" s="46"/>
    </row>
    <row r="1005" spans="5:5" s="1" customFormat="1" ht="24" customHeight="1">
      <c r="E1005" s="46"/>
    </row>
    <row r="1006" spans="5:5" s="1" customFormat="1" ht="24" customHeight="1">
      <c r="E1006" s="46"/>
    </row>
    <row r="1007" spans="5:5" s="1" customFormat="1" ht="24" customHeight="1">
      <c r="E1007" s="46"/>
    </row>
    <row r="1008" spans="5:5" s="1" customFormat="1" ht="24" customHeight="1">
      <c r="E1008" s="46"/>
    </row>
    <row r="1009" spans="5:5" s="1" customFormat="1" ht="24" customHeight="1">
      <c r="E1009" s="46"/>
    </row>
    <row r="1010" spans="5:5" s="1" customFormat="1" ht="24" customHeight="1">
      <c r="E1010" s="46"/>
    </row>
    <row r="1011" spans="5:5" s="1" customFormat="1" ht="24" customHeight="1">
      <c r="E1011" s="46"/>
    </row>
    <row r="1012" spans="5:5" s="1" customFormat="1" ht="24" customHeight="1">
      <c r="E1012" s="46"/>
    </row>
    <row r="1013" spans="5:5" s="1" customFormat="1" ht="24" customHeight="1">
      <c r="E1013" s="46"/>
    </row>
    <row r="1014" spans="5:5" s="1" customFormat="1" ht="24" customHeight="1">
      <c r="E1014" s="46"/>
    </row>
    <row r="1015" spans="5:5" s="1" customFormat="1" ht="24" customHeight="1">
      <c r="E1015" s="46"/>
    </row>
    <row r="1016" spans="5:5" s="1" customFormat="1" ht="24" customHeight="1">
      <c r="E1016" s="46"/>
    </row>
    <row r="1017" spans="5:5" s="1" customFormat="1" ht="24" customHeight="1">
      <c r="E1017" s="46"/>
    </row>
    <row r="1018" spans="5:5" s="1" customFormat="1" ht="24" customHeight="1">
      <c r="E1018" s="46"/>
    </row>
    <row r="1019" spans="5:5" s="1" customFormat="1" ht="24" customHeight="1">
      <c r="E1019" s="46"/>
    </row>
    <row r="1020" spans="5:5" s="1" customFormat="1" ht="24" customHeight="1">
      <c r="E1020" s="46"/>
    </row>
    <row r="1021" spans="5:5" s="1" customFormat="1" ht="24" customHeight="1">
      <c r="E1021" s="46"/>
    </row>
    <row r="1022" spans="5:5" s="1" customFormat="1" ht="24" customHeight="1">
      <c r="E1022" s="46"/>
    </row>
    <row r="1023" spans="5:5" s="1" customFormat="1" ht="24" customHeight="1">
      <c r="E1023" s="46"/>
    </row>
    <row r="1024" spans="5:5" s="1" customFormat="1" ht="24" customHeight="1">
      <c r="E1024" s="46"/>
    </row>
    <row r="1025" spans="5:5" s="1" customFormat="1" ht="24" customHeight="1">
      <c r="E1025" s="46"/>
    </row>
    <row r="1026" spans="5:5" s="1" customFormat="1" ht="24" customHeight="1">
      <c r="E1026" s="46"/>
    </row>
    <row r="1027" spans="5:5" s="1" customFormat="1" ht="24" customHeight="1">
      <c r="E1027" s="46"/>
    </row>
    <row r="1028" spans="5:5" s="1" customFormat="1" ht="24" customHeight="1">
      <c r="E1028" s="46"/>
    </row>
    <row r="1029" spans="5:5" s="1" customFormat="1" ht="24" customHeight="1">
      <c r="E1029" s="46"/>
    </row>
    <row r="1030" spans="5:5" s="1" customFormat="1" ht="24" customHeight="1">
      <c r="E1030" s="46"/>
    </row>
    <row r="1031" spans="5:5" s="1" customFormat="1" ht="24" customHeight="1">
      <c r="E1031" s="46"/>
    </row>
    <row r="1032" spans="5:5" s="1" customFormat="1" ht="24" customHeight="1">
      <c r="E1032" s="46"/>
    </row>
    <row r="1033" spans="5:5" s="1" customFormat="1" ht="24" customHeight="1">
      <c r="E1033" s="46"/>
    </row>
    <row r="1034" spans="5:5" s="1" customFormat="1" ht="24" customHeight="1">
      <c r="E1034" s="46"/>
    </row>
    <row r="1035" spans="5:5" s="1" customFormat="1" ht="24" customHeight="1">
      <c r="E1035" s="46"/>
    </row>
    <row r="1036" spans="5:5" s="1" customFormat="1" ht="24" customHeight="1">
      <c r="E1036" s="46"/>
    </row>
    <row r="1037" spans="5:5" s="1" customFormat="1" ht="24" customHeight="1">
      <c r="E1037" s="46"/>
    </row>
    <row r="1038" spans="5:5" s="1" customFormat="1" ht="24" customHeight="1">
      <c r="E1038" s="46"/>
    </row>
    <row r="1039" spans="5:5" s="1" customFormat="1" ht="24" customHeight="1">
      <c r="E1039" s="46"/>
    </row>
    <row r="1040" spans="5:5" s="1" customFormat="1" ht="24" customHeight="1">
      <c r="E1040" s="46"/>
    </row>
    <row r="1041" spans="5:5" s="1" customFormat="1" ht="24" customHeight="1">
      <c r="E1041" s="46"/>
    </row>
    <row r="1042" spans="5:5" s="1" customFormat="1" ht="24" customHeight="1">
      <c r="E1042" s="46"/>
    </row>
    <row r="1043" spans="5:5" s="1" customFormat="1" ht="24" customHeight="1">
      <c r="E1043" s="46"/>
    </row>
    <row r="1044" spans="5:5" s="1" customFormat="1" ht="24" customHeight="1">
      <c r="E1044" s="46"/>
    </row>
    <row r="1045" spans="5:5" s="1" customFormat="1" ht="24" customHeight="1">
      <c r="E1045" s="46"/>
    </row>
    <row r="1046" spans="5:5" s="1" customFormat="1" ht="24" customHeight="1">
      <c r="E1046" s="46"/>
    </row>
    <row r="1047" spans="5:5" s="1" customFormat="1" ht="24" customHeight="1">
      <c r="E1047" s="46"/>
    </row>
    <row r="1048" spans="5:5" s="1" customFormat="1" ht="24" customHeight="1">
      <c r="E1048" s="46"/>
    </row>
    <row r="1049" spans="5:5" s="1" customFormat="1" ht="24" customHeight="1">
      <c r="E1049" s="46"/>
    </row>
    <row r="1050" spans="5:5" s="1" customFormat="1" ht="24" customHeight="1">
      <c r="E1050" s="46"/>
    </row>
    <row r="1051" spans="5:5" s="1" customFormat="1" ht="24" customHeight="1">
      <c r="E1051" s="46"/>
    </row>
    <row r="1052" spans="5:5" s="1" customFormat="1" ht="24" customHeight="1">
      <c r="E1052" s="46"/>
    </row>
    <row r="1053" spans="5:5" s="1" customFormat="1" ht="24" customHeight="1">
      <c r="E1053" s="46"/>
    </row>
    <row r="1054" spans="5:5" s="1" customFormat="1" ht="24" customHeight="1">
      <c r="E1054" s="46"/>
    </row>
    <row r="1055" spans="5:5" s="1" customFormat="1" ht="24" customHeight="1">
      <c r="E1055" s="46"/>
    </row>
    <row r="1056" spans="5:5" s="1" customFormat="1" ht="24" customHeight="1">
      <c r="E1056" s="46"/>
    </row>
    <row r="1057" spans="5:5" s="1" customFormat="1" ht="24" customHeight="1">
      <c r="E1057" s="46"/>
    </row>
    <row r="1058" spans="5:5" s="1" customFormat="1" ht="24" customHeight="1">
      <c r="E1058" s="46"/>
    </row>
    <row r="1059" spans="5:5" s="1" customFormat="1" ht="24" customHeight="1">
      <c r="E1059" s="46"/>
    </row>
    <row r="1060" spans="5:5" s="1" customFormat="1" ht="24" customHeight="1">
      <c r="E1060" s="46"/>
    </row>
    <row r="1061" spans="5:5" s="1" customFormat="1" ht="24" customHeight="1">
      <c r="E1061" s="46"/>
    </row>
    <row r="1062" spans="5:5" s="1" customFormat="1" ht="24" customHeight="1">
      <c r="E1062" s="46"/>
    </row>
    <row r="1063" spans="5:5" s="1" customFormat="1" ht="24" customHeight="1">
      <c r="E1063" s="46"/>
    </row>
    <row r="1064" spans="5:5" s="1" customFormat="1" ht="24" customHeight="1">
      <c r="E1064" s="46"/>
    </row>
    <row r="1065" spans="5:5" s="1" customFormat="1" ht="24" customHeight="1">
      <c r="E1065" s="46"/>
    </row>
    <row r="1066" spans="5:5" s="1" customFormat="1" ht="24" customHeight="1">
      <c r="E1066" s="46"/>
    </row>
    <row r="1067" spans="5:5" s="1" customFormat="1" ht="24" customHeight="1">
      <c r="E1067" s="46"/>
    </row>
    <row r="1068" spans="5:5" s="1" customFormat="1" ht="24" customHeight="1">
      <c r="E1068" s="46"/>
    </row>
    <row r="1069" spans="5:5" s="1" customFormat="1" ht="24" customHeight="1">
      <c r="E1069" s="46"/>
    </row>
    <row r="1070" spans="5:5" s="1" customFormat="1" ht="24" customHeight="1">
      <c r="E1070" s="46"/>
    </row>
    <row r="1071" spans="5:5" s="1" customFormat="1" ht="24" customHeight="1">
      <c r="E1071" s="46"/>
    </row>
    <row r="1072" spans="5:5" s="1" customFormat="1" ht="24" customHeight="1">
      <c r="E1072" s="46"/>
    </row>
    <row r="1073" spans="5:5" s="1" customFormat="1" ht="24" customHeight="1">
      <c r="E1073" s="46"/>
    </row>
    <row r="1074" spans="5:5" s="1" customFormat="1" ht="24" customHeight="1">
      <c r="E1074" s="46"/>
    </row>
    <row r="1075" spans="5:5" s="1" customFormat="1" ht="24" customHeight="1">
      <c r="E1075" s="46"/>
    </row>
    <row r="1076" spans="5:5" s="1" customFormat="1" ht="24" customHeight="1">
      <c r="E1076" s="46"/>
    </row>
    <row r="1077" spans="5:5" s="1" customFormat="1" ht="24" customHeight="1">
      <c r="E1077" s="46"/>
    </row>
    <row r="1078" spans="5:5" s="1" customFormat="1" ht="24" customHeight="1">
      <c r="E1078" s="46"/>
    </row>
    <row r="1079" spans="5:5" s="1" customFormat="1" ht="24" customHeight="1">
      <c r="E1079" s="46"/>
    </row>
    <row r="1080" spans="5:5" s="1" customFormat="1" ht="24" customHeight="1">
      <c r="E1080" s="46"/>
    </row>
    <row r="1081" spans="5:5" s="1" customFormat="1" ht="24" customHeight="1">
      <c r="E1081" s="46"/>
    </row>
    <row r="1082" spans="5:5" s="1" customFormat="1" ht="24" customHeight="1">
      <c r="E1082" s="46"/>
    </row>
    <row r="1083" spans="5:5" s="1" customFormat="1" ht="24" customHeight="1">
      <c r="E1083" s="46"/>
    </row>
    <row r="1084" spans="5:5" s="1" customFormat="1" ht="24" customHeight="1">
      <c r="E1084" s="46"/>
    </row>
    <row r="1085" spans="5:5" s="1" customFormat="1" ht="24" customHeight="1">
      <c r="E1085" s="46"/>
    </row>
    <row r="1086" spans="5:5" s="1" customFormat="1" ht="24" customHeight="1">
      <c r="E1086" s="46"/>
    </row>
    <row r="1087" spans="5:5" s="1" customFormat="1" ht="24" customHeight="1">
      <c r="E1087" s="46"/>
    </row>
    <row r="1088" spans="5:5" s="1" customFormat="1" ht="24" customHeight="1">
      <c r="E1088" s="46"/>
    </row>
    <row r="1089" spans="5:5" s="1" customFormat="1" ht="24" customHeight="1">
      <c r="E1089" s="46"/>
    </row>
    <row r="1090" spans="5:5" s="1" customFormat="1" ht="24" customHeight="1">
      <c r="E1090" s="46"/>
    </row>
    <row r="1091" spans="5:5" s="1" customFormat="1" ht="24" customHeight="1">
      <c r="E1091" s="46"/>
    </row>
    <row r="1092" spans="5:5" s="1" customFormat="1" ht="24" customHeight="1">
      <c r="E1092" s="46"/>
    </row>
    <row r="1093" spans="5:5" s="1" customFormat="1" ht="24" customHeight="1">
      <c r="E1093" s="46"/>
    </row>
    <row r="1094" spans="5:5" s="1" customFormat="1" ht="24" customHeight="1">
      <c r="E1094" s="46"/>
    </row>
    <row r="1095" spans="5:5" s="1" customFormat="1" ht="24" customHeight="1">
      <c r="E1095" s="46"/>
    </row>
    <row r="1096" spans="5:5" s="1" customFormat="1" ht="24" customHeight="1">
      <c r="E1096" s="46"/>
    </row>
    <row r="1097" spans="5:5" s="1" customFormat="1" ht="24" customHeight="1">
      <c r="E1097" s="46"/>
    </row>
    <row r="1098" spans="5:5" s="1" customFormat="1" ht="24" customHeight="1">
      <c r="E1098" s="46"/>
    </row>
    <row r="1099" spans="5:5" s="1" customFormat="1" ht="24" customHeight="1">
      <c r="E1099" s="46"/>
    </row>
    <row r="1100" spans="5:5" s="1" customFormat="1" ht="24" customHeight="1">
      <c r="E1100" s="46"/>
    </row>
    <row r="1101" spans="5:5" s="1" customFormat="1" ht="24" customHeight="1">
      <c r="E1101" s="46"/>
    </row>
    <row r="1102" spans="5:5" s="1" customFormat="1" ht="24" customHeight="1">
      <c r="E1102" s="46"/>
    </row>
    <row r="1103" spans="5:5" s="1" customFormat="1" ht="24" customHeight="1">
      <c r="E1103" s="46"/>
    </row>
    <row r="1104" spans="5:5" s="1" customFormat="1" ht="24" customHeight="1">
      <c r="E1104" s="46"/>
    </row>
    <row r="1105" spans="5:5" s="1" customFormat="1" ht="24" customHeight="1">
      <c r="E1105" s="46"/>
    </row>
    <row r="1106" spans="5:5" s="1" customFormat="1" ht="24" customHeight="1">
      <c r="E1106" s="46"/>
    </row>
    <row r="1107" spans="5:5" s="1" customFormat="1" ht="24" customHeight="1">
      <c r="E1107" s="46"/>
    </row>
    <row r="1108" spans="5:5" s="1" customFormat="1" ht="24" customHeight="1">
      <c r="E1108" s="46"/>
    </row>
    <row r="1109" spans="5:5" s="1" customFormat="1" ht="24" customHeight="1">
      <c r="E1109" s="46"/>
    </row>
    <row r="1110" spans="5:5" s="1" customFormat="1" ht="24" customHeight="1">
      <c r="E1110" s="46"/>
    </row>
    <row r="1111" spans="5:5" s="1" customFormat="1" ht="24" customHeight="1">
      <c r="E1111" s="46"/>
    </row>
    <row r="1112" spans="5:5" s="1" customFormat="1" ht="24" customHeight="1">
      <c r="E1112" s="46"/>
    </row>
    <row r="1113" spans="5:5" s="1" customFormat="1" ht="24" customHeight="1">
      <c r="E1113" s="46"/>
    </row>
    <row r="1114" spans="5:5" s="1" customFormat="1" ht="24" customHeight="1">
      <c r="E1114" s="46"/>
    </row>
    <row r="1115" spans="5:5" s="1" customFormat="1" ht="24" customHeight="1">
      <c r="E1115" s="46"/>
    </row>
    <row r="1116" spans="5:5" s="1" customFormat="1" ht="24" customHeight="1">
      <c r="E1116" s="46"/>
    </row>
    <row r="1117" spans="5:5" s="1" customFormat="1" ht="24" customHeight="1">
      <c r="E1117" s="46"/>
    </row>
    <row r="1118" spans="5:5" s="1" customFormat="1" ht="24" customHeight="1">
      <c r="E1118" s="46"/>
    </row>
    <row r="1119" spans="5:5" s="1" customFormat="1" ht="24" customHeight="1">
      <c r="E1119" s="46"/>
    </row>
    <row r="1120" spans="5:5" s="1" customFormat="1" ht="24" customHeight="1">
      <c r="E1120" s="46"/>
    </row>
    <row r="1121" spans="5:5" s="1" customFormat="1" ht="24" customHeight="1">
      <c r="E1121" s="46"/>
    </row>
    <row r="1122" spans="5:5" s="1" customFormat="1" ht="24" customHeight="1">
      <c r="E1122" s="46"/>
    </row>
    <row r="1123" spans="5:5" s="1" customFormat="1" ht="24" customHeight="1">
      <c r="E1123" s="46"/>
    </row>
    <row r="1124" spans="5:5" s="1" customFormat="1" ht="24" customHeight="1">
      <c r="E1124" s="46"/>
    </row>
    <row r="1125" spans="5:5" s="1" customFormat="1" ht="24" customHeight="1">
      <c r="E1125" s="46"/>
    </row>
    <row r="1126" spans="5:5" s="1" customFormat="1" ht="24" customHeight="1">
      <c r="E1126" s="46"/>
    </row>
    <row r="1127" spans="5:5" s="1" customFormat="1" ht="24" customHeight="1">
      <c r="E1127" s="46"/>
    </row>
    <row r="1128" spans="5:5" s="1" customFormat="1" ht="24" customHeight="1">
      <c r="E1128" s="46"/>
    </row>
    <row r="1129" spans="5:5" s="1" customFormat="1" ht="24" customHeight="1">
      <c r="E1129" s="46"/>
    </row>
    <row r="1130" spans="5:5" s="1" customFormat="1" ht="24" customHeight="1">
      <c r="E1130" s="46"/>
    </row>
    <row r="1131" spans="5:5" s="1" customFormat="1" ht="24" customHeight="1">
      <c r="E1131" s="46"/>
    </row>
    <row r="1132" spans="5:5" s="1" customFormat="1" ht="24" customHeight="1">
      <c r="E1132" s="46"/>
    </row>
    <row r="1133" spans="5:5" s="1" customFormat="1" ht="24" customHeight="1">
      <c r="E1133" s="46"/>
    </row>
    <row r="1134" spans="5:5" s="1" customFormat="1" ht="24" customHeight="1">
      <c r="E1134" s="46"/>
    </row>
    <row r="1135" spans="5:5" s="1" customFormat="1" ht="24" customHeight="1">
      <c r="E1135" s="46"/>
    </row>
    <row r="1136" spans="5:5" s="1" customFormat="1" ht="24" customHeight="1">
      <c r="E1136" s="46"/>
    </row>
    <row r="1137" spans="5:5" s="1" customFormat="1" ht="24" customHeight="1">
      <c r="E1137" s="46"/>
    </row>
    <row r="1138" spans="5:5" s="1" customFormat="1" ht="24" customHeight="1">
      <c r="E1138" s="46"/>
    </row>
    <row r="1139" spans="5:5" s="1" customFormat="1" ht="24" customHeight="1">
      <c r="E1139" s="46"/>
    </row>
    <row r="1140" spans="5:5" s="1" customFormat="1" ht="24" customHeight="1">
      <c r="E1140" s="46"/>
    </row>
    <row r="1141" spans="5:5" s="1" customFormat="1" ht="24" customHeight="1">
      <c r="E1141" s="46"/>
    </row>
    <row r="1142" spans="5:5" s="1" customFormat="1" ht="24" customHeight="1">
      <c r="E1142" s="46"/>
    </row>
    <row r="1143" spans="5:5" s="1" customFormat="1" ht="24" customHeight="1">
      <c r="E1143" s="46"/>
    </row>
    <row r="1144" spans="5:5" s="1" customFormat="1" ht="24" customHeight="1">
      <c r="E1144" s="46"/>
    </row>
    <row r="1145" spans="5:5" s="1" customFormat="1" ht="24" customHeight="1">
      <c r="E1145" s="46"/>
    </row>
    <row r="1146" spans="5:5" s="1" customFormat="1" ht="24" customHeight="1">
      <c r="E1146" s="46"/>
    </row>
    <row r="1147" spans="5:5" s="1" customFormat="1" ht="24" customHeight="1">
      <c r="E1147" s="46"/>
    </row>
    <row r="1148" spans="5:5" s="1" customFormat="1" ht="24" customHeight="1">
      <c r="E1148" s="46"/>
    </row>
    <row r="1149" spans="5:5" s="1" customFormat="1" ht="24" customHeight="1">
      <c r="E1149" s="46"/>
    </row>
    <row r="1150" spans="5:5" s="1" customFormat="1" ht="24" customHeight="1">
      <c r="E1150" s="46"/>
    </row>
    <row r="1151" spans="5:5" s="1" customFormat="1" ht="24" customHeight="1">
      <c r="E1151" s="46"/>
    </row>
    <row r="1152" spans="5:5" s="1" customFormat="1" ht="24" customHeight="1">
      <c r="E1152" s="46"/>
    </row>
    <row r="1153" spans="5:5" s="1" customFormat="1" ht="24" customHeight="1">
      <c r="E1153" s="46"/>
    </row>
    <row r="1154" spans="5:5" s="1" customFormat="1" ht="24" customHeight="1">
      <c r="E1154" s="46"/>
    </row>
    <row r="1155" spans="5:5" s="1" customFormat="1" ht="24" customHeight="1">
      <c r="E1155" s="46"/>
    </row>
    <row r="1156" spans="5:5" s="1" customFormat="1" ht="24" customHeight="1">
      <c r="E1156" s="46"/>
    </row>
    <row r="1157" spans="5:5" s="1" customFormat="1" ht="24" customHeight="1">
      <c r="E1157" s="46"/>
    </row>
    <row r="1158" spans="5:5" s="1" customFormat="1" ht="24" customHeight="1">
      <c r="E1158" s="46"/>
    </row>
    <row r="1159" spans="5:5" s="1" customFormat="1" ht="24" customHeight="1">
      <c r="E1159" s="46"/>
    </row>
    <row r="1160" spans="5:5" s="1" customFormat="1" ht="24" customHeight="1">
      <c r="E1160" s="46"/>
    </row>
    <row r="1161" spans="5:5" s="1" customFormat="1" ht="24" customHeight="1">
      <c r="E1161" s="46"/>
    </row>
    <row r="1162" spans="5:5" s="1" customFormat="1" ht="24" customHeight="1">
      <c r="E1162" s="46"/>
    </row>
    <row r="1163" spans="5:5" s="1" customFormat="1" ht="24" customHeight="1">
      <c r="E1163" s="46"/>
    </row>
    <row r="1164" spans="5:5" s="1" customFormat="1" ht="24" customHeight="1">
      <c r="E1164" s="46"/>
    </row>
    <row r="1165" spans="5:5" s="1" customFormat="1" ht="24" customHeight="1">
      <c r="E1165" s="46"/>
    </row>
    <row r="1166" spans="5:5" s="1" customFormat="1" ht="24" customHeight="1">
      <c r="E1166" s="46"/>
    </row>
    <row r="1167" spans="5:5" s="1" customFormat="1" ht="24" customHeight="1">
      <c r="E1167" s="46"/>
    </row>
    <row r="1168" spans="5:5" s="1" customFormat="1" ht="24" customHeight="1">
      <c r="E1168" s="46"/>
    </row>
    <row r="1169" spans="5:5" s="1" customFormat="1" ht="24" customHeight="1">
      <c r="E1169" s="46"/>
    </row>
    <row r="1170" spans="5:5" s="1" customFormat="1" ht="24" customHeight="1">
      <c r="E1170" s="46"/>
    </row>
    <row r="1171" spans="5:5" s="1" customFormat="1" ht="24" customHeight="1">
      <c r="E1171" s="46"/>
    </row>
    <row r="1172" spans="5:5" s="1" customFormat="1" ht="24" customHeight="1">
      <c r="E1172" s="46"/>
    </row>
    <row r="1173" spans="5:5" s="1" customFormat="1" ht="24" customHeight="1">
      <c r="E1173" s="46"/>
    </row>
    <row r="1174" spans="5:5" s="1" customFormat="1" ht="24" customHeight="1">
      <c r="E1174" s="46"/>
    </row>
    <row r="1175" spans="5:5" s="1" customFormat="1" ht="24" customHeight="1">
      <c r="E1175" s="46"/>
    </row>
    <row r="1176" spans="5:5" s="1" customFormat="1" ht="24" customHeight="1">
      <c r="E1176" s="46"/>
    </row>
    <row r="1177" spans="5:5" s="1" customFormat="1" ht="24" customHeight="1">
      <c r="E1177" s="46"/>
    </row>
    <row r="1178" spans="5:5" s="1" customFormat="1" ht="24" customHeight="1">
      <c r="E1178" s="46"/>
    </row>
    <row r="1179" spans="5:5" s="1" customFormat="1" ht="24" customHeight="1">
      <c r="E1179" s="46"/>
    </row>
    <row r="1180" spans="5:5" s="1" customFormat="1" ht="24" customHeight="1">
      <c r="E1180" s="46"/>
    </row>
    <row r="1181" spans="5:5" s="1" customFormat="1" ht="24" customHeight="1">
      <c r="E1181" s="46"/>
    </row>
    <row r="1182" spans="5:5" s="1" customFormat="1" ht="24" customHeight="1">
      <c r="E1182" s="46"/>
    </row>
    <row r="1183" spans="5:5" s="1" customFormat="1" ht="24" customHeight="1">
      <c r="E1183" s="46"/>
    </row>
    <row r="1184" spans="5:5" s="1" customFormat="1" ht="24" customHeight="1">
      <c r="E1184" s="46"/>
    </row>
    <row r="1185" spans="5:5" s="1" customFormat="1" ht="24" customHeight="1">
      <c r="E1185" s="46"/>
    </row>
    <row r="1186" spans="5:5" s="1" customFormat="1" ht="24" customHeight="1">
      <c r="E1186" s="46"/>
    </row>
    <row r="1187" spans="5:5" s="1" customFormat="1" ht="24" customHeight="1">
      <c r="E1187" s="46"/>
    </row>
    <row r="1188" spans="5:5" s="1" customFormat="1" ht="24" customHeight="1">
      <c r="E1188" s="46"/>
    </row>
    <row r="1189" spans="5:5" s="1" customFormat="1" ht="24" customHeight="1">
      <c r="E1189" s="46"/>
    </row>
    <row r="1190" spans="5:5" s="1" customFormat="1" ht="24" customHeight="1">
      <c r="E1190" s="46"/>
    </row>
    <row r="1191" spans="5:5" s="1" customFormat="1" ht="24" customHeight="1">
      <c r="E1191" s="46"/>
    </row>
    <row r="1192" spans="5:5" s="1" customFormat="1" ht="24" customHeight="1">
      <c r="E1192" s="46"/>
    </row>
    <row r="1193" spans="5:5" s="1" customFormat="1" ht="24" customHeight="1">
      <c r="E1193" s="46"/>
    </row>
    <row r="1194" spans="5:5" s="1" customFormat="1" ht="24" customHeight="1">
      <c r="E1194" s="46"/>
    </row>
    <row r="1195" spans="5:5" s="1" customFormat="1" ht="24" customHeight="1">
      <c r="E1195" s="46"/>
    </row>
    <row r="1196" spans="5:5" s="1" customFormat="1" ht="24" customHeight="1">
      <c r="E1196" s="46"/>
    </row>
    <row r="1197" spans="5:5" s="1" customFormat="1" ht="24" customHeight="1">
      <c r="E1197" s="46"/>
    </row>
    <row r="1198" spans="5:5" s="1" customFormat="1" ht="24" customHeight="1">
      <c r="E1198" s="46"/>
    </row>
    <row r="1199" spans="5:5" s="1" customFormat="1" ht="24" customHeight="1">
      <c r="E1199" s="46"/>
    </row>
    <row r="1200" spans="5:5" s="1" customFormat="1" ht="24" customHeight="1">
      <c r="E1200" s="46"/>
    </row>
    <row r="1201" spans="5:5" s="1" customFormat="1" ht="24" customHeight="1">
      <c r="E1201" s="46"/>
    </row>
    <row r="1202" spans="5:5" s="1" customFormat="1" ht="24" customHeight="1">
      <c r="E1202" s="46"/>
    </row>
    <row r="1203" spans="5:5" s="1" customFormat="1" ht="24" customHeight="1">
      <c r="E1203" s="46"/>
    </row>
    <row r="1204" spans="5:5" s="1" customFormat="1" ht="24" customHeight="1">
      <c r="E1204" s="46"/>
    </row>
    <row r="1205" spans="5:5" s="1" customFormat="1" ht="24" customHeight="1">
      <c r="E1205" s="46"/>
    </row>
    <row r="1206" spans="5:5" s="1" customFormat="1" ht="24" customHeight="1">
      <c r="E1206" s="46"/>
    </row>
    <row r="1207" spans="5:5" s="1" customFormat="1" ht="24" customHeight="1">
      <c r="E1207" s="46"/>
    </row>
    <row r="1208" spans="5:5" s="1" customFormat="1" ht="24" customHeight="1">
      <c r="E1208" s="46"/>
    </row>
    <row r="1209" spans="5:5" s="1" customFormat="1" ht="24" customHeight="1">
      <c r="E1209" s="46"/>
    </row>
    <row r="1210" spans="5:5" s="1" customFormat="1" ht="24" customHeight="1">
      <c r="E1210" s="46"/>
    </row>
    <row r="1211" spans="5:5" s="1" customFormat="1" ht="24" customHeight="1">
      <c r="E1211" s="46"/>
    </row>
    <row r="1212" spans="5:5" s="1" customFormat="1" ht="24" customHeight="1">
      <c r="E1212" s="46"/>
    </row>
    <row r="1213" spans="5:5" s="1" customFormat="1" ht="24" customHeight="1">
      <c r="E1213" s="46"/>
    </row>
    <row r="1214" spans="5:5" s="1" customFormat="1" ht="24" customHeight="1">
      <c r="E1214" s="46"/>
    </row>
    <row r="1215" spans="5:5" s="1" customFormat="1" ht="24" customHeight="1">
      <c r="E1215" s="46"/>
    </row>
    <row r="1216" spans="5:5" s="1" customFormat="1" ht="24" customHeight="1">
      <c r="E1216" s="46"/>
    </row>
    <row r="1217" spans="5:5" s="1" customFormat="1" ht="24" customHeight="1">
      <c r="E1217" s="46"/>
    </row>
    <row r="1218" spans="5:5" s="1" customFormat="1" ht="24" customHeight="1">
      <c r="E1218" s="46"/>
    </row>
    <row r="1219" spans="5:5" s="1" customFormat="1" ht="24" customHeight="1">
      <c r="E1219" s="46"/>
    </row>
    <row r="1220" spans="5:5" s="1" customFormat="1" ht="24" customHeight="1">
      <c r="E1220" s="46"/>
    </row>
    <row r="1221" spans="5:5" s="1" customFormat="1" ht="24" customHeight="1">
      <c r="E1221" s="46"/>
    </row>
    <row r="1222" spans="5:5" s="1" customFormat="1" ht="24" customHeight="1">
      <c r="E1222" s="46"/>
    </row>
    <row r="1223" spans="5:5" s="1" customFormat="1" ht="24" customHeight="1">
      <c r="E1223" s="46"/>
    </row>
    <row r="1224" spans="5:5" s="1" customFormat="1" ht="24" customHeight="1">
      <c r="E1224" s="46"/>
    </row>
    <row r="1225" spans="5:5" s="1" customFormat="1" ht="24" customHeight="1">
      <c r="E1225" s="46"/>
    </row>
    <row r="1226" spans="5:5" s="1" customFormat="1" ht="24" customHeight="1">
      <c r="E1226" s="46"/>
    </row>
    <row r="1227" spans="5:5" s="1" customFormat="1" ht="24" customHeight="1">
      <c r="E1227" s="46"/>
    </row>
    <row r="1228" spans="5:5" s="1" customFormat="1" ht="24" customHeight="1">
      <c r="E1228" s="46"/>
    </row>
    <row r="1229" spans="5:5" s="1" customFormat="1" ht="24" customHeight="1">
      <c r="E1229" s="46"/>
    </row>
    <row r="1230" spans="5:5" s="1" customFormat="1" ht="24" customHeight="1">
      <c r="E1230" s="46"/>
    </row>
    <row r="1231" spans="5:5" s="1" customFormat="1" ht="24" customHeight="1">
      <c r="E1231" s="46"/>
    </row>
    <row r="1232" spans="5:5" s="1" customFormat="1" ht="24" customHeight="1">
      <c r="E1232" s="46"/>
    </row>
    <row r="1233" spans="5:5" s="1" customFormat="1" ht="24" customHeight="1">
      <c r="E1233" s="46"/>
    </row>
    <row r="1234" spans="5:5" s="1" customFormat="1" ht="24" customHeight="1">
      <c r="E1234" s="46"/>
    </row>
    <row r="1235" spans="5:5" s="1" customFormat="1" ht="24" customHeight="1">
      <c r="E1235" s="46"/>
    </row>
    <row r="1236" spans="5:5" s="1" customFormat="1" ht="24" customHeight="1">
      <c r="E1236" s="46"/>
    </row>
    <row r="1237" spans="5:5" s="1" customFormat="1" ht="24" customHeight="1">
      <c r="E1237" s="46"/>
    </row>
    <row r="1238" spans="5:5" s="1" customFormat="1" ht="24" customHeight="1">
      <c r="E1238" s="46"/>
    </row>
    <row r="1239" spans="5:5" s="1" customFormat="1" ht="24" customHeight="1">
      <c r="E1239" s="46"/>
    </row>
    <row r="1240" spans="5:5" s="1" customFormat="1" ht="24" customHeight="1">
      <c r="E1240" s="46"/>
    </row>
    <row r="1241" spans="5:5" s="1" customFormat="1" ht="24" customHeight="1">
      <c r="E1241" s="46"/>
    </row>
    <row r="1242" spans="5:5" s="1" customFormat="1" ht="24" customHeight="1">
      <c r="E1242" s="46"/>
    </row>
    <row r="1243" spans="5:5" s="1" customFormat="1" ht="24" customHeight="1">
      <c r="E1243" s="46"/>
    </row>
    <row r="1244" spans="5:5" s="1" customFormat="1" ht="24" customHeight="1">
      <c r="E1244" s="46"/>
    </row>
    <row r="1245" spans="5:5" s="1" customFormat="1" ht="24" customHeight="1">
      <c r="E1245" s="46"/>
    </row>
    <row r="1246" spans="5:5" s="1" customFormat="1" ht="24" customHeight="1">
      <c r="E1246" s="46"/>
    </row>
    <row r="1247" spans="5:5" s="1" customFormat="1" ht="24" customHeight="1">
      <c r="E1247" s="46"/>
    </row>
    <row r="1248" spans="5:5" s="1" customFormat="1" ht="24" customHeight="1">
      <c r="E1248" s="46"/>
    </row>
    <row r="1249" spans="5:5" s="1" customFormat="1" ht="24" customHeight="1">
      <c r="E1249" s="46"/>
    </row>
    <row r="1250" spans="5:5" s="1" customFormat="1" ht="24" customHeight="1">
      <c r="E1250" s="46"/>
    </row>
    <row r="1251" spans="5:5" s="1" customFormat="1" ht="24" customHeight="1">
      <c r="E1251" s="46"/>
    </row>
    <row r="1252" spans="5:5" s="1" customFormat="1" ht="24" customHeight="1">
      <c r="E1252" s="46"/>
    </row>
    <row r="1253" spans="5:5" s="1" customFormat="1" ht="24" customHeight="1">
      <c r="E1253" s="46"/>
    </row>
    <row r="1254" spans="5:5" s="1" customFormat="1" ht="24" customHeight="1">
      <c r="E1254" s="46"/>
    </row>
    <row r="1255" spans="5:5" s="1" customFormat="1" ht="24" customHeight="1">
      <c r="E1255" s="46"/>
    </row>
    <row r="1256" spans="5:5" s="1" customFormat="1" ht="24" customHeight="1">
      <c r="E1256" s="46"/>
    </row>
    <row r="1257" spans="5:5" s="1" customFormat="1" ht="24" customHeight="1">
      <c r="E1257" s="46"/>
    </row>
    <row r="1258" spans="5:5" s="1" customFormat="1" ht="24" customHeight="1">
      <c r="E1258" s="46"/>
    </row>
    <row r="1259" spans="5:5" s="1" customFormat="1" ht="24" customHeight="1">
      <c r="E1259" s="46"/>
    </row>
    <row r="1260" spans="5:5" s="1" customFormat="1" ht="24" customHeight="1">
      <c r="E1260" s="46"/>
    </row>
    <row r="1261" spans="5:5" s="1" customFormat="1" ht="24" customHeight="1">
      <c r="E1261" s="46"/>
    </row>
    <row r="1262" spans="5:5" s="1" customFormat="1" ht="24" customHeight="1">
      <c r="E1262" s="46"/>
    </row>
    <row r="1263" spans="5:5" s="1" customFormat="1" ht="24" customHeight="1">
      <c r="E1263" s="46"/>
    </row>
    <row r="1264" spans="5:5" s="1" customFormat="1" ht="24" customHeight="1">
      <c r="E1264" s="46"/>
    </row>
    <row r="1265" spans="5:5" s="1" customFormat="1" ht="24" customHeight="1">
      <c r="E1265" s="46"/>
    </row>
    <row r="1266" spans="5:5" s="1" customFormat="1" ht="24" customHeight="1">
      <c r="E1266" s="46"/>
    </row>
    <row r="1267" spans="5:5" s="1" customFormat="1" ht="24" customHeight="1">
      <c r="E1267" s="46"/>
    </row>
    <row r="1268" spans="5:5" s="1" customFormat="1" ht="24" customHeight="1">
      <c r="E1268" s="46"/>
    </row>
    <row r="1269" spans="5:5" s="1" customFormat="1" ht="24" customHeight="1">
      <c r="E1269" s="46"/>
    </row>
    <row r="1270" spans="5:5" s="1" customFormat="1" ht="24" customHeight="1">
      <c r="E1270" s="46"/>
    </row>
    <row r="1271" spans="5:5" s="1" customFormat="1" ht="24" customHeight="1">
      <c r="E1271" s="46"/>
    </row>
    <row r="1272" spans="5:5" s="1" customFormat="1" ht="24" customHeight="1">
      <c r="E1272" s="46"/>
    </row>
    <row r="1273" spans="5:5" s="1" customFormat="1" ht="24" customHeight="1">
      <c r="E1273" s="46"/>
    </row>
    <row r="1274" spans="5:5" s="1" customFormat="1" ht="24" customHeight="1">
      <c r="E1274" s="46"/>
    </row>
    <row r="1275" spans="5:5" s="1" customFormat="1" ht="24" customHeight="1">
      <c r="E1275" s="46"/>
    </row>
    <row r="1276" spans="5:5" s="1" customFormat="1" ht="24" customHeight="1">
      <c r="E1276" s="46"/>
    </row>
    <row r="1277" spans="5:5" s="1" customFormat="1" ht="24" customHeight="1">
      <c r="E1277" s="46"/>
    </row>
    <row r="1278" spans="5:5" s="1" customFormat="1" ht="24" customHeight="1">
      <c r="E1278" s="46"/>
    </row>
    <row r="1279" spans="5:5" s="1" customFormat="1" ht="24" customHeight="1">
      <c r="E1279" s="46"/>
    </row>
    <row r="1280" spans="5:5" s="1" customFormat="1" ht="24" customHeight="1">
      <c r="E1280" s="46"/>
    </row>
    <row r="1281" spans="5:5" s="1" customFormat="1" ht="24" customHeight="1">
      <c r="E1281" s="46"/>
    </row>
    <row r="1282" spans="5:5" s="1" customFormat="1" ht="24" customHeight="1">
      <c r="E1282" s="46"/>
    </row>
    <row r="1283" spans="5:5" s="1" customFormat="1" ht="24" customHeight="1">
      <c r="E1283" s="46"/>
    </row>
    <row r="1284" spans="5:5" s="1" customFormat="1" ht="24" customHeight="1">
      <c r="E1284" s="46"/>
    </row>
    <row r="1285" spans="5:5" s="1" customFormat="1" ht="24" customHeight="1">
      <c r="E1285" s="46"/>
    </row>
    <row r="1286" spans="5:5" s="1" customFormat="1" ht="24" customHeight="1">
      <c r="E1286" s="46"/>
    </row>
    <row r="1287" spans="5:5" s="1" customFormat="1" ht="24" customHeight="1">
      <c r="E1287" s="46"/>
    </row>
    <row r="1288" spans="5:5" s="1" customFormat="1" ht="24" customHeight="1">
      <c r="E1288" s="46"/>
    </row>
    <row r="1289" spans="5:5" s="1" customFormat="1" ht="24" customHeight="1">
      <c r="E1289" s="46"/>
    </row>
    <row r="1290" spans="5:5" s="1" customFormat="1" ht="24" customHeight="1">
      <c r="E1290" s="46"/>
    </row>
    <row r="1291" spans="5:5" s="1" customFormat="1" ht="24" customHeight="1">
      <c r="E1291" s="46"/>
    </row>
    <row r="1292" spans="5:5" s="1" customFormat="1" ht="24" customHeight="1">
      <c r="E1292" s="46"/>
    </row>
    <row r="1293" spans="5:5" s="1" customFormat="1" ht="24" customHeight="1">
      <c r="E1293" s="46"/>
    </row>
    <row r="1294" spans="5:5" s="1" customFormat="1" ht="24" customHeight="1">
      <c r="E1294" s="46"/>
    </row>
    <row r="1295" spans="5:5" s="1" customFormat="1" ht="24" customHeight="1">
      <c r="E1295" s="46"/>
    </row>
    <row r="1296" spans="5:5" s="1" customFormat="1" ht="24" customHeight="1">
      <c r="E1296" s="46"/>
    </row>
    <row r="1297" spans="5:5" s="1" customFormat="1" ht="24" customHeight="1">
      <c r="E1297" s="46"/>
    </row>
    <row r="1298" spans="5:5" s="1" customFormat="1" ht="24" customHeight="1">
      <c r="E1298" s="46"/>
    </row>
    <row r="1299" spans="5:5" s="1" customFormat="1" ht="24" customHeight="1">
      <c r="E1299" s="46"/>
    </row>
    <row r="1300" spans="5:5" s="1" customFormat="1" ht="24" customHeight="1">
      <c r="E1300" s="46"/>
    </row>
    <row r="1301" spans="5:5" s="1" customFormat="1" ht="24" customHeight="1">
      <c r="E1301" s="46"/>
    </row>
    <row r="1302" spans="5:5" s="1" customFormat="1" ht="24" customHeight="1">
      <c r="E1302" s="46"/>
    </row>
    <row r="1303" spans="5:5" s="1" customFormat="1" ht="24" customHeight="1">
      <c r="E1303" s="46"/>
    </row>
    <row r="1304" spans="5:5" s="1" customFormat="1" ht="24" customHeight="1">
      <c r="E1304" s="46"/>
    </row>
    <row r="1305" spans="5:5" s="1" customFormat="1" ht="24" customHeight="1">
      <c r="E1305" s="46"/>
    </row>
    <row r="1306" spans="5:5" s="1" customFormat="1" ht="24" customHeight="1">
      <c r="E1306" s="46"/>
    </row>
    <row r="1307" spans="5:5" s="1" customFormat="1" ht="24" customHeight="1">
      <c r="E1307" s="46"/>
    </row>
    <row r="1308" spans="5:5" s="1" customFormat="1" ht="24" customHeight="1">
      <c r="E1308" s="46"/>
    </row>
    <row r="1309" spans="5:5" s="1" customFormat="1" ht="24" customHeight="1">
      <c r="E1309" s="46"/>
    </row>
    <row r="1310" spans="5:5" s="1" customFormat="1" ht="24" customHeight="1">
      <c r="E1310" s="46"/>
    </row>
    <row r="1311" spans="5:5" s="1" customFormat="1" ht="24" customHeight="1">
      <c r="E1311" s="46"/>
    </row>
    <row r="1312" spans="5:5" s="1" customFormat="1" ht="24" customHeight="1">
      <c r="E1312" s="46"/>
    </row>
    <row r="1313" spans="5:5" s="1" customFormat="1" ht="24" customHeight="1">
      <c r="E1313" s="46"/>
    </row>
    <row r="1314" spans="5:5" s="1" customFormat="1" ht="24" customHeight="1">
      <c r="E1314" s="46"/>
    </row>
    <row r="1315" spans="5:5" s="1" customFormat="1" ht="24" customHeight="1">
      <c r="E1315" s="46"/>
    </row>
    <row r="1316" spans="5:5" s="1" customFormat="1" ht="24" customHeight="1">
      <c r="E1316" s="46"/>
    </row>
    <row r="1317" spans="5:5" s="1" customFormat="1" ht="24" customHeight="1">
      <c r="E1317" s="46"/>
    </row>
    <row r="1318" spans="5:5" s="1" customFormat="1" ht="24" customHeight="1">
      <c r="E1318" s="46"/>
    </row>
    <row r="1319" spans="5:5" s="1" customFormat="1" ht="24" customHeight="1">
      <c r="E1319" s="46"/>
    </row>
    <row r="1320" spans="5:5" s="1" customFormat="1" ht="24" customHeight="1">
      <c r="E1320" s="46"/>
    </row>
    <row r="1321" spans="5:5" s="1" customFormat="1" ht="24" customHeight="1">
      <c r="E1321" s="46"/>
    </row>
    <row r="1322" spans="5:5" s="1" customFormat="1" ht="24" customHeight="1">
      <c r="E1322" s="46"/>
    </row>
    <row r="1323" spans="5:5" s="1" customFormat="1" ht="24" customHeight="1">
      <c r="E1323" s="46"/>
    </row>
    <row r="1324" spans="5:5" s="1" customFormat="1" ht="24" customHeight="1">
      <c r="E1324" s="46"/>
    </row>
    <row r="1325" spans="5:5" s="1" customFormat="1" ht="24" customHeight="1">
      <c r="E1325" s="46"/>
    </row>
    <row r="1326" spans="5:5" s="1" customFormat="1" ht="24" customHeight="1">
      <c r="E1326" s="46"/>
    </row>
    <row r="1327" spans="5:5" s="1" customFormat="1" ht="24" customHeight="1">
      <c r="E1327" s="46"/>
    </row>
    <row r="1328" spans="5:5" s="1" customFormat="1" ht="24" customHeight="1">
      <c r="E1328" s="46"/>
    </row>
    <row r="1329" spans="5:5" s="1" customFormat="1" ht="24" customHeight="1">
      <c r="E1329" s="46"/>
    </row>
    <row r="1330" spans="5:5" s="1" customFormat="1" ht="24" customHeight="1">
      <c r="E1330" s="46"/>
    </row>
    <row r="1331" spans="5:5" s="1" customFormat="1" ht="24" customHeight="1">
      <c r="E1331" s="46"/>
    </row>
    <row r="1332" spans="5:5" s="1" customFormat="1" ht="24" customHeight="1">
      <c r="E1332" s="46"/>
    </row>
    <row r="1333" spans="5:5" s="1" customFormat="1" ht="24" customHeight="1">
      <c r="E1333" s="46"/>
    </row>
    <row r="1334" spans="5:5" s="1" customFormat="1" ht="24" customHeight="1">
      <c r="E1334" s="46"/>
    </row>
    <row r="1335" spans="5:5" s="1" customFormat="1" ht="24" customHeight="1">
      <c r="E1335" s="46"/>
    </row>
    <row r="1336" spans="5:5" s="1" customFormat="1" ht="24" customHeight="1">
      <c r="E1336" s="46"/>
    </row>
    <row r="1337" spans="5:5" s="1" customFormat="1" ht="24" customHeight="1">
      <c r="E1337" s="46"/>
    </row>
    <row r="1338" spans="5:5" s="1" customFormat="1" ht="24" customHeight="1">
      <c r="E1338" s="46"/>
    </row>
    <row r="1339" spans="5:5" s="1" customFormat="1" ht="24" customHeight="1">
      <c r="E1339" s="46"/>
    </row>
    <row r="1340" spans="5:5" s="1" customFormat="1" ht="24" customHeight="1">
      <c r="E1340" s="46"/>
    </row>
    <row r="1341" spans="5:5" s="1" customFormat="1" ht="24" customHeight="1">
      <c r="E1341" s="46"/>
    </row>
    <row r="1342" spans="5:5" s="1" customFormat="1" ht="24" customHeight="1">
      <c r="E1342" s="46"/>
    </row>
    <row r="1343" spans="5:5" s="1" customFormat="1" ht="24" customHeight="1">
      <c r="E1343" s="46"/>
    </row>
    <row r="1344" spans="5:5" s="1" customFormat="1" ht="24" customHeight="1">
      <c r="E1344" s="46"/>
    </row>
    <row r="1345" spans="5:5" s="1" customFormat="1" ht="24" customHeight="1">
      <c r="E1345" s="46"/>
    </row>
    <row r="1346" spans="5:5" s="1" customFormat="1" ht="24" customHeight="1">
      <c r="E1346" s="46"/>
    </row>
    <row r="1347" spans="5:5" s="1" customFormat="1" ht="24" customHeight="1">
      <c r="E1347" s="46"/>
    </row>
    <row r="1348" spans="5:5" s="1" customFormat="1" ht="24" customHeight="1">
      <c r="E1348" s="46"/>
    </row>
    <row r="1349" spans="5:5" s="1" customFormat="1" ht="24" customHeight="1">
      <c r="E1349" s="46"/>
    </row>
    <row r="1350" spans="5:5" s="1" customFormat="1" ht="24" customHeight="1">
      <c r="E1350" s="46"/>
    </row>
    <row r="1351" spans="5:5" s="1" customFormat="1" ht="24" customHeight="1">
      <c r="E1351" s="46"/>
    </row>
    <row r="1352" spans="5:5" s="1" customFormat="1" ht="24" customHeight="1">
      <c r="E1352" s="46"/>
    </row>
    <row r="1353" spans="5:5" s="1" customFormat="1" ht="24" customHeight="1">
      <c r="E1353" s="46"/>
    </row>
    <row r="1354" spans="5:5" s="1" customFormat="1" ht="24" customHeight="1">
      <c r="E1354" s="46"/>
    </row>
    <row r="1355" spans="5:5" s="1" customFormat="1" ht="24" customHeight="1">
      <c r="E1355" s="46"/>
    </row>
    <row r="1356" spans="5:5" s="1" customFormat="1" ht="24" customHeight="1">
      <c r="E1356" s="46"/>
    </row>
    <row r="1357" spans="5:5" s="1" customFormat="1" ht="24" customHeight="1">
      <c r="E1357" s="46"/>
    </row>
    <row r="1358" spans="5:5" s="1" customFormat="1" ht="24" customHeight="1">
      <c r="E1358" s="46"/>
    </row>
    <row r="1359" spans="5:5" s="1" customFormat="1" ht="24" customHeight="1">
      <c r="E1359" s="46"/>
    </row>
    <row r="1360" spans="5:5" s="1" customFormat="1" ht="24" customHeight="1">
      <c r="E1360" s="46"/>
    </row>
    <row r="1361" spans="5:5" s="1" customFormat="1" ht="24" customHeight="1">
      <c r="E1361" s="46"/>
    </row>
    <row r="1362" spans="5:5" s="1" customFormat="1" ht="24" customHeight="1">
      <c r="E1362" s="46"/>
    </row>
    <row r="1363" spans="5:5" s="1" customFormat="1" ht="24" customHeight="1">
      <c r="E1363" s="46"/>
    </row>
    <row r="1364" spans="5:5" s="1" customFormat="1" ht="24" customHeight="1">
      <c r="E1364" s="46"/>
    </row>
    <row r="1365" spans="5:5" s="1" customFormat="1" ht="24" customHeight="1">
      <c r="E1365" s="46"/>
    </row>
    <row r="1366" spans="5:5" s="1" customFormat="1" ht="24" customHeight="1">
      <c r="E1366" s="46"/>
    </row>
    <row r="1367" spans="5:5" s="1" customFormat="1" ht="24" customHeight="1">
      <c r="E1367" s="46"/>
    </row>
    <row r="1368" spans="5:5" s="1" customFormat="1" ht="24" customHeight="1">
      <c r="E1368" s="46"/>
    </row>
    <row r="1369" spans="5:5" s="1" customFormat="1" ht="24" customHeight="1">
      <c r="E1369" s="46"/>
    </row>
    <row r="1370" spans="5:5" s="1" customFormat="1" ht="24" customHeight="1">
      <c r="E1370" s="46"/>
    </row>
    <row r="1371" spans="5:5" s="1" customFormat="1" ht="24" customHeight="1">
      <c r="E1371" s="46"/>
    </row>
    <row r="1372" spans="5:5" s="1" customFormat="1" ht="24" customHeight="1">
      <c r="E1372" s="46"/>
    </row>
    <row r="1373" spans="5:5" s="1" customFormat="1" ht="24" customHeight="1">
      <c r="E1373" s="46"/>
    </row>
    <row r="1374" spans="5:5" s="1" customFormat="1" ht="24" customHeight="1">
      <c r="E1374" s="46"/>
    </row>
    <row r="1375" spans="5:5" s="1" customFormat="1" ht="24" customHeight="1">
      <c r="E1375" s="46"/>
    </row>
    <row r="1376" spans="5:5" s="1" customFormat="1" ht="24" customHeight="1">
      <c r="E1376" s="46"/>
    </row>
    <row r="1377" spans="5:5" s="1" customFormat="1" ht="24" customHeight="1">
      <c r="E1377" s="46"/>
    </row>
    <row r="1378" spans="5:5" s="1" customFormat="1" ht="24" customHeight="1">
      <c r="E1378" s="46"/>
    </row>
    <row r="1379" spans="5:5" s="1" customFormat="1" ht="24" customHeight="1">
      <c r="E1379" s="46"/>
    </row>
    <row r="1380" spans="5:5" s="1" customFormat="1" ht="24" customHeight="1">
      <c r="E1380" s="46"/>
    </row>
    <row r="1381" spans="5:5" s="1" customFormat="1" ht="24" customHeight="1">
      <c r="E1381" s="46"/>
    </row>
    <row r="1382" spans="5:5" s="1" customFormat="1" ht="24" customHeight="1">
      <c r="E1382" s="46"/>
    </row>
    <row r="1383" spans="5:5" s="1" customFormat="1" ht="24" customHeight="1">
      <c r="E1383" s="46"/>
    </row>
    <row r="1384" spans="5:5" s="1" customFormat="1" ht="24" customHeight="1">
      <c r="E1384" s="46"/>
    </row>
    <row r="1385" spans="5:5" s="1" customFormat="1" ht="24" customHeight="1">
      <c r="E1385" s="46"/>
    </row>
    <row r="1386" spans="5:5" s="1" customFormat="1" ht="24" customHeight="1">
      <c r="E1386" s="46"/>
    </row>
    <row r="1387" spans="5:5" s="1" customFormat="1" ht="24" customHeight="1">
      <c r="E1387" s="46"/>
    </row>
    <row r="1388" spans="5:5" s="1" customFormat="1" ht="24" customHeight="1">
      <c r="E1388" s="46"/>
    </row>
    <row r="1389" spans="5:5" s="1" customFormat="1" ht="24" customHeight="1">
      <c r="E1389" s="46"/>
    </row>
    <row r="1390" spans="5:5" s="1" customFormat="1" ht="24" customHeight="1">
      <c r="E1390" s="46"/>
    </row>
    <row r="1391" spans="5:5" s="1" customFormat="1" ht="24" customHeight="1">
      <c r="E1391" s="46"/>
    </row>
    <row r="1392" spans="5:5" s="1" customFormat="1" ht="24" customHeight="1">
      <c r="E1392" s="46"/>
    </row>
    <row r="1393" spans="5:5" s="1" customFormat="1" ht="24" customHeight="1">
      <c r="E1393" s="46"/>
    </row>
    <row r="1394" spans="5:5" s="1" customFormat="1" ht="24" customHeight="1">
      <c r="E1394" s="46"/>
    </row>
    <row r="1395" spans="5:5" s="1" customFormat="1" ht="24" customHeight="1">
      <c r="E1395" s="46"/>
    </row>
    <row r="1396" spans="5:5" s="1" customFormat="1" ht="24" customHeight="1">
      <c r="E1396" s="46"/>
    </row>
    <row r="1397" spans="5:5" s="1" customFormat="1" ht="24" customHeight="1">
      <c r="E1397" s="46"/>
    </row>
    <row r="1398" spans="5:5" s="1" customFormat="1" ht="24" customHeight="1">
      <c r="E1398" s="46"/>
    </row>
    <row r="1399" spans="5:5" s="1" customFormat="1" ht="24" customHeight="1">
      <c r="E1399" s="46"/>
    </row>
    <row r="1400" spans="5:5" s="1" customFormat="1" ht="24" customHeight="1">
      <c r="E1400" s="46"/>
    </row>
    <row r="1401" spans="5:5" s="1" customFormat="1" ht="24" customHeight="1">
      <c r="E1401" s="46"/>
    </row>
    <row r="1402" spans="5:5" s="1" customFormat="1" ht="24" customHeight="1">
      <c r="E1402" s="46"/>
    </row>
    <row r="1403" spans="5:5" s="1" customFormat="1" ht="24" customHeight="1">
      <c r="E1403" s="46"/>
    </row>
    <row r="1404" spans="5:5" s="1" customFormat="1" ht="24" customHeight="1">
      <c r="E1404" s="46"/>
    </row>
    <row r="1405" spans="5:5" s="1" customFormat="1" ht="24" customHeight="1">
      <c r="E1405" s="46"/>
    </row>
    <row r="1406" spans="5:5" s="1" customFormat="1" ht="24" customHeight="1">
      <c r="E1406" s="46"/>
    </row>
    <row r="1407" spans="5:5" s="1" customFormat="1" ht="24" customHeight="1">
      <c r="E1407" s="46"/>
    </row>
    <row r="1408" spans="5:5" s="1" customFormat="1" ht="24" customHeight="1">
      <c r="E1408" s="46"/>
    </row>
    <row r="1409" spans="5:5" s="1" customFormat="1" ht="24" customHeight="1">
      <c r="E1409" s="46"/>
    </row>
    <row r="1410" spans="5:5" s="1" customFormat="1" ht="24" customHeight="1">
      <c r="E1410" s="46"/>
    </row>
    <row r="1411" spans="5:5" s="1" customFormat="1" ht="24" customHeight="1">
      <c r="E1411" s="46"/>
    </row>
    <row r="1412" spans="5:5" s="1" customFormat="1" ht="24" customHeight="1">
      <c r="E1412" s="46"/>
    </row>
    <row r="1413" spans="5:5" s="1" customFormat="1" ht="24" customHeight="1">
      <c r="E1413" s="46"/>
    </row>
    <row r="1414" spans="5:5" s="1" customFormat="1" ht="24" customHeight="1">
      <c r="E1414" s="46"/>
    </row>
    <row r="1415" spans="5:5" s="1" customFormat="1" ht="24" customHeight="1">
      <c r="E1415" s="46"/>
    </row>
    <row r="1416" spans="5:5" s="1" customFormat="1" ht="24" customHeight="1">
      <c r="E1416" s="46"/>
    </row>
    <row r="1417" spans="5:5" s="1" customFormat="1" ht="24" customHeight="1">
      <c r="E1417" s="46"/>
    </row>
    <row r="1418" spans="5:5" s="1" customFormat="1" ht="24" customHeight="1">
      <c r="E1418" s="46"/>
    </row>
    <row r="1419" spans="5:5" s="1" customFormat="1" ht="24" customHeight="1">
      <c r="E1419" s="46"/>
    </row>
    <row r="1420" spans="5:5" s="1" customFormat="1" ht="24" customHeight="1">
      <c r="E1420" s="46"/>
    </row>
    <row r="1421" spans="5:5" s="1" customFormat="1" ht="24" customHeight="1">
      <c r="E1421" s="46"/>
    </row>
    <row r="1422" spans="5:5" s="1" customFormat="1" ht="24" customHeight="1">
      <c r="E1422" s="46"/>
    </row>
    <row r="1423" spans="5:5" s="1" customFormat="1" ht="24" customHeight="1">
      <c r="E1423" s="46"/>
    </row>
    <row r="1424" spans="5:5" s="1" customFormat="1" ht="24" customHeight="1">
      <c r="E1424" s="46"/>
    </row>
    <row r="1425" spans="5:5" s="1" customFormat="1" ht="24" customHeight="1">
      <c r="E1425" s="46"/>
    </row>
    <row r="1426" spans="5:5" s="1" customFormat="1" ht="24" customHeight="1">
      <c r="E1426" s="46"/>
    </row>
    <row r="1427" spans="5:5" s="1" customFormat="1" ht="24" customHeight="1">
      <c r="E1427" s="46"/>
    </row>
    <row r="1428" spans="5:5" s="1" customFormat="1" ht="24" customHeight="1">
      <c r="E1428" s="46"/>
    </row>
    <row r="1429" spans="5:5" s="1" customFormat="1" ht="24" customHeight="1">
      <c r="E1429" s="46"/>
    </row>
    <row r="1430" spans="5:5" s="1" customFormat="1" ht="24" customHeight="1">
      <c r="E1430" s="46"/>
    </row>
    <row r="1431" spans="5:5" s="1" customFormat="1" ht="24" customHeight="1">
      <c r="E1431" s="46"/>
    </row>
    <row r="1432" spans="5:5" s="1" customFormat="1" ht="24" customHeight="1">
      <c r="E1432" s="46"/>
    </row>
    <row r="1433" spans="5:5" s="1" customFormat="1" ht="24" customHeight="1">
      <c r="E1433" s="46"/>
    </row>
    <row r="1434" spans="5:5" s="1" customFormat="1" ht="24" customHeight="1">
      <c r="E1434" s="46"/>
    </row>
    <row r="1435" spans="5:5" s="1" customFormat="1" ht="24" customHeight="1">
      <c r="E1435" s="46"/>
    </row>
    <row r="1436" spans="5:5" s="1" customFormat="1" ht="24" customHeight="1">
      <c r="E1436" s="46"/>
    </row>
    <row r="1437" spans="5:5" s="1" customFormat="1" ht="24" customHeight="1">
      <c r="E1437" s="46"/>
    </row>
    <row r="1438" spans="5:5" s="1" customFormat="1" ht="24" customHeight="1">
      <c r="E1438" s="46"/>
    </row>
    <row r="1439" spans="5:5" s="1" customFormat="1" ht="24" customHeight="1">
      <c r="E1439" s="46"/>
    </row>
    <row r="1440" spans="5:5" s="1" customFormat="1" ht="24" customHeight="1">
      <c r="E1440" s="46"/>
    </row>
    <row r="1441" spans="5:5" s="1" customFormat="1" ht="24" customHeight="1">
      <c r="E1441" s="46"/>
    </row>
    <row r="1442" spans="5:5" s="1" customFormat="1" ht="24" customHeight="1">
      <c r="E1442" s="46"/>
    </row>
    <row r="1443" spans="5:5" s="1" customFormat="1" ht="24" customHeight="1">
      <c r="E1443" s="46"/>
    </row>
    <row r="1444" spans="5:5" s="1" customFormat="1" ht="24" customHeight="1">
      <c r="E1444" s="46"/>
    </row>
    <row r="1445" spans="5:5" s="1" customFormat="1" ht="24" customHeight="1">
      <c r="E1445" s="46"/>
    </row>
    <row r="1446" spans="5:5" s="1" customFormat="1" ht="24" customHeight="1">
      <c r="E1446" s="46"/>
    </row>
    <row r="1447" spans="5:5" s="1" customFormat="1" ht="24" customHeight="1">
      <c r="E1447" s="46"/>
    </row>
    <row r="1448" spans="5:5" s="1" customFormat="1" ht="24" customHeight="1">
      <c r="E1448" s="46"/>
    </row>
    <row r="1449" spans="5:5" s="1" customFormat="1" ht="24" customHeight="1">
      <c r="E1449" s="46"/>
    </row>
    <row r="1450" spans="5:5" s="1" customFormat="1" ht="24" customHeight="1">
      <c r="E1450" s="46"/>
    </row>
    <row r="1451" spans="5:5" s="1" customFormat="1" ht="24" customHeight="1">
      <c r="E1451" s="46"/>
    </row>
    <row r="1452" spans="5:5" s="1" customFormat="1" ht="24" customHeight="1">
      <c r="E1452" s="46"/>
    </row>
    <row r="1453" spans="5:5" s="1" customFormat="1" ht="24" customHeight="1">
      <c r="E1453" s="46"/>
    </row>
    <row r="1454" spans="5:5" s="1" customFormat="1" ht="24" customHeight="1">
      <c r="E1454" s="46"/>
    </row>
    <row r="1455" spans="5:5" s="1" customFormat="1" ht="24" customHeight="1">
      <c r="E1455" s="46"/>
    </row>
    <row r="1456" spans="5:5" s="1" customFormat="1" ht="24" customHeight="1">
      <c r="E1456" s="46"/>
    </row>
    <row r="1457" spans="5:5" s="1" customFormat="1" ht="24" customHeight="1">
      <c r="E1457" s="46"/>
    </row>
    <row r="1458" spans="5:5" s="1" customFormat="1" ht="24" customHeight="1">
      <c r="E1458" s="46"/>
    </row>
    <row r="1459" spans="5:5" s="1" customFormat="1" ht="24" customHeight="1">
      <c r="E1459" s="46"/>
    </row>
    <row r="1460" spans="5:5" s="1" customFormat="1" ht="24" customHeight="1">
      <c r="E1460" s="46"/>
    </row>
    <row r="1461" spans="5:5" s="1" customFormat="1" ht="24" customHeight="1">
      <c r="E1461" s="46"/>
    </row>
    <row r="1462" spans="5:5" s="1" customFormat="1" ht="24" customHeight="1">
      <c r="E1462" s="46"/>
    </row>
    <row r="1463" spans="5:5" s="1" customFormat="1" ht="24" customHeight="1">
      <c r="E1463" s="46"/>
    </row>
    <row r="1464" spans="5:5" s="1" customFormat="1" ht="24" customHeight="1">
      <c r="E1464" s="46"/>
    </row>
    <row r="1465" spans="5:5" s="1" customFormat="1" ht="24" customHeight="1">
      <c r="E1465" s="46"/>
    </row>
    <row r="1466" spans="5:5" s="1" customFormat="1" ht="24" customHeight="1">
      <c r="E1466" s="46"/>
    </row>
    <row r="1467" spans="5:5" s="1" customFormat="1" ht="24" customHeight="1">
      <c r="E1467" s="46"/>
    </row>
    <row r="1468" spans="5:5" s="1" customFormat="1" ht="24" customHeight="1">
      <c r="E1468" s="46"/>
    </row>
    <row r="1469" spans="5:5" s="1" customFormat="1" ht="24" customHeight="1">
      <c r="E1469" s="46"/>
    </row>
    <row r="1470" spans="5:5" s="1" customFormat="1" ht="24" customHeight="1">
      <c r="E1470" s="46"/>
    </row>
    <row r="1471" spans="5:5" s="1" customFormat="1" ht="24" customHeight="1">
      <c r="E1471" s="46"/>
    </row>
    <row r="1472" spans="5:5" s="1" customFormat="1" ht="24" customHeight="1">
      <c r="E1472" s="46"/>
    </row>
    <row r="1473" spans="5:5" s="1" customFormat="1" ht="24" customHeight="1">
      <c r="E1473" s="46"/>
    </row>
    <row r="1474" spans="5:5" s="1" customFormat="1" ht="24" customHeight="1">
      <c r="E1474" s="46"/>
    </row>
    <row r="1475" spans="5:5" s="1" customFormat="1" ht="24" customHeight="1">
      <c r="E1475" s="46"/>
    </row>
    <row r="1476" spans="5:5" s="1" customFormat="1" ht="24" customHeight="1">
      <c r="E1476" s="46"/>
    </row>
    <row r="1477" spans="5:5" s="1" customFormat="1" ht="24" customHeight="1">
      <c r="E1477" s="46"/>
    </row>
    <row r="1478" spans="5:5" s="1" customFormat="1" ht="24" customHeight="1">
      <c r="E1478" s="46"/>
    </row>
    <row r="1479" spans="5:5" s="1" customFormat="1" ht="24" customHeight="1">
      <c r="E1479" s="46"/>
    </row>
    <row r="1480" spans="5:5" s="1" customFormat="1" ht="24" customHeight="1">
      <c r="E1480" s="46"/>
    </row>
    <row r="1481" spans="5:5" s="1" customFormat="1" ht="24" customHeight="1">
      <c r="E1481" s="46"/>
    </row>
    <row r="1482" spans="5:5" s="1" customFormat="1" ht="24" customHeight="1">
      <c r="E1482" s="46"/>
    </row>
    <row r="1483" spans="5:5" s="1" customFormat="1" ht="24" customHeight="1">
      <c r="E1483" s="46"/>
    </row>
    <row r="1484" spans="5:5" s="1" customFormat="1" ht="24" customHeight="1">
      <c r="E1484" s="46"/>
    </row>
    <row r="1485" spans="5:5" s="1" customFormat="1" ht="24" customHeight="1">
      <c r="E1485" s="46"/>
    </row>
    <row r="1486" spans="5:5" s="1" customFormat="1" ht="24" customHeight="1">
      <c r="E1486" s="46"/>
    </row>
    <row r="1487" spans="5:5" s="1" customFormat="1" ht="24" customHeight="1">
      <c r="E1487" s="46"/>
    </row>
    <row r="1488" spans="5:5" s="1" customFormat="1" ht="24" customHeight="1">
      <c r="E1488" s="46"/>
    </row>
    <row r="1489" spans="5:5" s="1" customFormat="1" ht="24" customHeight="1">
      <c r="E1489" s="46"/>
    </row>
    <row r="1490" spans="5:5" s="1" customFormat="1" ht="24" customHeight="1">
      <c r="E1490" s="46"/>
    </row>
    <row r="1491" spans="5:5" s="1" customFormat="1" ht="24" customHeight="1">
      <c r="E1491" s="46"/>
    </row>
    <row r="1492" spans="5:5" s="1" customFormat="1" ht="24" customHeight="1">
      <c r="E1492" s="46"/>
    </row>
    <row r="1493" spans="5:5" s="1" customFormat="1" ht="24" customHeight="1">
      <c r="E1493" s="46"/>
    </row>
    <row r="1494" spans="5:5" s="1" customFormat="1" ht="24" customHeight="1">
      <c r="E1494" s="46"/>
    </row>
    <row r="1495" spans="5:5" s="1" customFormat="1" ht="24" customHeight="1">
      <c r="E1495" s="46"/>
    </row>
    <row r="1496" spans="5:5" s="1" customFormat="1" ht="24" customHeight="1">
      <c r="E1496" s="46"/>
    </row>
    <row r="1497" spans="5:5" s="1" customFormat="1" ht="24" customHeight="1">
      <c r="E1497" s="46"/>
    </row>
    <row r="1498" spans="5:5" s="1" customFormat="1" ht="24" customHeight="1">
      <c r="E1498" s="46"/>
    </row>
    <row r="1499" spans="5:5" s="1" customFormat="1" ht="24" customHeight="1">
      <c r="E1499" s="46"/>
    </row>
    <row r="1500" spans="5:5" s="1" customFormat="1" ht="24" customHeight="1">
      <c r="E1500" s="46"/>
    </row>
    <row r="1501" spans="5:5" s="1" customFormat="1" ht="24" customHeight="1">
      <c r="E1501" s="46"/>
    </row>
    <row r="1502" spans="5:5" s="1" customFormat="1" ht="24" customHeight="1">
      <c r="E1502" s="46"/>
    </row>
    <row r="1503" spans="5:5" s="1" customFormat="1" ht="24" customHeight="1">
      <c r="E1503" s="46"/>
    </row>
    <row r="1504" spans="5:5" s="1" customFormat="1" ht="24" customHeight="1">
      <c r="E1504" s="46"/>
    </row>
    <row r="1505" spans="5:5" s="1" customFormat="1" ht="24" customHeight="1">
      <c r="E1505" s="46"/>
    </row>
    <row r="1506" spans="5:5" s="1" customFormat="1" ht="24" customHeight="1">
      <c r="E1506" s="46"/>
    </row>
    <row r="1507" spans="5:5" s="1" customFormat="1" ht="24" customHeight="1">
      <c r="E1507" s="46"/>
    </row>
    <row r="1508" spans="5:5" s="1" customFormat="1" ht="24" customHeight="1">
      <c r="E1508" s="46"/>
    </row>
    <row r="1509" spans="5:5" s="1" customFormat="1" ht="24" customHeight="1">
      <c r="E1509" s="46"/>
    </row>
    <row r="1510" spans="5:5" s="1" customFormat="1" ht="24" customHeight="1">
      <c r="E1510" s="46"/>
    </row>
    <row r="1511" spans="5:5" s="1" customFormat="1" ht="24" customHeight="1">
      <c r="E1511" s="46"/>
    </row>
    <row r="1512" spans="5:5" s="1" customFormat="1" ht="24" customHeight="1">
      <c r="E1512" s="46"/>
    </row>
    <row r="1513" spans="5:5" s="1" customFormat="1" ht="24" customHeight="1">
      <c r="E1513" s="46"/>
    </row>
    <row r="1514" spans="5:5" s="1" customFormat="1" ht="24" customHeight="1">
      <c r="E1514" s="46"/>
    </row>
    <row r="1515" spans="5:5" s="1" customFormat="1" ht="24" customHeight="1">
      <c r="E1515" s="46"/>
    </row>
    <row r="1516" spans="5:5" s="1" customFormat="1" ht="24" customHeight="1">
      <c r="E1516" s="46"/>
    </row>
    <row r="1517" spans="5:5" s="1" customFormat="1" ht="24" customHeight="1">
      <c r="E1517" s="46"/>
    </row>
    <row r="1518" spans="5:5" s="1" customFormat="1" ht="24" customHeight="1">
      <c r="E1518" s="46"/>
    </row>
    <row r="1519" spans="5:5" s="1" customFormat="1" ht="24" customHeight="1">
      <c r="E1519" s="46"/>
    </row>
    <row r="1520" spans="5:5" s="1" customFormat="1" ht="24" customHeight="1">
      <c r="E1520" s="46"/>
    </row>
    <row r="1521" spans="5:5" s="1" customFormat="1" ht="24" customHeight="1">
      <c r="E1521" s="46"/>
    </row>
    <row r="1522" spans="5:5" s="1" customFormat="1" ht="24" customHeight="1">
      <c r="E1522" s="46"/>
    </row>
    <row r="1523" spans="5:5" s="1" customFormat="1" ht="24" customHeight="1">
      <c r="E1523" s="46"/>
    </row>
    <row r="1524" spans="5:5" s="1" customFormat="1" ht="24" customHeight="1">
      <c r="E1524" s="46"/>
    </row>
    <row r="1525" spans="5:5" s="1" customFormat="1" ht="24" customHeight="1">
      <c r="E1525" s="46"/>
    </row>
    <row r="1526" spans="5:5" s="1" customFormat="1" ht="24" customHeight="1">
      <c r="E1526" s="46"/>
    </row>
    <row r="1527" spans="5:5" s="1" customFormat="1" ht="24" customHeight="1">
      <c r="E1527" s="46"/>
    </row>
    <row r="1528" spans="5:5" s="1" customFormat="1" ht="24" customHeight="1">
      <c r="E1528" s="46"/>
    </row>
    <row r="1529" spans="5:5" s="1" customFormat="1" ht="24" customHeight="1">
      <c r="E1529" s="46"/>
    </row>
    <row r="1530" spans="5:5" s="1" customFormat="1" ht="24" customHeight="1">
      <c r="E1530" s="46"/>
    </row>
    <row r="1531" spans="5:5" s="1" customFormat="1" ht="24" customHeight="1">
      <c r="E1531" s="46"/>
    </row>
    <row r="1532" spans="5:5" s="1" customFormat="1" ht="24" customHeight="1">
      <c r="E1532" s="46"/>
    </row>
    <row r="1533" spans="5:5" s="1" customFormat="1" ht="24" customHeight="1">
      <c r="E1533" s="46"/>
    </row>
    <row r="1534" spans="5:5" s="1" customFormat="1" ht="24" customHeight="1">
      <c r="E1534" s="46"/>
    </row>
    <row r="1535" spans="5:5" s="1" customFormat="1" ht="24" customHeight="1">
      <c r="E1535" s="46"/>
    </row>
    <row r="1536" spans="5:5" s="1" customFormat="1" ht="24" customHeight="1">
      <c r="E1536" s="46"/>
    </row>
    <row r="1537" spans="5:5" s="1" customFormat="1" ht="24" customHeight="1">
      <c r="E1537" s="46"/>
    </row>
    <row r="1538" spans="5:5" s="1" customFormat="1" ht="24" customHeight="1">
      <c r="E1538" s="46"/>
    </row>
    <row r="1539" spans="5:5" s="1" customFormat="1" ht="24" customHeight="1">
      <c r="E1539" s="46"/>
    </row>
    <row r="1540" spans="5:5" s="1" customFormat="1" ht="24" customHeight="1">
      <c r="E1540" s="46"/>
    </row>
    <row r="1541" spans="5:5" s="1" customFormat="1" ht="24" customHeight="1">
      <c r="E1541" s="46"/>
    </row>
    <row r="1542" spans="5:5" s="1" customFormat="1" ht="24" customHeight="1">
      <c r="E1542" s="46"/>
    </row>
    <row r="1543" spans="5:5" s="1" customFormat="1" ht="24" customHeight="1">
      <c r="E1543" s="46"/>
    </row>
    <row r="1544" spans="5:5" s="1" customFormat="1" ht="24" customHeight="1">
      <c r="E1544" s="46"/>
    </row>
    <row r="1545" spans="5:5" s="1" customFormat="1" ht="24" customHeight="1">
      <c r="E1545" s="46"/>
    </row>
    <row r="1546" spans="5:5" s="1" customFormat="1" ht="24" customHeight="1">
      <c r="E1546" s="46"/>
    </row>
    <row r="1547" spans="5:5" s="1" customFormat="1" ht="24" customHeight="1">
      <c r="E1547" s="46"/>
    </row>
    <row r="1548" spans="5:5" s="1" customFormat="1" ht="24" customHeight="1">
      <c r="E1548" s="46"/>
    </row>
    <row r="1549" spans="5:5" s="1" customFormat="1" ht="24" customHeight="1">
      <c r="E1549" s="46"/>
    </row>
    <row r="1550" spans="5:5" s="1" customFormat="1" ht="24" customHeight="1">
      <c r="E1550" s="46"/>
    </row>
    <row r="1551" spans="5:5" s="1" customFormat="1" ht="24" customHeight="1">
      <c r="E1551" s="46"/>
    </row>
    <row r="1552" spans="5:5" s="1" customFormat="1" ht="24" customHeight="1">
      <c r="E1552" s="46"/>
    </row>
    <row r="1553" spans="5:5" s="1" customFormat="1" ht="24" customHeight="1">
      <c r="E1553" s="46"/>
    </row>
    <row r="1554" spans="5:5" s="1" customFormat="1" ht="24" customHeight="1">
      <c r="E1554" s="46"/>
    </row>
    <row r="1555" spans="5:5" s="1" customFormat="1" ht="24" customHeight="1">
      <c r="E1555" s="46"/>
    </row>
    <row r="1556" spans="5:5" s="1" customFormat="1" ht="24" customHeight="1">
      <c r="E1556" s="46"/>
    </row>
    <row r="1557" spans="5:5" s="1" customFormat="1" ht="24" customHeight="1">
      <c r="E1557" s="46"/>
    </row>
    <row r="1558" spans="5:5" s="1" customFormat="1" ht="24" customHeight="1">
      <c r="E1558" s="46"/>
    </row>
    <row r="1559" spans="5:5" s="1" customFormat="1" ht="24" customHeight="1">
      <c r="E1559" s="46"/>
    </row>
    <row r="1560" spans="5:5" s="1" customFormat="1" ht="24" customHeight="1">
      <c r="E1560" s="46"/>
    </row>
    <row r="1561" spans="5:5" s="1" customFormat="1" ht="24" customHeight="1">
      <c r="E1561" s="46"/>
    </row>
    <row r="1562" spans="5:5" s="1" customFormat="1" ht="24" customHeight="1">
      <c r="E1562" s="46"/>
    </row>
    <row r="1563" spans="5:5" s="1" customFormat="1" ht="24" customHeight="1">
      <c r="E1563" s="46"/>
    </row>
    <row r="1564" spans="5:5" s="1" customFormat="1" ht="24" customHeight="1">
      <c r="E1564" s="46"/>
    </row>
    <row r="1565" spans="5:5" s="1" customFormat="1" ht="24" customHeight="1">
      <c r="E1565" s="46"/>
    </row>
    <row r="1566" spans="5:5" s="1" customFormat="1" ht="24" customHeight="1">
      <c r="E1566" s="46"/>
    </row>
    <row r="1567" spans="5:5" s="1" customFormat="1" ht="24" customHeight="1">
      <c r="E1567" s="46"/>
    </row>
    <row r="1568" spans="5:5" s="1" customFormat="1" ht="24" customHeight="1">
      <c r="E1568" s="46"/>
    </row>
    <row r="1569" spans="5:5" s="1" customFormat="1" ht="24" customHeight="1">
      <c r="E1569" s="46"/>
    </row>
    <row r="1570" spans="5:5" s="1" customFormat="1" ht="24" customHeight="1">
      <c r="E1570" s="46"/>
    </row>
    <row r="1571" spans="5:5" s="1" customFormat="1" ht="24" customHeight="1">
      <c r="E1571" s="46"/>
    </row>
    <row r="1572" spans="5:5" s="1" customFormat="1" ht="24" customHeight="1">
      <c r="E1572" s="46"/>
    </row>
    <row r="1573" spans="5:5" s="1" customFormat="1" ht="24" customHeight="1">
      <c r="E1573" s="46"/>
    </row>
    <row r="1574" spans="5:5" s="1" customFormat="1" ht="24" customHeight="1">
      <c r="E1574" s="46"/>
    </row>
    <row r="1575" spans="5:5" s="1" customFormat="1" ht="24" customHeight="1">
      <c r="E1575" s="46"/>
    </row>
    <row r="1576" spans="5:5" s="1" customFormat="1" ht="24" customHeight="1">
      <c r="E1576" s="46"/>
    </row>
    <row r="1577" spans="5:5" s="1" customFormat="1" ht="24" customHeight="1">
      <c r="E1577" s="46"/>
    </row>
    <row r="1578" spans="5:5" s="1" customFormat="1" ht="24" customHeight="1">
      <c r="E1578" s="46"/>
    </row>
    <row r="1579" spans="5:5" s="1" customFormat="1" ht="24" customHeight="1">
      <c r="E1579" s="46"/>
    </row>
    <row r="1580" spans="5:5" s="1" customFormat="1" ht="24" customHeight="1">
      <c r="E1580" s="46"/>
    </row>
    <row r="1581" spans="5:5" s="1" customFormat="1" ht="24" customHeight="1">
      <c r="E1581" s="46"/>
    </row>
    <row r="1582" spans="5:5" s="1" customFormat="1" ht="24" customHeight="1">
      <c r="E1582" s="46"/>
    </row>
    <row r="1583" spans="5:5" s="1" customFormat="1" ht="24" customHeight="1">
      <c r="E1583" s="46"/>
    </row>
    <row r="1584" spans="5:5" s="1" customFormat="1" ht="24" customHeight="1">
      <c r="E1584" s="46"/>
    </row>
    <row r="1585" spans="5:5" s="1" customFormat="1" ht="24" customHeight="1">
      <c r="E1585" s="46"/>
    </row>
    <row r="1586" spans="5:5" s="1" customFormat="1" ht="24" customHeight="1">
      <c r="E1586" s="46"/>
    </row>
    <row r="1587" spans="5:5" s="1" customFormat="1" ht="24" customHeight="1">
      <c r="E1587" s="46"/>
    </row>
    <row r="1588" spans="5:5" s="1" customFormat="1" ht="24" customHeight="1">
      <c r="E1588" s="46"/>
    </row>
    <row r="1589" spans="5:5" s="1" customFormat="1" ht="24" customHeight="1">
      <c r="E1589" s="46"/>
    </row>
    <row r="1590" spans="5:5" s="1" customFormat="1" ht="24" customHeight="1">
      <c r="E1590" s="46"/>
    </row>
    <row r="1591" spans="5:5" s="1" customFormat="1" ht="24" customHeight="1">
      <c r="E1591" s="46"/>
    </row>
    <row r="1592" spans="5:5" s="1" customFormat="1" ht="24" customHeight="1">
      <c r="E1592" s="46"/>
    </row>
    <row r="1593" spans="5:5" s="1" customFormat="1" ht="24" customHeight="1">
      <c r="E1593" s="46"/>
    </row>
    <row r="1594" spans="5:5" s="1" customFormat="1" ht="24" customHeight="1">
      <c r="E1594" s="46"/>
    </row>
    <row r="1595" spans="5:5" s="1" customFormat="1" ht="24" customHeight="1">
      <c r="E1595" s="46"/>
    </row>
    <row r="1596" spans="5:5" s="1" customFormat="1" ht="24" customHeight="1">
      <c r="E1596" s="46"/>
    </row>
    <row r="1597" spans="5:5" s="1" customFormat="1" ht="24" customHeight="1">
      <c r="E1597" s="46"/>
    </row>
    <row r="1598" spans="5:5" s="1" customFormat="1" ht="24" customHeight="1">
      <c r="E1598" s="46"/>
    </row>
    <row r="1599" spans="5:5" s="1" customFormat="1" ht="24" customHeight="1">
      <c r="E1599" s="46"/>
    </row>
    <row r="1600" spans="5:5" s="1" customFormat="1" ht="24" customHeight="1">
      <c r="E1600" s="46"/>
    </row>
    <row r="1601" spans="5:5" s="1" customFormat="1" ht="24" customHeight="1">
      <c r="E1601" s="46"/>
    </row>
    <row r="1602" spans="5:5" s="1" customFormat="1" ht="24" customHeight="1">
      <c r="E1602" s="46"/>
    </row>
    <row r="1603" spans="5:5" s="1" customFormat="1" ht="24" customHeight="1">
      <c r="E1603" s="46"/>
    </row>
    <row r="1604" spans="5:5" s="1" customFormat="1" ht="24" customHeight="1">
      <c r="E1604" s="46"/>
    </row>
    <row r="1605" spans="5:5" s="1" customFormat="1" ht="24" customHeight="1">
      <c r="E1605" s="46"/>
    </row>
    <row r="1606" spans="5:5" s="1" customFormat="1" ht="24" customHeight="1">
      <c r="E1606" s="46"/>
    </row>
    <row r="1607" spans="5:5" s="1" customFormat="1" ht="24" customHeight="1">
      <c r="E1607" s="46"/>
    </row>
    <row r="1608" spans="5:5" s="1" customFormat="1" ht="24" customHeight="1">
      <c r="E1608" s="46"/>
    </row>
    <row r="1609" spans="5:5" s="1" customFormat="1" ht="24" customHeight="1">
      <c r="E1609" s="46"/>
    </row>
    <row r="1610" spans="5:5" s="1" customFormat="1" ht="24" customHeight="1">
      <c r="E1610" s="46"/>
    </row>
    <row r="1611" spans="5:5" s="1" customFormat="1" ht="24" customHeight="1">
      <c r="E1611" s="46"/>
    </row>
    <row r="1612" spans="5:5" s="1" customFormat="1" ht="24" customHeight="1">
      <c r="E1612" s="46"/>
    </row>
    <row r="1613" spans="5:5" s="1" customFormat="1" ht="24" customHeight="1">
      <c r="E1613" s="46"/>
    </row>
    <row r="1614" spans="5:5" s="1" customFormat="1" ht="24" customHeight="1">
      <c r="E1614" s="46"/>
    </row>
    <row r="1615" spans="5:5" s="1" customFormat="1" ht="24" customHeight="1">
      <c r="E1615" s="46"/>
    </row>
    <row r="1616" spans="5:5" s="1" customFormat="1" ht="24" customHeight="1">
      <c r="E1616" s="46"/>
    </row>
    <row r="1617" spans="5:5" s="1" customFormat="1" ht="24" customHeight="1">
      <c r="E1617" s="46"/>
    </row>
    <row r="1618" spans="5:5" s="1" customFormat="1" ht="24" customHeight="1">
      <c r="E1618" s="46"/>
    </row>
    <row r="1619" spans="5:5" s="1" customFormat="1" ht="24" customHeight="1">
      <c r="E1619" s="46"/>
    </row>
    <row r="1620" spans="5:5" s="1" customFormat="1" ht="24" customHeight="1">
      <c r="E1620" s="46"/>
    </row>
    <row r="1621" spans="5:5" s="1" customFormat="1" ht="24" customHeight="1">
      <c r="E1621" s="46"/>
    </row>
    <row r="1622" spans="5:5" s="1" customFormat="1" ht="24" customHeight="1">
      <c r="E1622" s="46"/>
    </row>
    <row r="1623" spans="5:5" s="1" customFormat="1" ht="24" customHeight="1">
      <c r="E1623" s="46"/>
    </row>
    <row r="1624" spans="5:5" s="1" customFormat="1" ht="24" customHeight="1">
      <c r="E1624" s="46"/>
    </row>
    <row r="1625" spans="5:5" s="1" customFormat="1" ht="24" customHeight="1">
      <c r="E1625" s="46"/>
    </row>
    <row r="1626" spans="5:5" s="1" customFormat="1" ht="24" customHeight="1">
      <c r="E1626" s="46"/>
    </row>
    <row r="1627" spans="5:5" s="1" customFormat="1" ht="24" customHeight="1">
      <c r="E1627" s="46"/>
    </row>
    <row r="1628" spans="5:5" s="1" customFormat="1" ht="24" customHeight="1">
      <c r="E1628" s="46"/>
    </row>
    <row r="1629" spans="5:5" s="1" customFormat="1" ht="24" customHeight="1">
      <c r="E1629" s="46"/>
    </row>
    <row r="1630" spans="5:5" s="1" customFormat="1" ht="24" customHeight="1">
      <c r="E1630" s="46"/>
    </row>
    <row r="1631" spans="5:5" s="1" customFormat="1" ht="24" customHeight="1">
      <c r="E1631" s="46"/>
    </row>
    <row r="1632" spans="5:5" s="1" customFormat="1" ht="24" customHeight="1">
      <c r="E1632" s="46"/>
    </row>
    <row r="1633" spans="5:5" s="1" customFormat="1" ht="24" customHeight="1">
      <c r="E1633" s="46"/>
    </row>
    <row r="1634" spans="5:5" s="1" customFormat="1" ht="24" customHeight="1">
      <c r="E1634" s="46"/>
    </row>
    <row r="1635" spans="5:5" s="1" customFormat="1" ht="24" customHeight="1">
      <c r="E1635" s="46"/>
    </row>
    <row r="1636" spans="5:5" s="1" customFormat="1" ht="24" customHeight="1">
      <c r="E1636" s="46"/>
    </row>
    <row r="1637" spans="5:5" s="1" customFormat="1" ht="24" customHeight="1">
      <c r="E1637" s="46"/>
    </row>
    <row r="1638" spans="5:5" s="1" customFormat="1" ht="24" customHeight="1">
      <c r="E1638" s="46"/>
    </row>
    <row r="1639" spans="5:5" s="1" customFormat="1" ht="24" customHeight="1">
      <c r="E1639" s="46"/>
    </row>
    <row r="1640" spans="5:5" s="1" customFormat="1" ht="24" customHeight="1">
      <c r="E1640" s="46"/>
    </row>
    <row r="1641" spans="5:5" s="1" customFormat="1" ht="24" customHeight="1">
      <c r="E1641" s="46"/>
    </row>
    <row r="1642" spans="5:5" s="1" customFormat="1" ht="24" customHeight="1">
      <c r="E1642" s="46"/>
    </row>
    <row r="1643" spans="5:5" s="1" customFormat="1" ht="24" customHeight="1">
      <c r="E1643" s="46"/>
    </row>
    <row r="1644" spans="5:5" s="1" customFormat="1" ht="24" customHeight="1">
      <c r="E1644" s="46"/>
    </row>
    <row r="1645" spans="5:5" s="1" customFormat="1" ht="24" customHeight="1">
      <c r="E1645" s="46"/>
    </row>
    <row r="1646" spans="5:5" s="1" customFormat="1" ht="24" customHeight="1">
      <c r="E1646" s="46"/>
    </row>
    <row r="1647" spans="5:5" s="1" customFormat="1" ht="24" customHeight="1">
      <c r="E1647" s="46"/>
    </row>
    <row r="1648" spans="5:5" s="1" customFormat="1" ht="24" customHeight="1">
      <c r="E1648" s="46"/>
    </row>
    <row r="1649" spans="5:5" s="1" customFormat="1" ht="24" customHeight="1">
      <c r="E1649" s="46"/>
    </row>
    <row r="1650" spans="5:5" s="1" customFormat="1" ht="24" customHeight="1">
      <c r="E1650" s="46"/>
    </row>
    <row r="1651" spans="5:5" s="1" customFormat="1" ht="24" customHeight="1">
      <c r="E1651" s="46"/>
    </row>
    <row r="1652" spans="5:5" s="1" customFormat="1" ht="24" customHeight="1">
      <c r="E1652" s="46"/>
    </row>
    <row r="1653" spans="5:5" s="1" customFormat="1" ht="24" customHeight="1">
      <c r="E1653" s="46"/>
    </row>
    <row r="1654" spans="5:5" s="1" customFormat="1" ht="24" customHeight="1">
      <c r="E1654" s="46"/>
    </row>
    <row r="1655" spans="5:5" s="1" customFormat="1" ht="24" customHeight="1">
      <c r="E1655" s="46"/>
    </row>
    <row r="1656" spans="5:5" s="1" customFormat="1" ht="24" customHeight="1">
      <c r="E1656" s="46"/>
    </row>
    <row r="1657" spans="5:5" s="1" customFormat="1" ht="24" customHeight="1">
      <c r="E1657" s="46"/>
    </row>
    <row r="1658" spans="5:5" s="1" customFormat="1" ht="24" customHeight="1">
      <c r="E1658" s="46"/>
    </row>
    <row r="1659" spans="5:5" s="1" customFormat="1" ht="24" customHeight="1">
      <c r="E1659" s="46"/>
    </row>
    <row r="1660" spans="5:5" s="1" customFormat="1" ht="24" customHeight="1">
      <c r="E1660" s="46"/>
    </row>
    <row r="1661" spans="5:5" s="1" customFormat="1" ht="24" customHeight="1">
      <c r="E1661" s="46"/>
    </row>
    <row r="1662" spans="5:5" s="1" customFormat="1" ht="24" customHeight="1">
      <c r="E1662" s="46"/>
    </row>
    <row r="1663" spans="5:5" s="1" customFormat="1" ht="24" customHeight="1">
      <c r="E1663" s="46"/>
    </row>
    <row r="1664" spans="5:5" s="1" customFormat="1" ht="24" customHeight="1">
      <c r="E1664" s="46"/>
    </row>
    <row r="1665" spans="5:5" s="1" customFormat="1" ht="24" customHeight="1">
      <c r="E1665" s="46"/>
    </row>
    <row r="1666" spans="5:5" s="1" customFormat="1" ht="24" customHeight="1">
      <c r="E1666" s="46"/>
    </row>
    <row r="1667" spans="5:5" s="1" customFormat="1" ht="24" customHeight="1">
      <c r="E1667" s="46"/>
    </row>
    <row r="1668" spans="5:5" s="1" customFormat="1" ht="24" customHeight="1">
      <c r="E1668" s="46"/>
    </row>
    <row r="1669" spans="5:5" s="1" customFormat="1" ht="24" customHeight="1">
      <c r="E1669" s="46"/>
    </row>
    <row r="1670" spans="5:5" s="1" customFormat="1" ht="24" customHeight="1">
      <c r="E1670" s="46"/>
    </row>
    <row r="1671" spans="5:5" s="1" customFormat="1" ht="24" customHeight="1">
      <c r="E1671" s="46"/>
    </row>
    <row r="1672" spans="5:5" s="1" customFormat="1" ht="24" customHeight="1">
      <c r="E1672" s="46"/>
    </row>
    <row r="1673" spans="5:5" s="1" customFormat="1" ht="24" customHeight="1">
      <c r="E1673" s="46"/>
    </row>
    <row r="1674" spans="5:5" s="1" customFormat="1" ht="24" customHeight="1">
      <c r="E1674" s="46"/>
    </row>
    <row r="1675" spans="5:5" s="1" customFormat="1" ht="24" customHeight="1">
      <c r="E1675" s="46"/>
    </row>
    <row r="1676" spans="5:5" s="1" customFormat="1" ht="24" customHeight="1">
      <c r="E1676" s="46"/>
    </row>
    <row r="1677" spans="5:5" s="1" customFormat="1" ht="24" customHeight="1">
      <c r="E1677" s="46"/>
    </row>
    <row r="1678" spans="5:5" s="1" customFormat="1" ht="24" customHeight="1">
      <c r="E1678" s="46"/>
    </row>
    <row r="1679" spans="5:5" s="1" customFormat="1" ht="24" customHeight="1">
      <c r="E1679" s="46"/>
    </row>
    <row r="1680" spans="5:5" s="1" customFormat="1" ht="24" customHeight="1">
      <c r="E1680" s="46"/>
    </row>
    <row r="1681" spans="5:5" s="1" customFormat="1" ht="24" customHeight="1">
      <c r="E1681" s="46"/>
    </row>
    <row r="1682" spans="5:5" s="1" customFormat="1" ht="24" customHeight="1">
      <c r="E1682" s="46"/>
    </row>
    <row r="1683" spans="5:5" s="1" customFormat="1" ht="24" customHeight="1">
      <c r="E1683" s="46"/>
    </row>
    <row r="1684" spans="5:5" s="1" customFormat="1" ht="24" customHeight="1">
      <c r="E1684" s="46"/>
    </row>
    <row r="1685" spans="5:5" s="1" customFormat="1" ht="24" customHeight="1">
      <c r="E1685" s="46"/>
    </row>
    <row r="1686" spans="5:5" s="1" customFormat="1" ht="24" customHeight="1">
      <c r="E1686" s="46"/>
    </row>
    <row r="1687" spans="5:5" s="1" customFormat="1" ht="24" customHeight="1">
      <c r="E1687" s="46"/>
    </row>
    <row r="1688" spans="5:5" s="1" customFormat="1" ht="24" customHeight="1">
      <c r="E1688" s="46"/>
    </row>
    <row r="1689" spans="5:5" s="1" customFormat="1" ht="24" customHeight="1">
      <c r="E1689" s="46"/>
    </row>
    <row r="1690" spans="5:5" s="1" customFormat="1" ht="24" customHeight="1">
      <c r="E1690" s="46"/>
    </row>
    <row r="1691" spans="5:5" s="1" customFormat="1" ht="24" customHeight="1">
      <c r="E1691" s="46"/>
    </row>
    <row r="1692" spans="5:5" s="1" customFormat="1" ht="24" customHeight="1">
      <c r="E1692" s="46"/>
    </row>
    <row r="1693" spans="5:5" s="1" customFormat="1" ht="24" customHeight="1">
      <c r="E1693" s="46"/>
    </row>
    <row r="1694" spans="5:5" s="1" customFormat="1" ht="24" customHeight="1">
      <c r="E1694" s="46"/>
    </row>
    <row r="1695" spans="5:5" s="1" customFormat="1" ht="24" customHeight="1">
      <c r="E1695" s="46"/>
    </row>
    <row r="1696" spans="5:5" s="1" customFormat="1" ht="24" customHeight="1">
      <c r="E1696" s="46"/>
    </row>
    <row r="1697" spans="5:5" s="1" customFormat="1" ht="24" customHeight="1">
      <c r="E1697" s="46"/>
    </row>
    <row r="1698" spans="5:5" s="1" customFormat="1" ht="24" customHeight="1">
      <c r="E1698" s="46"/>
    </row>
    <row r="1699" spans="5:5" s="1" customFormat="1" ht="24" customHeight="1">
      <c r="E1699" s="46"/>
    </row>
    <row r="1700" spans="5:5" s="1" customFormat="1" ht="24" customHeight="1">
      <c r="E1700" s="46"/>
    </row>
    <row r="1701" spans="5:5" s="1" customFormat="1" ht="24" customHeight="1">
      <c r="E1701" s="46"/>
    </row>
    <row r="1702" spans="5:5" s="1" customFormat="1" ht="24" customHeight="1">
      <c r="E1702" s="46"/>
    </row>
    <row r="1703" spans="5:5" s="1" customFormat="1" ht="24" customHeight="1">
      <c r="E1703" s="46"/>
    </row>
    <row r="1704" spans="5:5" s="1" customFormat="1" ht="24" customHeight="1">
      <c r="E1704" s="46"/>
    </row>
    <row r="1705" spans="5:5" s="1" customFormat="1" ht="24" customHeight="1">
      <c r="E1705" s="46"/>
    </row>
    <row r="1706" spans="5:5" s="1" customFormat="1" ht="24" customHeight="1">
      <c r="E1706" s="46"/>
    </row>
    <row r="1707" spans="5:5" s="1" customFormat="1" ht="24" customHeight="1">
      <c r="E1707" s="46"/>
    </row>
    <row r="1708" spans="5:5" s="1" customFormat="1" ht="24" customHeight="1">
      <c r="E1708" s="46"/>
    </row>
    <row r="1709" spans="5:5" s="1" customFormat="1" ht="24" customHeight="1">
      <c r="E1709" s="46"/>
    </row>
    <row r="1710" spans="5:5" s="1" customFormat="1" ht="24" customHeight="1">
      <c r="E1710" s="46"/>
    </row>
    <row r="1711" spans="5:5" s="1" customFormat="1" ht="24" customHeight="1">
      <c r="E1711" s="46"/>
    </row>
    <row r="1712" spans="5:5" s="1" customFormat="1" ht="24" customHeight="1">
      <c r="E1712" s="46"/>
    </row>
    <row r="1713" spans="5:5" s="1" customFormat="1" ht="24" customHeight="1">
      <c r="E1713" s="46"/>
    </row>
    <row r="1714" spans="5:5" s="1" customFormat="1" ht="24" customHeight="1">
      <c r="E1714" s="46"/>
    </row>
    <row r="1715" spans="5:5" s="1" customFormat="1" ht="24" customHeight="1">
      <c r="E1715" s="46"/>
    </row>
    <row r="1716" spans="5:5" s="1" customFormat="1" ht="24" customHeight="1">
      <c r="E1716" s="46"/>
    </row>
    <row r="1717" spans="5:5" s="1" customFormat="1" ht="24" customHeight="1">
      <c r="E1717" s="46"/>
    </row>
    <row r="1718" spans="5:5" s="1" customFormat="1" ht="24" customHeight="1">
      <c r="E1718" s="46"/>
    </row>
    <row r="1719" spans="5:5" s="1" customFormat="1" ht="24" customHeight="1">
      <c r="E1719" s="46"/>
    </row>
    <row r="1720" spans="5:5" s="1" customFormat="1" ht="24" customHeight="1">
      <c r="E1720" s="46"/>
    </row>
    <row r="1721" spans="5:5" s="1" customFormat="1" ht="24" customHeight="1">
      <c r="E1721" s="46"/>
    </row>
    <row r="1722" spans="5:5" s="1" customFormat="1" ht="24" customHeight="1">
      <c r="E1722" s="46"/>
    </row>
    <row r="1723" spans="5:5" s="1" customFormat="1" ht="24" customHeight="1">
      <c r="E1723" s="46"/>
    </row>
    <row r="1724" spans="5:5" s="1" customFormat="1" ht="24" customHeight="1">
      <c r="E1724" s="46"/>
    </row>
    <row r="1725" spans="5:5" s="1" customFormat="1" ht="24" customHeight="1">
      <c r="E1725" s="46"/>
    </row>
    <row r="1726" spans="5:5" s="1" customFormat="1" ht="24" customHeight="1">
      <c r="E1726" s="46"/>
    </row>
    <row r="1727" spans="5:5" s="1" customFormat="1" ht="24" customHeight="1">
      <c r="E1727" s="46"/>
    </row>
    <row r="1728" spans="5:5" s="1" customFormat="1" ht="24" customHeight="1">
      <c r="E1728" s="46"/>
    </row>
    <row r="1729" spans="5:5" s="1" customFormat="1" ht="24" customHeight="1">
      <c r="E1729" s="46"/>
    </row>
    <row r="1730" spans="5:5" s="1" customFormat="1" ht="24" customHeight="1">
      <c r="E1730" s="46"/>
    </row>
    <row r="1731" spans="5:5" s="1" customFormat="1" ht="24" customHeight="1">
      <c r="E1731" s="46"/>
    </row>
    <row r="1732" spans="5:5" s="1" customFormat="1" ht="24" customHeight="1">
      <c r="E1732" s="46"/>
    </row>
    <row r="1733" spans="5:5" s="1" customFormat="1" ht="24" customHeight="1">
      <c r="E1733" s="46"/>
    </row>
    <row r="1734" spans="5:5" s="1" customFormat="1" ht="24" customHeight="1">
      <c r="E1734" s="46"/>
    </row>
    <row r="1735" spans="5:5" s="1" customFormat="1" ht="24" customHeight="1">
      <c r="E1735" s="46"/>
    </row>
    <row r="1736" spans="5:5" s="1" customFormat="1" ht="24" customHeight="1">
      <c r="E1736" s="46"/>
    </row>
    <row r="1737" spans="5:5" s="1" customFormat="1" ht="24" customHeight="1">
      <c r="E1737" s="46"/>
    </row>
    <row r="1738" spans="5:5" s="1" customFormat="1" ht="24" customHeight="1">
      <c r="E1738" s="46"/>
    </row>
    <row r="1739" spans="5:5" s="1" customFormat="1" ht="24" customHeight="1">
      <c r="E1739" s="46"/>
    </row>
    <row r="1740" spans="5:5" s="1" customFormat="1" ht="24" customHeight="1">
      <c r="E1740" s="46"/>
    </row>
    <row r="1741" spans="5:5" s="1" customFormat="1" ht="24" customHeight="1">
      <c r="E1741" s="46"/>
    </row>
    <row r="1742" spans="5:5" s="1" customFormat="1" ht="24" customHeight="1">
      <c r="E1742" s="46"/>
    </row>
    <row r="1743" spans="5:5" s="1" customFormat="1" ht="24" customHeight="1">
      <c r="E1743" s="46"/>
    </row>
    <row r="1744" spans="5:5" s="1" customFormat="1" ht="24" customHeight="1">
      <c r="E1744" s="46"/>
    </row>
    <row r="1745" spans="5:5" s="1" customFormat="1" ht="24" customHeight="1">
      <c r="E1745" s="46"/>
    </row>
    <row r="1746" spans="5:5" s="1" customFormat="1" ht="24" customHeight="1">
      <c r="E1746" s="46"/>
    </row>
    <row r="1747" spans="5:5" s="1" customFormat="1" ht="24" customHeight="1">
      <c r="E1747" s="46"/>
    </row>
    <row r="1748" spans="5:5" s="1" customFormat="1" ht="24" customHeight="1">
      <c r="E1748" s="46"/>
    </row>
    <row r="1749" spans="5:5" s="1" customFormat="1" ht="24" customHeight="1">
      <c r="E1749" s="46"/>
    </row>
    <row r="1750" spans="5:5" s="1" customFormat="1" ht="24" customHeight="1">
      <c r="E1750" s="46"/>
    </row>
    <row r="1751" spans="5:5" s="1" customFormat="1" ht="24" customHeight="1">
      <c r="E1751" s="46"/>
    </row>
    <row r="1752" spans="5:5" s="1" customFormat="1" ht="24" customHeight="1">
      <c r="E1752" s="46"/>
    </row>
    <row r="1753" spans="5:5" s="1" customFormat="1" ht="24" customHeight="1">
      <c r="E1753" s="46"/>
    </row>
    <row r="1754" spans="5:5" s="1" customFormat="1" ht="24" customHeight="1">
      <c r="E1754" s="46"/>
    </row>
    <row r="1755" spans="5:5" s="1" customFormat="1" ht="24" customHeight="1">
      <c r="E1755" s="46"/>
    </row>
    <row r="1756" spans="5:5" s="1" customFormat="1" ht="24" customHeight="1">
      <c r="E1756" s="46"/>
    </row>
    <row r="1757" spans="5:5" s="1" customFormat="1" ht="24" customHeight="1">
      <c r="E1757" s="46"/>
    </row>
    <row r="1758" spans="5:5" s="1" customFormat="1" ht="24" customHeight="1">
      <c r="E1758" s="46"/>
    </row>
    <row r="1759" spans="5:5" s="1" customFormat="1" ht="24" customHeight="1">
      <c r="E1759" s="46"/>
    </row>
    <row r="1760" spans="5:5" s="1" customFormat="1" ht="24" customHeight="1">
      <c r="E1760" s="46"/>
    </row>
    <row r="1761" spans="5:5" s="1" customFormat="1" ht="24" customHeight="1">
      <c r="E1761" s="46"/>
    </row>
    <row r="1762" spans="5:5" s="1" customFormat="1" ht="24" customHeight="1">
      <c r="E1762" s="46"/>
    </row>
    <row r="1763" spans="5:5" s="1" customFormat="1" ht="24" customHeight="1">
      <c r="E1763" s="46"/>
    </row>
    <row r="1764" spans="5:5" s="1" customFormat="1" ht="24" customHeight="1">
      <c r="E1764" s="46"/>
    </row>
    <row r="1765" spans="5:5" s="1" customFormat="1" ht="24" customHeight="1">
      <c r="E1765" s="46"/>
    </row>
    <row r="1766" spans="5:5" s="1" customFormat="1" ht="24" customHeight="1">
      <c r="E1766" s="46"/>
    </row>
    <row r="1767" spans="5:5" s="1" customFormat="1" ht="24" customHeight="1">
      <c r="E1767" s="46"/>
    </row>
    <row r="1768" spans="5:5" s="1" customFormat="1" ht="24" customHeight="1">
      <c r="E1768" s="46"/>
    </row>
    <row r="1769" spans="5:5" s="1" customFormat="1" ht="24" customHeight="1">
      <c r="E1769" s="46"/>
    </row>
    <row r="1770" spans="5:5" s="1" customFormat="1" ht="24" customHeight="1">
      <c r="E1770" s="46"/>
    </row>
    <row r="1771" spans="5:5" s="1" customFormat="1" ht="24" customHeight="1">
      <c r="E1771" s="46"/>
    </row>
    <row r="1772" spans="5:5" s="1" customFormat="1" ht="24" customHeight="1">
      <c r="E1772" s="46"/>
    </row>
    <row r="1773" spans="5:5" s="1" customFormat="1" ht="24" customHeight="1">
      <c r="E1773" s="46"/>
    </row>
    <row r="1774" spans="5:5" s="1" customFormat="1" ht="24" customHeight="1">
      <c r="E1774" s="46"/>
    </row>
    <row r="1775" spans="5:5" s="1" customFormat="1" ht="24" customHeight="1">
      <c r="E1775" s="46"/>
    </row>
    <row r="1776" spans="5:5" s="1" customFormat="1" ht="24" customHeight="1">
      <c r="E1776" s="46"/>
    </row>
    <row r="1777" spans="5:5" s="1" customFormat="1" ht="24" customHeight="1">
      <c r="E1777" s="46"/>
    </row>
    <row r="1778" spans="5:5" s="1" customFormat="1" ht="24" customHeight="1">
      <c r="E1778" s="46"/>
    </row>
    <row r="1779" spans="5:5" s="1" customFormat="1" ht="24" customHeight="1">
      <c r="E1779" s="46"/>
    </row>
    <row r="1780" spans="5:5" s="1" customFormat="1" ht="24" customHeight="1">
      <c r="E1780" s="46"/>
    </row>
    <row r="1781" spans="5:5" s="1" customFormat="1" ht="24" customHeight="1">
      <c r="E1781" s="46"/>
    </row>
    <row r="1782" spans="5:5" s="1" customFormat="1" ht="24" customHeight="1">
      <c r="E1782" s="46"/>
    </row>
    <row r="1783" spans="5:5" s="1" customFormat="1" ht="24" customHeight="1">
      <c r="E1783" s="46"/>
    </row>
    <row r="1784" spans="5:5" s="1" customFormat="1" ht="24" customHeight="1">
      <c r="E1784" s="46"/>
    </row>
    <row r="1785" spans="5:5" s="1" customFormat="1" ht="24" customHeight="1">
      <c r="E1785" s="46"/>
    </row>
    <row r="1786" spans="5:5" s="1" customFormat="1" ht="24" customHeight="1">
      <c r="E1786" s="46"/>
    </row>
    <row r="1787" spans="5:5" s="1" customFormat="1" ht="24" customHeight="1">
      <c r="E1787" s="46"/>
    </row>
    <row r="1788" spans="5:5" s="1" customFormat="1" ht="24" customHeight="1">
      <c r="E1788" s="46"/>
    </row>
    <row r="1789" spans="5:5" s="1" customFormat="1" ht="24" customHeight="1">
      <c r="E1789" s="46"/>
    </row>
    <row r="1790" spans="5:5" s="1" customFormat="1" ht="24" customHeight="1">
      <c r="E1790" s="46"/>
    </row>
    <row r="1791" spans="5:5" s="1" customFormat="1" ht="24" customHeight="1">
      <c r="E1791" s="46"/>
    </row>
    <row r="1792" spans="5:5" s="1" customFormat="1" ht="24" customHeight="1">
      <c r="E1792" s="46"/>
    </row>
    <row r="1793" spans="5:5" s="1" customFormat="1" ht="24" customHeight="1">
      <c r="E1793" s="46"/>
    </row>
    <row r="1794" spans="5:5" s="1" customFormat="1" ht="24" customHeight="1">
      <c r="E1794" s="46"/>
    </row>
    <row r="1795" spans="5:5" s="1" customFormat="1" ht="24" customHeight="1">
      <c r="E1795" s="46"/>
    </row>
    <row r="1796" spans="5:5" s="1" customFormat="1" ht="24" customHeight="1">
      <c r="E1796" s="46"/>
    </row>
    <row r="1797" spans="5:5" s="1" customFormat="1" ht="24" customHeight="1">
      <c r="E1797" s="46"/>
    </row>
    <row r="1798" spans="5:5" s="1" customFormat="1" ht="24" customHeight="1">
      <c r="E1798" s="46"/>
    </row>
    <row r="1799" spans="5:5" s="1" customFormat="1" ht="24" customHeight="1">
      <c r="E1799" s="46"/>
    </row>
    <row r="1800" spans="5:5" s="1" customFormat="1" ht="24" customHeight="1">
      <c r="E1800" s="46"/>
    </row>
    <row r="1801" spans="5:5" s="1" customFormat="1" ht="24" customHeight="1">
      <c r="E1801" s="46"/>
    </row>
    <row r="1802" spans="5:5" s="1" customFormat="1" ht="24" customHeight="1">
      <c r="E1802" s="46"/>
    </row>
    <row r="1803" spans="5:5" s="1" customFormat="1" ht="24" customHeight="1">
      <c r="E1803" s="46"/>
    </row>
    <row r="1804" spans="5:5" s="1" customFormat="1" ht="24" customHeight="1">
      <c r="E1804" s="46"/>
    </row>
    <row r="1805" spans="5:5" s="1" customFormat="1" ht="24" customHeight="1">
      <c r="E1805" s="46"/>
    </row>
    <row r="1806" spans="5:5" s="1" customFormat="1" ht="24" customHeight="1">
      <c r="E1806" s="46"/>
    </row>
    <row r="1807" spans="5:5" s="1" customFormat="1" ht="24" customHeight="1">
      <c r="E1807" s="46"/>
    </row>
    <row r="1808" spans="5:5" s="1" customFormat="1" ht="24" customHeight="1">
      <c r="E1808" s="46"/>
    </row>
    <row r="1809" spans="5:5" s="1" customFormat="1" ht="24" customHeight="1">
      <c r="E1809" s="46"/>
    </row>
    <row r="1810" spans="5:5" s="1" customFormat="1" ht="24" customHeight="1">
      <c r="E1810" s="46"/>
    </row>
    <row r="1811" spans="5:5" s="1" customFormat="1" ht="24" customHeight="1">
      <c r="E1811" s="46"/>
    </row>
    <row r="1812" spans="5:5" s="1" customFormat="1" ht="24" customHeight="1">
      <c r="E1812" s="46"/>
    </row>
    <row r="1813" spans="5:5" s="1" customFormat="1" ht="24" customHeight="1">
      <c r="E1813" s="46"/>
    </row>
    <row r="1814" spans="5:5" s="1" customFormat="1" ht="24" customHeight="1">
      <c r="E1814" s="46"/>
    </row>
    <row r="1815" spans="5:5" s="1" customFormat="1" ht="24" customHeight="1">
      <c r="E1815" s="46"/>
    </row>
    <row r="1816" spans="5:5" s="1" customFormat="1" ht="24" customHeight="1">
      <c r="E1816" s="46"/>
    </row>
    <row r="1817" spans="5:5" s="1" customFormat="1" ht="24" customHeight="1">
      <c r="E1817" s="46"/>
    </row>
    <row r="1818" spans="5:5" s="1" customFormat="1" ht="24" customHeight="1">
      <c r="E1818" s="46"/>
    </row>
    <row r="1819" spans="5:5" s="1" customFormat="1" ht="24" customHeight="1">
      <c r="E1819" s="46"/>
    </row>
    <row r="1820" spans="5:5" s="1" customFormat="1" ht="24" customHeight="1">
      <c r="E1820" s="46"/>
    </row>
    <row r="1821" spans="5:5" s="1" customFormat="1" ht="24" customHeight="1">
      <c r="E1821" s="46"/>
    </row>
    <row r="1822" spans="5:5" s="1" customFormat="1" ht="24" customHeight="1">
      <c r="E1822" s="46"/>
    </row>
    <row r="1823" spans="5:5" s="1" customFormat="1" ht="24" customHeight="1">
      <c r="E1823" s="46"/>
    </row>
    <row r="1824" spans="5:5" s="1" customFormat="1" ht="24" customHeight="1">
      <c r="E1824" s="46"/>
    </row>
    <row r="1825" spans="5:5" s="1" customFormat="1" ht="24" customHeight="1">
      <c r="E1825" s="46"/>
    </row>
    <row r="1826" spans="5:5" s="1" customFormat="1" ht="24" customHeight="1">
      <c r="E1826" s="46"/>
    </row>
    <row r="1827" spans="5:5" s="1" customFormat="1" ht="24" customHeight="1">
      <c r="E1827" s="46"/>
    </row>
    <row r="1828" spans="5:5" s="1" customFormat="1" ht="24" customHeight="1">
      <c r="E1828" s="46"/>
    </row>
    <row r="1829" spans="5:5" s="1" customFormat="1" ht="24" customHeight="1">
      <c r="E1829" s="46"/>
    </row>
    <row r="1830" spans="5:5" s="1" customFormat="1" ht="24" customHeight="1">
      <c r="E1830" s="46"/>
    </row>
    <row r="1831" spans="5:5" s="1" customFormat="1" ht="24" customHeight="1">
      <c r="E1831" s="46"/>
    </row>
    <row r="1832" spans="5:5" s="1" customFormat="1" ht="24" customHeight="1">
      <c r="E1832" s="46"/>
    </row>
    <row r="1833" spans="5:5" s="1" customFormat="1" ht="24" customHeight="1">
      <c r="E1833" s="46"/>
    </row>
    <row r="1834" spans="5:5" s="1" customFormat="1" ht="24" customHeight="1">
      <c r="E1834" s="46"/>
    </row>
    <row r="1835" spans="5:5" s="1" customFormat="1" ht="24" customHeight="1">
      <c r="E1835" s="46"/>
    </row>
    <row r="1836" spans="5:5" s="1" customFormat="1" ht="24" customHeight="1">
      <c r="E1836" s="46"/>
    </row>
    <row r="1837" spans="5:5" s="1" customFormat="1" ht="24" customHeight="1">
      <c r="E1837" s="46"/>
    </row>
    <row r="1838" spans="5:5" s="1" customFormat="1" ht="24" customHeight="1">
      <c r="E1838" s="46"/>
    </row>
    <row r="1839" spans="5:5" s="1" customFormat="1" ht="24" customHeight="1">
      <c r="E1839" s="46"/>
    </row>
    <row r="1840" spans="5:5" s="1" customFormat="1" ht="24" customHeight="1">
      <c r="E1840" s="46"/>
    </row>
    <row r="1841" spans="5:5" s="1" customFormat="1" ht="24" customHeight="1">
      <c r="E1841" s="46"/>
    </row>
    <row r="1842" spans="5:5" s="1" customFormat="1" ht="24" customHeight="1">
      <c r="E1842" s="46"/>
    </row>
    <row r="1843" spans="5:5" s="1" customFormat="1" ht="24" customHeight="1">
      <c r="E1843" s="46"/>
    </row>
    <row r="1844" spans="5:5" s="1" customFormat="1" ht="24" customHeight="1">
      <c r="E1844" s="46"/>
    </row>
    <row r="1845" spans="5:5" s="1" customFormat="1" ht="24" customHeight="1">
      <c r="E1845" s="46"/>
    </row>
    <row r="1846" spans="5:5" s="1" customFormat="1" ht="24" customHeight="1">
      <c r="E1846" s="46"/>
    </row>
    <row r="1847" spans="5:5" s="1" customFormat="1" ht="24" customHeight="1">
      <c r="E1847" s="46"/>
    </row>
    <row r="1848" spans="5:5" s="1" customFormat="1" ht="24" customHeight="1">
      <c r="E1848" s="46"/>
    </row>
    <row r="1849" spans="5:5" s="1" customFormat="1" ht="24" customHeight="1">
      <c r="E1849" s="46"/>
    </row>
    <row r="1850" spans="5:5" s="1" customFormat="1" ht="24" customHeight="1">
      <c r="E1850" s="46"/>
    </row>
    <row r="1851" spans="5:5" s="1" customFormat="1" ht="24" customHeight="1">
      <c r="E1851" s="46"/>
    </row>
    <row r="1852" spans="5:5" s="1" customFormat="1" ht="24" customHeight="1">
      <c r="E1852" s="46"/>
    </row>
    <row r="1853" spans="5:5" s="1" customFormat="1" ht="24" customHeight="1">
      <c r="E1853" s="46"/>
    </row>
    <row r="1854" spans="5:5" s="1" customFormat="1" ht="24" customHeight="1">
      <c r="E1854" s="46"/>
    </row>
    <row r="1855" spans="5:5" s="1" customFormat="1" ht="24" customHeight="1">
      <c r="E1855" s="46"/>
    </row>
    <row r="1856" spans="5:5" s="1" customFormat="1" ht="24" customHeight="1">
      <c r="E1856" s="46"/>
    </row>
    <row r="1857" spans="5:5" s="1" customFormat="1" ht="24" customHeight="1">
      <c r="E1857" s="46"/>
    </row>
    <row r="1858" spans="5:5" s="1" customFormat="1" ht="24" customHeight="1">
      <c r="E1858" s="46"/>
    </row>
    <row r="1859" spans="5:5" s="1" customFormat="1" ht="24" customHeight="1">
      <c r="E1859" s="46"/>
    </row>
    <row r="1860" spans="5:5" s="1" customFormat="1" ht="24" customHeight="1">
      <c r="E1860" s="46"/>
    </row>
    <row r="1861" spans="5:5" s="1" customFormat="1" ht="24" customHeight="1">
      <c r="E1861" s="46"/>
    </row>
    <row r="1862" spans="5:5" s="1" customFormat="1" ht="24" customHeight="1">
      <c r="E1862" s="46"/>
    </row>
    <row r="1863" spans="5:5" s="1" customFormat="1" ht="24" customHeight="1">
      <c r="E1863" s="46"/>
    </row>
    <row r="1864" spans="5:5" s="1" customFormat="1" ht="24" customHeight="1">
      <c r="E1864" s="46"/>
    </row>
    <row r="1865" spans="5:5" s="1" customFormat="1" ht="24" customHeight="1">
      <c r="E1865" s="46"/>
    </row>
    <row r="1866" spans="5:5" s="1" customFormat="1" ht="24" customHeight="1">
      <c r="E1866" s="46"/>
    </row>
    <row r="1867" spans="5:5" s="1" customFormat="1" ht="24" customHeight="1">
      <c r="E1867" s="46"/>
    </row>
    <row r="1868" spans="5:5" s="1" customFormat="1" ht="24" customHeight="1">
      <c r="E1868" s="46"/>
    </row>
    <row r="1869" spans="5:5" s="1" customFormat="1" ht="24" customHeight="1">
      <c r="E1869" s="46"/>
    </row>
    <row r="1870" spans="5:5" s="1" customFormat="1" ht="24" customHeight="1">
      <c r="E1870" s="46"/>
    </row>
    <row r="1871" spans="5:5" s="1" customFormat="1" ht="24" customHeight="1">
      <c r="E1871" s="46"/>
    </row>
    <row r="1872" spans="5:5" s="1" customFormat="1" ht="24" customHeight="1">
      <c r="E1872" s="46"/>
    </row>
    <row r="1873" spans="5:5" s="1" customFormat="1" ht="24" customHeight="1">
      <c r="E1873" s="46"/>
    </row>
    <row r="1874" spans="5:5" s="1" customFormat="1" ht="24" customHeight="1">
      <c r="E1874" s="46"/>
    </row>
    <row r="1875" spans="5:5" s="1" customFormat="1" ht="24" customHeight="1">
      <c r="E1875" s="46"/>
    </row>
    <row r="1876" spans="5:5" s="1" customFormat="1" ht="24" customHeight="1">
      <c r="E1876" s="46"/>
    </row>
    <row r="1877" spans="5:5" s="1" customFormat="1" ht="24" customHeight="1">
      <c r="E1877" s="46"/>
    </row>
    <row r="1878" spans="5:5" s="1" customFormat="1" ht="24" customHeight="1">
      <c r="E1878" s="46"/>
    </row>
    <row r="1879" spans="5:5" s="1" customFormat="1" ht="24" customHeight="1">
      <c r="E1879" s="46"/>
    </row>
    <row r="1880" spans="5:5" s="1" customFormat="1" ht="24" customHeight="1">
      <c r="E1880" s="46"/>
    </row>
    <row r="1881" spans="5:5" s="1" customFormat="1" ht="24" customHeight="1">
      <c r="E1881" s="46"/>
    </row>
    <row r="1882" spans="5:5" s="1" customFormat="1" ht="24" customHeight="1">
      <c r="E1882" s="46"/>
    </row>
    <row r="1883" spans="5:5" s="1" customFormat="1" ht="24" customHeight="1">
      <c r="E1883" s="46"/>
    </row>
    <row r="1884" spans="5:5" s="1" customFormat="1" ht="24" customHeight="1">
      <c r="E1884" s="46"/>
    </row>
    <row r="1885" spans="5:5" s="1" customFormat="1" ht="24" customHeight="1">
      <c r="E1885" s="46"/>
    </row>
    <row r="1886" spans="5:5" s="1" customFormat="1" ht="24" customHeight="1">
      <c r="E1886" s="46"/>
    </row>
    <row r="1887" spans="5:5" s="1" customFormat="1" ht="24" customHeight="1">
      <c r="E1887" s="46"/>
    </row>
    <row r="1888" spans="5:5" s="1" customFormat="1" ht="24" customHeight="1">
      <c r="E1888" s="46"/>
    </row>
    <row r="1889" spans="5:5" s="1" customFormat="1" ht="24" customHeight="1">
      <c r="E1889" s="46"/>
    </row>
    <row r="1890" spans="5:5" s="1" customFormat="1" ht="24" customHeight="1">
      <c r="E1890" s="46"/>
    </row>
    <row r="1891" spans="5:5" s="1" customFormat="1" ht="24" customHeight="1">
      <c r="E1891" s="46"/>
    </row>
    <row r="1892" spans="5:5" s="1" customFormat="1" ht="24" customHeight="1">
      <c r="E1892" s="46"/>
    </row>
    <row r="1893" spans="5:5" s="1" customFormat="1" ht="24" customHeight="1">
      <c r="E1893" s="46"/>
    </row>
    <row r="1894" spans="5:5" s="1" customFormat="1" ht="24" customHeight="1">
      <c r="E1894" s="46"/>
    </row>
    <row r="1895" spans="5:5" s="1" customFormat="1" ht="24" customHeight="1">
      <c r="E1895" s="46"/>
    </row>
    <row r="1896" spans="5:5" s="1" customFormat="1" ht="24" customHeight="1">
      <c r="E1896" s="46"/>
    </row>
    <row r="1897" spans="5:5" s="1" customFormat="1" ht="24" customHeight="1">
      <c r="E1897" s="46"/>
    </row>
    <row r="1898" spans="5:5" s="1" customFormat="1" ht="24" customHeight="1">
      <c r="E1898" s="46"/>
    </row>
    <row r="1899" spans="5:5" s="1" customFormat="1" ht="24" customHeight="1">
      <c r="E1899" s="46"/>
    </row>
    <row r="1900" spans="5:5" s="1" customFormat="1" ht="24" customHeight="1">
      <c r="E1900" s="46"/>
    </row>
    <row r="1901" spans="5:5" s="1" customFormat="1" ht="24" customHeight="1">
      <c r="E1901" s="46"/>
    </row>
    <row r="1902" spans="5:5" s="1" customFormat="1" ht="24" customHeight="1">
      <c r="E1902" s="46"/>
    </row>
    <row r="1903" spans="5:5" s="1" customFormat="1" ht="24" customHeight="1">
      <c r="E1903" s="46"/>
    </row>
    <row r="1904" spans="5:5" s="1" customFormat="1" ht="24" customHeight="1">
      <c r="E1904" s="46"/>
    </row>
    <row r="1905" spans="5:5" s="1" customFormat="1" ht="24" customHeight="1">
      <c r="E1905" s="46"/>
    </row>
    <row r="1906" spans="5:5" s="1" customFormat="1" ht="24" customHeight="1">
      <c r="E1906" s="46"/>
    </row>
    <row r="1907" spans="5:5" s="1" customFormat="1" ht="24" customHeight="1">
      <c r="E1907" s="46"/>
    </row>
    <row r="1908" spans="5:5" s="1" customFormat="1" ht="24" customHeight="1">
      <c r="E1908" s="46"/>
    </row>
    <row r="1909" spans="5:5" s="1" customFormat="1" ht="24" customHeight="1">
      <c r="E1909" s="46"/>
    </row>
    <row r="1910" spans="5:5" s="1" customFormat="1" ht="24" customHeight="1">
      <c r="E1910" s="46"/>
    </row>
    <row r="1911" spans="5:5" s="1" customFormat="1" ht="24" customHeight="1">
      <c r="E1911" s="46"/>
    </row>
    <row r="1912" spans="5:5" s="1" customFormat="1" ht="24" customHeight="1">
      <c r="E1912" s="46"/>
    </row>
    <row r="1913" spans="5:5" s="1" customFormat="1" ht="24" customHeight="1">
      <c r="E1913" s="46"/>
    </row>
    <row r="1914" spans="5:5" s="1" customFormat="1" ht="24" customHeight="1">
      <c r="E1914" s="46"/>
    </row>
    <row r="1915" spans="5:5" s="1" customFormat="1" ht="24" customHeight="1">
      <c r="E1915" s="46"/>
    </row>
    <row r="1916" spans="5:5" s="1" customFormat="1" ht="24" customHeight="1">
      <c r="E1916" s="46"/>
    </row>
    <row r="1917" spans="5:5" s="1" customFormat="1" ht="24" customHeight="1">
      <c r="E1917" s="46"/>
    </row>
    <row r="1918" spans="5:5" s="1" customFormat="1" ht="24" customHeight="1">
      <c r="E1918" s="46"/>
    </row>
    <row r="1919" spans="5:5" s="1" customFormat="1" ht="24" customHeight="1">
      <c r="E1919" s="46"/>
    </row>
    <row r="1920" spans="5:5" s="1" customFormat="1" ht="24" customHeight="1">
      <c r="E1920" s="46"/>
    </row>
    <row r="1921" spans="5:5" s="1" customFormat="1" ht="24" customHeight="1">
      <c r="E1921" s="46"/>
    </row>
    <row r="1922" spans="5:5" s="1" customFormat="1" ht="24" customHeight="1">
      <c r="E1922" s="46"/>
    </row>
    <row r="1923" spans="5:5" s="1" customFormat="1" ht="24" customHeight="1">
      <c r="E1923" s="46"/>
    </row>
    <row r="1924" spans="5:5" s="1" customFormat="1" ht="24" customHeight="1">
      <c r="E1924" s="46"/>
    </row>
    <row r="1925" spans="5:5" s="1" customFormat="1" ht="24" customHeight="1">
      <c r="E1925" s="46"/>
    </row>
    <row r="1926" spans="5:5" s="1" customFormat="1" ht="24" customHeight="1">
      <c r="E1926" s="46"/>
    </row>
    <row r="1927" spans="5:5" s="1" customFormat="1" ht="24" customHeight="1">
      <c r="E1927" s="46"/>
    </row>
    <row r="1928" spans="5:5" s="1" customFormat="1" ht="24" customHeight="1">
      <c r="E1928" s="46"/>
    </row>
    <row r="1929" spans="5:5" s="1" customFormat="1" ht="24" customHeight="1">
      <c r="E1929" s="46"/>
    </row>
    <row r="1930" spans="5:5" s="1" customFormat="1" ht="24" customHeight="1">
      <c r="E1930" s="46"/>
    </row>
    <row r="1931" spans="5:5" s="1" customFormat="1" ht="24" customHeight="1">
      <c r="E1931" s="46"/>
    </row>
    <row r="1932" spans="5:5" s="1" customFormat="1" ht="24" customHeight="1">
      <c r="E1932" s="46"/>
    </row>
    <row r="1933" spans="5:5" s="1" customFormat="1" ht="24" customHeight="1">
      <c r="E1933" s="46"/>
    </row>
    <row r="1934" spans="5:5" s="1" customFormat="1" ht="24" customHeight="1">
      <c r="E1934" s="46"/>
    </row>
    <row r="1935" spans="5:5" s="1" customFormat="1" ht="24" customHeight="1">
      <c r="E1935" s="46"/>
    </row>
    <row r="1936" spans="5:5" s="1" customFormat="1" ht="24" customHeight="1">
      <c r="E1936" s="46"/>
    </row>
    <row r="1937" spans="5:5" s="1" customFormat="1" ht="24" customHeight="1">
      <c r="E1937" s="46"/>
    </row>
    <row r="1938" spans="5:5" s="1" customFormat="1" ht="24" customHeight="1">
      <c r="E1938" s="46"/>
    </row>
    <row r="1939" spans="5:5" s="1" customFormat="1" ht="24" customHeight="1">
      <c r="E1939" s="46"/>
    </row>
    <row r="1940" spans="5:5" s="1" customFormat="1" ht="24" customHeight="1">
      <c r="E1940" s="46"/>
    </row>
    <row r="1941" spans="5:5" s="1" customFormat="1" ht="24" customHeight="1">
      <c r="E1941" s="46"/>
    </row>
    <row r="1942" spans="5:5" s="1" customFormat="1" ht="24" customHeight="1">
      <c r="E1942" s="46"/>
    </row>
    <row r="1943" spans="5:5" s="1" customFormat="1" ht="24" customHeight="1">
      <c r="E1943" s="46"/>
    </row>
    <row r="1944" spans="5:5" s="1" customFormat="1" ht="24" customHeight="1">
      <c r="E1944" s="46"/>
    </row>
    <row r="1945" spans="5:5" s="1" customFormat="1" ht="24" customHeight="1">
      <c r="E1945" s="46"/>
    </row>
    <row r="1946" spans="5:5" s="1" customFormat="1" ht="24" customHeight="1">
      <c r="E1946" s="46"/>
    </row>
    <row r="1947" spans="5:5" s="1" customFormat="1" ht="24" customHeight="1">
      <c r="E1947" s="46"/>
    </row>
    <row r="1948" spans="5:5" s="1" customFormat="1" ht="24" customHeight="1">
      <c r="E1948" s="46"/>
    </row>
    <row r="1949" spans="5:5" s="1" customFormat="1" ht="24" customHeight="1">
      <c r="E1949" s="46"/>
    </row>
    <row r="1950" spans="5:5" s="1" customFormat="1" ht="24" customHeight="1">
      <c r="E1950" s="46"/>
    </row>
    <row r="1951" spans="5:5" s="1" customFormat="1" ht="24" customHeight="1">
      <c r="E1951" s="46"/>
    </row>
    <row r="1952" spans="5:5" s="1" customFormat="1" ht="24" customHeight="1">
      <c r="E1952" s="46"/>
    </row>
    <row r="1953" spans="4:17" ht="24" customHeight="1">
      <c r="D1953" s="1"/>
      <c r="E1953" s="46"/>
      <c r="G1953" s="1"/>
      <c r="I1953" s="1"/>
      <c r="K1953" s="1"/>
      <c r="M1953" s="1"/>
      <c r="O1953" s="1"/>
      <c r="Q1953" s="1"/>
    </row>
    <row r="1954" spans="4:17" ht="24" customHeight="1">
      <c r="D1954" s="1"/>
      <c r="E1954" s="46"/>
      <c r="G1954" s="1"/>
      <c r="I1954" s="1"/>
      <c r="K1954" s="1"/>
      <c r="M1954" s="1"/>
      <c r="O1954" s="1"/>
      <c r="Q1954" s="1"/>
    </row>
    <row r="1955" spans="4:17" ht="24" customHeight="1">
      <c r="D1955" s="1"/>
      <c r="E1955" s="46"/>
      <c r="G1955" s="1"/>
      <c r="I1955" s="1"/>
      <c r="K1955" s="1"/>
      <c r="M1955" s="1"/>
      <c r="O1955" s="1"/>
      <c r="Q1955" s="1"/>
    </row>
    <row r="1956" spans="4:17" ht="24" customHeight="1">
      <c r="D1956" s="1"/>
      <c r="E1956" s="46"/>
      <c r="G1956" s="1"/>
      <c r="I1956" s="1"/>
      <c r="K1956" s="1"/>
      <c r="M1956" s="1"/>
      <c r="O1956" s="1"/>
      <c r="Q1956" s="1"/>
    </row>
    <row r="1957" spans="4:17" ht="24" customHeight="1">
      <c r="D1957" s="1"/>
      <c r="E1957" s="46"/>
      <c r="G1957" s="1"/>
      <c r="I1957" s="1"/>
      <c r="K1957" s="1"/>
      <c r="M1957" s="1"/>
      <c r="O1957" s="1"/>
      <c r="Q1957" s="1"/>
    </row>
    <row r="1958" spans="4:17" ht="24" customHeight="1">
      <c r="D1958" s="1"/>
      <c r="E1958" s="46"/>
      <c r="G1958" s="1"/>
      <c r="I1958" s="1"/>
      <c r="K1958" s="1"/>
      <c r="M1958" s="1"/>
      <c r="O1958" s="1"/>
      <c r="Q1958" s="1"/>
    </row>
    <row r="1959" spans="4:17" ht="24" customHeight="1">
      <c r="D1959" s="1"/>
      <c r="E1959" s="46"/>
      <c r="G1959" s="1"/>
      <c r="I1959" s="1"/>
      <c r="K1959" s="1"/>
      <c r="M1959" s="1"/>
      <c r="O1959" s="1"/>
      <c r="Q1959" s="1"/>
    </row>
    <row r="1960" spans="4:17" ht="24" customHeight="1">
      <c r="E1960" s="63"/>
    </row>
    <row r="1961" spans="4:17" ht="24" customHeight="1">
      <c r="E1961" s="63"/>
    </row>
    <row r="1964" spans="4:17" ht="24" customHeight="1">
      <c r="E1964" s="63"/>
    </row>
    <row r="1965" spans="4:17" ht="24" customHeight="1">
      <c r="E1965" s="63"/>
    </row>
    <row r="65526" spans="5:5" ht="24" customHeight="1">
      <c r="E65526" s="135">
        <f>'01'!AH7</f>
        <v>0</v>
      </c>
    </row>
  </sheetData>
  <mergeCells count="15">
    <mergeCell ref="E1:O1"/>
    <mergeCell ref="A2:R2"/>
    <mergeCell ref="A3:D3"/>
    <mergeCell ref="I3:O3"/>
    <mergeCell ref="P3:Q3"/>
    <mergeCell ref="I4:O4"/>
    <mergeCell ref="M5:N5"/>
    <mergeCell ref="O5:P5"/>
    <mergeCell ref="Q5:R5"/>
    <mergeCell ref="A5:A6"/>
    <mergeCell ref="B5:D6"/>
    <mergeCell ref="E5:F5"/>
    <mergeCell ref="G5:H5"/>
    <mergeCell ref="I5:J5"/>
    <mergeCell ref="K5:L5"/>
  </mergeCells>
  <pageMargins left="0.19685039370078999" right="0" top="0.23622047244093999" bottom="3.9370078740157001E-2" header="0.31496062992126" footer="0.31496062992126"/>
  <pageSetup paperSize="9" scale="98" orientation="landscape" r:id="rId1"/>
  <rowBreaks count="1" manualBreakCount="1">
    <brk id="46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FF0000"/>
  </sheetPr>
  <dimension ref="A1:V1964"/>
  <sheetViews>
    <sheetView view="pageBreakPreview" zoomScale="120" zoomScaleNormal="82" workbookViewId="0">
      <selection activeCell="X20" sqref="X20"/>
    </sheetView>
  </sheetViews>
  <sheetFormatPr defaultColWidth="9.140625" defaultRowHeight="21" customHeight="1"/>
  <cols>
    <col min="1" max="1" width="5.140625" style="27" customWidth="1"/>
    <col min="2" max="2" width="9.140625" style="27"/>
    <col min="3" max="4" width="11.7109375" style="27" customWidth="1"/>
    <col min="5" max="5" width="7" style="65" customWidth="1"/>
    <col min="6" max="6" width="11" style="27" customWidth="1"/>
    <col min="7" max="7" width="3.7109375" style="65" customWidth="1"/>
    <col min="8" max="8" width="9.85546875" style="27" customWidth="1"/>
    <col min="9" max="9" width="3.7109375" style="65" customWidth="1"/>
    <col min="10" max="10" width="9.28515625" style="27" customWidth="1"/>
    <col min="11" max="11" width="3.7109375" style="65" customWidth="1"/>
    <col min="12" max="12" width="10.7109375" style="27" customWidth="1"/>
    <col min="13" max="13" width="3" style="65" customWidth="1"/>
    <col min="14" max="14" width="8.7109375" style="27" customWidth="1"/>
    <col min="15" max="15" width="13.7109375" style="65" customWidth="1"/>
    <col min="16" max="16" width="10" style="27" customWidth="1"/>
    <col min="17" max="17" width="10.140625" style="27" customWidth="1"/>
    <col min="18" max="18" width="3.85546875" style="65" customWidth="1"/>
    <col min="19" max="19" width="14.140625" style="27" customWidth="1"/>
    <col min="20" max="20" width="9.140625" style="80" hidden="1"/>
    <col min="21" max="21" width="9.140625" style="27" hidden="1"/>
    <col min="22" max="22" width="9.140625" style="22"/>
  </cols>
  <sheetData>
    <row r="1" spans="1:22" ht="21" customHeight="1">
      <c r="A1" s="29"/>
      <c r="B1" s="29"/>
      <c r="C1" s="29"/>
      <c r="D1" s="66"/>
      <c r="E1" s="192" t="s">
        <v>142</v>
      </c>
      <c r="F1" s="192"/>
      <c r="G1" s="192"/>
      <c r="H1" s="192"/>
      <c r="I1" s="192"/>
      <c r="J1" s="193" t="s">
        <v>143</v>
      </c>
      <c r="K1" s="193"/>
      <c r="L1" s="193"/>
      <c r="M1" s="193"/>
      <c r="N1" s="193"/>
      <c r="P1" s="66"/>
      <c r="Q1" s="66"/>
      <c r="S1" s="66"/>
    </row>
    <row r="2" spans="1:22" ht="21" customHeight="1">
      <c r="A2" s="194" t="str">
        <f>ข้อมูล!C7</f>
        <v>โรงเรียนเทศบาลท่าอิฐ อำเภอเมือง จังหวัดอุตรดิตถ์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</row>
    <row r="3" spans="1:22" ht="21" customHeight="1">
      <c r="A3" s="194" t="str">
        <f>ข้อมูล!C1</f>
        <v>ชั้นประถมศึกษาปีที่</v>
      </c>
      <c r="B3" s="194"/>
      <c r="C3" s="194"/>
      <c r="D3" s="194"/>
      <c r="E3" s="81"/>
      <c r="F3" s="82" t="str">
        <f>ข้อมูล!C2</f>
        <v>6/3</v>
      </c>
      <c r="G3" s="28"/>
      <c r="H3" s="29" t="s">
        <v>144</v>
      </c>
      <c r="I3" s="197" t="str">
        <f>ข้อมูล!C5</f>
        <v>นางสาวพอใจ  สุขหา</v>
      </c>
      <c r="J3" s="197"/>
      <c r="K3" s="197"/>
      <c r="L3" s="197"/>
      <c r="M3" s="197"/>
      <c r="N3" s="197"/>
      <c r="O3" s="197"/>
      <c r="P3" s="66" t="s">
        <v>129</v>
      </c>
      <c r="Q3" s="66"/>
      <c r="S3" s="29" t="s">
        <v>73</v>
      </c>
      <c r="V3" s="29">
        <f>ข้อมูล!C4</f>
        <v>2568</v>
      </c>
    </row>
    <row r="4" spans="1:22" ht="21" customHeight="1">
      <c r="A4" s="22"/>
      <c r="B4" s="22"/>
      <c r="C4" s="22"/>
      <c r="D4" s="22"/>
      <c r="E4" s="28"/>
      <c r="F4" s="22"/>
      <c r="G4" s="28"/>
      <c r="H4" s="22"/>
      <c r="I4" s="197" t="str">
        <f>ข้อมูล!C6</f>
        <v>นางสาวพอใจ  สุขหา</v>
      </c>
      <c r="J4" s="197"/>
      <c r="K4" s="197"/>
      <c r="L4" s="197"/>
      <c r="M4" s="197"/>
      <c r="N4" s="197"/>
      <c r="O4" s="197"/>
    </row>
    <row r="5" spans="1:22" ht="21" customHeight="1">
      <c r="A5" s="195" t="s">
        <v>130</v>
      </c>
      <c r="B5" s="173" t="s">
        <v>131</v>
      </c>
      <c r="C5" s="174"/>
      <c r="D5" s="175"/>
      <c r="E5" s="163" t="s">
        <v>117</v>
      </c>
      <c r="F5" s="163"/>
      <c r="G5" s="198" t="s">
        <v>132</v>
      </c>
      <c r="H5" s="199"/>
      <c r="I5" s="198" t="s">
        <v>133</v>
      </c>
      <c r="J5" s="199"/>
      <c r="K5" s="198" t="s">
        <v>134</v>
      </c>
      <c r="L5" s="199"/>
      <c r="M5" s="204" t="s">
        <v>135</v>
      </c>
      <c r="N5" s="205"/>
      <c r="O5" s="202" t="s">
        <v>136</v>
      </c>
      <c r="P5" s="202"/>
      <c r="Q5" s="67"/>
      <c r="R5" s="200" t="s">
        <v>137</v>
      </c>
      <c r="S5" s="200"/>
      <c r="V5" s="200" t="s">
        <v>139</v>
      </c>
    </row>
    <row r="6" spans="1:22" ht="51.75" customHeight="1">
      <c r="A6" s="196"/>
      <c r="B6" s="176"/>
      <c r="C6" s="177"/>
      <c r="D6" s="178"/>
      <c r="E6" s="68" t="s">
        <v>138</v>
      </c>
      <c r="F6" s="69" t="s">
        <v>139</v>
      </c>
      <c r="G6" s="70" t="s">
        <v>138</v>
      </c>
      <c r="H6" s="69" t="s">
        <v>139</v>
      </c>
      <c r="I6" s="70" t="s">
        <v>138</v>
      </c>
      <c r="J6" s="69" t="s">
        <v>139</v>
      </c>
      <c r="K6" s="70" t="s">
        <v>138</v>
      </c>
      <c r="L6" s="69" t="s">
        <v>139</v>
      </c>
      <c r="M6" s="70" t="s">
        <v>138</v>
      </c>
      <c r="N6" s="71" t="s">
        <v>139</v>
      </c>
      <c r="O6" s="68" t="s">
        <v>138</v>
      </c>
      <c r="P6" s="72" t="s">
        <v>139</v>
      </c>
      <c r="Q6" s="83"/>
      <c r="R6" s="70" t="s">
        <v>138</v>
      </c>
      <c r="S6" s="69" t="s">
        <v>139</v>
      </c>
      <c r="V6" s="200"/>
    </row>
    <row r="7" spans="1:22" ht="21" customHeight="1">
      <c r="A7" s="42">
        <v>1</v>
      </c>
      <c r="B7" s="138" t="str">
        <f>รายชื่อ!B1</f>
        <v>เด็กชาย</v>
      </c>
      <c r="C7" s="138" t="str">
        <f>รายชื่อ!C1</f>
        <v>ณฐวัฒน์</v>
      </c>
      <c r="D7" s="138" t="str">
        <f>รายชื่อ!D1</f>
        <v>ขวัญมุข</v>
      </c>
      <c r="E7" s="73">
        <f>แปลผลตนเอง!E7+แปลผลครู!E7+แปลผลผู้ปกครอง!E7</f>
        <v>0</v>
      </c>
      <c r="F7" s="74" t="str">
        <f t="shared" ref="F7:F46" si="0">IF(E7&gt;15,"เสี่ยง/มีปัญหา","ปกติ")</f>
        <v>ปกติ</v>
      </c>
      <c r="G7" s="75">
        <f>แปลผลตนเอง!G7+แปลผลครู!G7+แปลผลผู้ปกครอง!G7</f>
        <v>10</v>
      </c>
      <c r="H7" s="74" t="str">
        <f t="shared" ref="H7:H46" si="1">IF(G7&gt;12,"เสี่ยง/มีปัญหา","ปกติ")</f>
        <v>ปกติ</v>
      </c>
      <c r="I7" s="75">
        <f>แปลผลตนเอง!I7+แปลผลครู!I7+แปลผลผู้ปกครอง!I7</f>
        <v>0</v>
      </c>
      <c r="J7" s="74" t="str">
        <f t="shared" ref="J7:J46" si="2">IF(I7&gt;15,"เสี่ยง/มีปัญหา","ปกติ")</f>
        <v>ปกติ</v>
      </c>
      <c r="K7" s="75">
        <f>แปลผลตนเอง!K7+แปลผลครู!K7+แปลผลผู้ปกครอง!K7</f>
        <v>0</v>
      </c>
      <c r="L7" s="74" t="str">
        <f t="shared" ref="L7:L46" si="3">IF(K7&gt;9,"เสี่ยง/มีปัญหา","ปกติ")</f>
        <v>ปกติ</v>
      </c>
      <c r="M7" s="75">
        <f t="shared" ref="M7:M46" si="4">E7+G7+I7+K7</f>
        <v>10</v>
      </c>
      <c r="N7" s="76" t="str">
        <f t="shared" ref="N7:N46" si="5">IF(M7&gt;50,"เสี่ยง/มีปัญหา","ปกติ")</f>
        <v>ปกติ</v>
      </c>
      <c r="O7" s="137">
        <f>แปลผลตนเอง!O7+แปลผลครู!O7+แปลผลผู้ปกครอง!O7</f>
        <v>0</v>
      </c>
      <c r="P7" s="25" t="str">
        <f t="shared" ref="P7:P46" si="6">IF(O7&gt;8,"มีจุดแข็ง","ไม่มีจุดแข็ง")</f>
        <v>ไม่มีจุดแข็ง</v>
      </c>
      <c r="Q7" s="25" t="str">
        <f t="shared" ref="Q7:Q46" si="7">IF(O7&gt;8,"ปกติ","เสี่ยง")</f>
        <v>เสี่ยง</v>
      </c>
      <c r="R7" s="137">
        <f>แปลผลตนเอง!Q7+แปลผลครู!Q7+แปลผลผู้ปกครอง!Q7</f>
        <v>0</v>
      </c>
      <c r="S7" s="25" t="str">
        <f t="shared" ref="S7:S46" si="8">IF(R7&gt;0,"เสี่ยง/มีปัญหา","ปกติ")</f>
        <v>ปกติ</v>
      </c>
      <c r="T7" s="22" t="str">
        <f t="shared" ref="T7:T46" si="9">IF(U7&lt;58,"1","0")</f>
        <v>1</v>
      </c>
      <c r="U7" s="27">
        <f t="shared" ref="U7:U46" si="10">M7+R7</f>
        <v>10</v>
      </c>
      <c r="V7" s="84" t="str">
        <f t="shared" ref="V7:V46" si="11">IF(U7&lt;58,"ปกติ","เสี่ยง/มีปัญหา")</f>
        <v>ปกติ</v>
      </c>
    </row>
    <row r="8" spans="1:22" ht="21" customHeight="1">
      <c r="A8" s="42">
        <v>2</v>
      </c>
      <c r="B8" s="138" t="str">
        <f>รายชื่อ!B2</f>
        <v>เด็กชาย</v>
      </c>
      <c r="C8" s="138" t="str">
        <f>รายชื่อ!C2</f>
        <v>นพธรรศ</v>
      </c>
      <c r="D8" s="138" t="str">
        <f>รายชื่อ!D2</f>
        <v>ปั่นจีด</v>
      </c>
      <c r="E8" s="73">
        <f>แปลผลตนเอง!E8+แปลผลครู!E8+แปลผลผู้ปกครอง!E8</f>
        <v>0</v>
      </c>
      <c r="F8" s="74" t="str">
        <f t="shared" si="0"/>
        <v>ปกติ</v>
      </c>
      <c r="G8" s="75">
        <f>แปลผลตนเอง!G8+แปลผลครู!G8+แปลผลผู้ปกครอง!G8</f>
        <v>6</v>
      </c>
      <c r="H8" s="74" t="str">
        <f t="shared" si="1"/>
        <v>ปกติ</v>
      </c>
      <c r="I8" s="75">
        <f>แปลผลตนเอง!I8+แปลผลครู!I8+แปลผลผู้ปกครอง!I8</f>
        <v>0</v>
      </c>
      <c r="J8" s="74" t="str">
        <f t="shared" si="2"/>
        <v>ปกติ</v>
      </c>
      <c r="K8" s="75">
        <f>แปลผลตนเอง!K8+แปลผลครู!K8+แปลผลผู้ปกครอง!K8</f>
        <v>2</v>
      </c>
      <c r="L8" s="74" t="str">
        <f t="shared" si="3"/>
        <v>ปกติ</v>
      </c>
      <c r="M8" s="75">
        <f t="shared" si="4"/>
        <v>8</v>
      </c>
      <c r="N8" s="76" t="str">
        <f t="shared" si="5"/>
        <v>ปกติ</v>
      </c>
      <c r="O8" s="137">
        <f>แปลผลตนเอง!O8+แปลผลครู!O8+แปลผลผู้ปกครอง!O8</f>
        <v>4</v>
      </c>
      <c r="P8" s="25" t="str">
        <f t="shared" si="6"/>
        <v>ไม่มีจุดแข็ง</v>
      </c>
      <c r="Q8" s="25" t="str">
        <f t="shared" si="7"/>
        <v>เสี่ยง</v>
      </c>
      <c r="R8" s="137">
        <f>แปลผลตนเอง!Q8+แปลผลครู!Q8+แปลผลผู้ปกครอง!Q8</f>
        <v>0</v>
      </c>
      <c r="S8" s="25" t="str">
        <f t="shared" si="8"/>
        <v>ปกติ</v>
      </c>
      <c r="T8" s="22" t="str">
        <f t="shared" si="9"/>
        <v>1</v>
      </c>
      <c r="U8" s="27">
        <f t="shared" si="10"/>
        <v>8</v>
      </c>
      <c r="V8" s="84" t="str">
        <f t="shared" si="11"/>
        <v>ปกติ</v>
      </c>
    </row>
    <row r="9" spans="1:22" ht="21" customHeight="1">
      <c r="A9" s="42">
        <v>3</v>
      </c>
      <c r="B9" s="138" t="str">
        <f>รายชื่อ!B3</f>
        <v>เด็กชาย</v>
      </c>
      <c r="C9" s="138" t="str">
        <f>รายชื่อ!C3</f>
        <v>นภัทร</v>
      </c>
      <c r="D9" s="138" t="str">
        <f>รายชื่อ!D3</f>
        <v>เอมเทศ</v>
      </c>
      <c r="E9" s="73">
        <f>แปลผลตนเอง!E9+แปลผลครู!E9+แปลผลผู้ปกครอง!E9</f>
        <v>0</v>
      </c>
      <c r="F9" s="74" t="str">
        <f t="shared" si="0"/>
        <v>ปกติ</v>
      </c>
      <c r="G9" s="75">
        <f>แปลผลตนเอง!G9+แปลผลครู!G9+แปลผลผู้ปกครอง!G9</f>
        <v>4</v>
      </c>
      <c r="H9" s="74" t="str">
        <f t="shared" si="1"/>
        <v>ปกติ</v>
      </c>
      <c r="I9" s="75">
        <f>แปลผลตนเอง!I9+แปลผลครู!I9+แปลผลผู้ปกครอง!I9</f>
        <v>2</v>
      </c>
      <c r="J9" s="74" t="str">
        <f t="shared" si="2"/>
        <v>ปกติ</v>
      </c>
      <c r="K9" s="75">
        <f>แปลผลตนเอง!K9+แปลผลครู!K9+แปลผลผู้ปกครอง!K9</f>
        <v>2</v>
      </c>
      <c r="L9" s="74" t="str">
        <f t="shared" si="3"/>
        <v>ปกติ</v>
      </c>
      <c r="M9" s="75">
        <f t="shared" si="4"/>
        <v>8</v>
      </c>
      <c r="N9" s="76" t="str">
        <f t="shared" si="5"/>
        <v>ปกติ</v>
      </c>
      <c r="O9" s="137">
        <f>แปลผลตนเอง!O9+แปลผลครู!O9+แปลผลผู้ปกครอง!O9</f>
        <v>0</v>
      </c>
      <c r="P9" s="25" t="str">
        <f t="shared" si="6"/>
        <v>ไม่มีจุดแข็ง</v>
      </c>
      <c r="Q9" s="25" t="str">
        <f t="shared" si="7"/>
        <v>เสี่ยง</v>
      </c>
      <c r="R9" s="137">
        <f>แปลผลตนเอง!Q9+แปลผลครู!Q9+แปลผลผู้ปกครอง!Q9</f>
        <v>0</v>
      </c>
      <c r="S9" s="25" t="str">
        <f t="shared" si="8"/>
        <v>ปกติ</v>
      </c>
      <c r="T9" s="22" t="str">
        <f t="shared" si="9"/>
        <v>1</v>
      </c>
      <c r="U9" s="27">
        <f t="shared" si="10"/>
        <v>8</v>
      </c>
      <c r="V9" s="84" t="str">
        <f t="shared" si="11"/>
        <v>ปกติ</v>
      </c>
    </row>
    <row r="10" spans="1:22" ht="21" customHeight="1">
      <c r="A10" s="42">
        <v>4</v>
      </c>
      <c r="B10" s="138" t="str">
        <f>รายชื่อ!B4</f>
        <v>เด็กชาย</v>
      </c>
      <c r="C10" s="138" t="str">
        <f>รายชื่อ!C4</f>
        <v>ภูมิพัฒน์</v>
      </c>
      <c r="D10" s="138" t="str">
        <f>รายชื่อ!D4</f>
        <v>เต็งวิลัย</v>
      </c>
      <c r="E10" s="73">
        <f>แปลผลตนเอง!E10+แปลผลครู!E10+แปลผลผู้ปกครอง!E10</f>
        <v>0</v>
      </c>
      <c r="F10" s="74" t="str">
        <f t="shared" si="0"/>
        <v>ปกติ</v>
      </c>
      <c r="G10" s="75">
        <f>แปลผลตนเอง!G10+แปลผลครู!G10+แปลผลผู้ปกครอง!G10</f>
        <v>6</v>
      </c>
      <c r="H10" s="74" t="str">
        <f t="shared" si="1"/>
        <v>ปกติ</v>
      </c>
      <c r="I10" s="75">
        <f>แปลผลตนเอง!I10+แปลผลครู!I10+แปลผลผู้ปกครอง!I10</f>
        <v>0</v>
      </c>
      <c r="J10" s="74" t="str">
        <f t="shared" si="2"/>
        <v>ปกติ</v>
      </c>
      <c r="K10" s="75">
        <f>แปลผลตนเอง!K10+แปลผลครู!K10+แปลผลผู้ปกครอง!K10</f>
        <v>0</v>
      </c>
      <c r="L10" s="74" t="str">
        <f t="shared" si="3"/>
        <v>ปกติ</v>
      </c>
      <c r="M10" s="75">
        <f t="shared" si="4"/>
        <v>6</v>
      </c>
      <c r="N10" s="76" t="str">
        <f t="shared" si="5"/>
        <v>ปกติ</v>
      </c>
      <c r="O10" s="137">
        <f>แปลผลตนเอง!O10+แปลผลครู!O10+แปลผลผู้ปกครอง!O10</f>
        <v>0</v>
      </c>
      <c r="P10" s="25" t="str">
        <f t="shared" si="6"/>
        <v>ไม่มีจุดแข็ง</v>
      </c>
      <c r="Q10" s="25" t="str">
        <f t="shared" si="7"/>
        <v>เสี่ยง</v>
      </c>
      <c r="R10" s="137">
        <f>แปลผลตนเอง!Q10+แปลผลครู!Q10+แปลผลผู้ปกครอง!Q10</f>
        <v>0</v>
      </c>
      <c r="S10" s="25" t="str">
        <f t="shared" si="8"/>
        <v>ปกติ</v>
      </c>
      <c r="T10" s="22" t="str">
        <f t="shared" si="9"/>
        <v>1</v>
      </c>
      <c r="U10" s="27">
        <f t="shared" si="10"/>
        <v>6</v>
      </c>
      <c r="V10" s="84" t="str">
        <f t="shared" si="11"/>
        <v>ปกติ</v>
      </c>
    </row>
    <row r="11" spans="1:22" ht="21" customHeight="1">
      <c r="A11" s="42">
        <v>5</v>
      </c>
      <c r="B11" s="138" t="str">
        <f>รายชื่อ!B5</f>
        <v>เด็กชาย</v>
      </c>
      <c r="C11" s="138" t="str">
        <f>รายชื่อ!C5</f>
        <v>ฑิติพัฒน์</v>
      </c>
      <c r="D11" s="138" t="str">
        <f>รายชื่อ!D5</f>
        <v>เชตุทอง</v>
      </c>
      <c r="E11" s="73">
        <f>แปลผลตนเอง!E11+แปลผลครู!E11+แปลผลผู้ปกครอง!E11</f>
        <v>0</v>
      </c>
      <c r="F11" s="74" t="str">
        <f t="shared" si="0"/>
        <v>ปกติ</v>
      </c>
      <c r="G11" s="75">
        <f>แปลผลตนเอง!G11+แปลผลครู!G11+แปลผลผู้ปกครอง!G11</f>
        <v>4</v>
      </c>
      <c r="H11" s="74" t="str">
        <f t="shared" si="1"/>
        <v>ปกติ</v>
      </c>
      <c r="I11" s="75">
        <f>แปลผลตนเอง!I11+แปลผลครู!I11+แปลผลผู้ปกครอง!I11</f>
        <v>2</v>
      </c>
      <c r="J11" s="74" t="str">
        <f t="shared" si="2"/>
        <v>ปกติ</v>
      </c>
      <c r="K11" s="75">
        <f>แปลผลตนเอง!K11+แปลผลครู!K11+แปลผลผู้ปกครอง!K11</f>
        <v>0</v>
      </c>
      <c r="L11" s="74" t="str">
        <f t="shared" si="3"/>
        <v>ปกติ</v>
      </c>
      <c r="M11" s="75">
        <f t="shared" si="4"/>
        <v>6</v>
      </c>
      <c r="N11" s="76" t="str">
        <f t="shared" si="5"/>
        <v>ปกติ</v>
      </c>
      <c r="O11" s="137">
        <f>แปลผลตนเอง!O11+แปลผลครู!O11+แปลผลผู้ปกครอง!O11</f>
        <v>0</v>
      </c>
      <c r="P11" s="25" t="str">
        <f t="shared" si="6"/>
        <v>ไม่มีจุดแข็ง</v>
      </c>
      <c r="Q11" s="25" t="str">
        <f t="shared" si="7"/>
        <v>เสี่ยง</v>
      </c>
      <c r="R11" s="137">
        <f>แปลผลตนเอง!Q11+แปลผลครู!Q11+แปลผลผู้ปกครอง!Q11</f>
        <v>0</v>
      </c>
      <c r="S11" s="25" t="str">
        <f t="shared" si="8"/>
        <v>ปกติ</v>
      </c>
      <c r="T11" s="22" t="str">
        <f t="shared" si="9"/>
        <v>1</v>
      </c>
      <c r="U11" s="27">
        <f t="shared" si="10"/>
        <v>6</v>
      </c>
      <c r="V11" s="84" t="str">
        <f t="shared" si="11"/>
        <v>ปกติ</v>
      </c>
    </row>
    <row r="12" spans="1:22" ht="21" customHeight="1">
      <c r="A12" s="42">
        <v>6</v>
      </c>
      <c r="B12" s="138" t="str">
        <f>รายชื่อ!B6</f>
        <v>เด็กชาย</v>
      </c>
      <c r="C12" s="138" t="str">
        <f>รายชื่อ!C6</f>
        <v>กฤษณพล</v>
      </c>
      <c r="D12" s="138" t="str">
        <f>รายชื่อ!D6</f>
        <v>สมศรี</v>
      </c>
      <c r="E12" s="73">
        <f>แปลผลตนเอง!E12+แปลผลครู!E12+แปลผลผู้ปกครอง!E12</f>
        <v>0</v>
      </c>
      <c r="F12" s="74" t="str">
        <f t="shared" si="0"/>
        <v>ปกติ</v>
      </c>
      <c r="G12" s="75">
        <f>แปลผลตนเอง!G12+แปลผลครู!G12+แปลผลผู้ปกครอง!G12</f>
        <v>2</v>
      </c>
      <c r="H12" s="74" t="str">
        <f t="shared" si="1"/>
        <v>ปกติ</v>
      </c>
      <c r="I12" s="75">
        <f>แปลผลตนเอง!I12+แปลผลครู!I12+แปลผลผู้ปกครอง!I12</f>
        <v>0</v>
      </c>
      <c r="J12" s="74" t="str">
        <f t="shared" si="2"/>
        <v>ปกติ</v>
      </c>
      <c r="K12" s="75">
        <f>แปลผลตนเอง!K12+แปลผลครู!K12+แปลผลผู้ปกครอง!K12</f>
        <v>2</v>
      </c>
      <c r="L12" s="74" t="str">
        <f t="shared" si="3"/>
        <v>ปกติ</v>
      </c>
      <c r="M12" s="75">
        <f t="shared" si="4"/>
        <v>4</v>
      </c>
      <c r="N12" s="76" t="str">
        <f t="shared" si="5"/>
        <v>ปกติ</v>
      </c>
      <c r="O12" s="137">
        <f>แปลผลตนเอง!O12+แปลผลครู!O12+แปลผลผู้ปกครอง!O12</f>
        <v>0</v>
      </c>
      <c r="P12" s="25" t="str">
        <f t="shared" si="6"/>
        <v>ไม่มีจุดแข็ง</v>
      </c>
      <c r="Q12" s="25" t="str">
        <f t="shared" si="7"/>
        <v>เสี่ยง</v>
      </c>
      <c r="R12" s="137">
        <f>แปลผลตนเอง!Q12+แปลผลครู!Q12+แปลผลผู้ปกครอง!Q12</f>
        <v>0</v>
      </c>
      <c r="S12" s="25" t="str">
        <f t="shared" si="8"/>
        <v>ปกติ</v>
      </c>
      <c r="T12" s="22" t="str">
        <f t="shared" si="9"/>
        <v>1</v>
      </c>
      <c r="U12" s="27">
        <f t="shared" si="10"/>
        <v>4</v>
      </c>
      <c r="V12" s="84" t="str">
        <f t="shared" si="11"/>
        <v>ปกติ</v>
      </c>
    </row>
    <row r="13" spans="1:22" ht="21" customHeight="1">
      <c r="A13" s="42">
        <v>7</v>
      </c>
      <c r="B13" s="138" t="str">
        <f>รายชื่อ!B7</f>
        <v>เด็กชาย</v>
      </c>
      <c r="C13" s="138" t="str">
        <f>รายชื่อ!C7</f>
        <v>จักรภัทร</v>
      </c>
      <c r="D13" s="138" t="str">
        <f>รายชื่อ!D7</f>
        <v>วิเศษสุวรรณภูมิ</v>
      </c>
      <c r="E13" s="73">
        <f>แปลผลตนเอง!E13+แปลผลครู!E13+แปลผลผู้ปกครอง!E13</f>
        <v>0</v>
      </c>
      <c r="F13" s="74" t="str">
        <f t="shared" si="0"/>
        <v>ปกติ</v>
      </c>
      <c r="G13" s="75">
        <f>แปลผลตนเอง!G13+แปลผลครู!G13+แปลผลผู้ปกครอง!G13</f>
        <v>4</v>
      </c>
      <c r="H13" s="74" t="str">
        <f t="shared" si="1"/>
        <v>ปกติ</v>
      </c>
      <c r="I13" s="75">
        <f>แปลผลตนเอง!I13+แปลผลครู!I13+แปลผลผู้ปกครอง!I13</f>
        <v>6</v>
      </c>
      <c r="J13" s="74" t="str">
        <f t="shared" si="2"/>
        <v>ปกติ</v>
      </c>
      <c r="K13" s="75">
        <f>แปลผลตนเอง!K13+แปลผลครู!K13+แปลผลผู้ปกครอง!K13</f>
        <v>0</v>
      </c>
      <c r="L13" s="74" t="str">
        <f t="shared" si="3"/>
        <v>ปกติ</v>
      </c>
      <c r="M13" s="75">
        <f t="shared" si="4"/>
        <v>10</v>
      </c>
      <c r="N13" s="76" t="str">
        <f t="shared" si="5"/>
        <v>ปกติ</v>
      </c>
      <c r="O13" s="137">
        <f>แปลผลตนเอง!O13+แปลผลครู!O13+แปลผลผู้ปกครอง!O13</f>
        <v>0</v>
      </c>
      <c r="P13" s="25" t="str">
        <f t="shared" si="6"/>
        <v>ไม่มีจุดแข็ง</v>
      </c>
      <c r="Q13" s="25" t="str">
        <f t="shared" si="7"/>
        <v>เสี่ยง</v>
      </c>
      <c r="R13" s="137">
        <f>แปลผลตนเอง!Q13+แปลผลครู!Q13+แปลผลผู้ปกครอง!Q13</f>
        <v>0</v>
      </c>
      <c r="S13" s="25" t="str">
        <f t="shared" si="8"/>
        <v>ปกติ</v>
      </c>
      <c r="T13" s="22" t="str">
        <f t="shared" si="9"/>
        <v>1</v>
      </c>
      <c r="U13" s="27">
        <f t="shared" si="10"/>
        <v>10</v>
      </c>
      <c r="V13" s="84" t="str">
        <f t="shared" si="11"/>
        <v>ปกติ</v>
      </c>
    </row>
    <row r="14" spans="1:22" ht="21" customHeight="1">
      <c r="A14" s="42">
        <v>8</v>
      </c>
      <c r="B14" s="138" t="str">
        <f>รายชื่อ!B8</f>
        <v>เด็กชาย</v>
      </c>
      <c r="C14" s="138" t="str">
        <f>รายชื่อ!C8</f>
        <v>จิรายุ</v>
      </c>
      <c r="D14" s="138" t="str">
        <f>รายชื่อ!D8</f>
        <v>บุญเนตร</v>
      </c>
      <c r="E14" s="73">
        <f>แปลผลตนเอง!E14+แปลผลครู!E14+แปลผลผู้ปกครอง!E14</f>
        <v>0</v>
      </c>
      <c r="F14" s="74" t="str">
        <f t="shared" si="0"/>
        <v>ปกติ</v>
      </c>
      <c r="G14" s="75">
        <f>แปลผลตนเอง!G14+แปลผลครู!G14+แปลผลผู้ปกครอง!G14</f>
        <v>6</v>
      </c>
      <c r="H14" s="74" t="str">
        <f t="shared" si="1"/>
        <v>ปกติ</v>
      </c>
      <c r="I14" s="75">
        <f>แปลผลตนเอง!I14+แปลผลครู!I14+แปลผลผู้ปกครอง!I14</f>
        <v>4</v>
      </c>
      <c r="J14" s="74" t="str">
        <f t="shared" si="2"/>
        <v>ปกติ</v>
      </c>
      <c r="K14" s="75">
        <f>แปลผลตนเอง!K14+แปลผลครู!K14+แปลผลผู้ปกครอง!K14</f>
        <v>4</v>
      </c>
      <c r="L14" s="74" t="str">
        <f t="shared" si="3"/>
        <v>ปกติ</v>
      </c>
      <c r="M14" s="75">
        <f t="shared" si="4"/>
        <v>14</v>
      </c>
      <c r="N14" s="76" t="str">
        <f t="shared" si="5"/>
        <v>ปกติ</v>
      </c>
      <c r="O14" s="137">
        <f>แปลผลตนเอง!O14+แปลผลครู!O14+แปลผลผู้ปกครอง!O14</f>
        <v>0</v>
      </c>
      <c r="P14" s="25" t="str">
        <f t="shared" si="6"/>
        <v>ไม่มีจุดแข็ง</v>
      </c>
      <c r="Q14" s="25" t="str">
        <f t="shared" si="7"/>
        <v>เสี่ยง</v>
      </c>
      <c r="R14" s="137">
        <f>แปลผลตนเอง!Q14+แปลผลครู!Q14+แปลผลผู้ปกครอง!Q14</f>
        <v>0</v>
      </c>
      <c r="S14" s="25" t="str">
        <f t="shared" si="8"/>
        <v>ปกติ</v>
      </c>
      <c r="T14" s="22" t="str">
        <f t="shared" si="9"/>
        <v>1</v>
      </c>
      <c r="U14" s="27">
        <f t="shared" si="10"/>
        <v>14</v>
      </c>
      <c r="V14" s="84" t="str">
        <f t="shared" si="11"/>
        <v>ปกติ</v>
      </c>
    </row>
    <row r="15" spans="1:22" ht="21" customHeight="1">
      <c r="A15" s="42">
        <v>9</v>
      </c>
      <c r="B15" s="138" t="str">
        <f>รายชื่อ!B9</f>
        <v>เด็กชาย</v>
      </c>
      <c r="C15" s="138" t="str">
        <f>รายชื่อ!C9</f>
        <v>สรศักดิ์</v>
      </c>
      <c r="D15" s="138" t="str">
        <f>รายชื่อ!D9</f>
        <v>เกิดสา</v>
      </c>
      <c r="E15" s="73">
        <f>แปลผลตนเอง!E15+แปลผลครู!E15+แปลผลผู้ปกครอง!E15</f>
        <v>0</v>
      </c>
      <c r="F15" s="74" t="str">
        <f t="shared" si="0"/>
        <v>ปกติ</v>
      </c>
      <c r="G15" s="75">
        <f>แปลผลตนเอง!G15+แปลผลครู!G15+แปลผลผู้ปกครอง!G15</f>
        <v>6</v>
      </c>
      <c r="H15" s="74" t="str">
        <f t="shared" si="1"/>
        <v>ปกติ</v>
      </c>
      <c r="I15" s="75">
        <f>แปลผลตนเอง!I15+แปลผลครู!I15+แปลผลผู้ปกครอง!I15</f>
        <v>6</v>
      </c>
      <c r="J15" s="74" t="str">
        <f t="shared" si="2"/>
        <v>ปกติ</v>
      </c>
      <c r="K15" s="75">
        <f>แปลผลตนเอง!K15+แปลผลครู!K15+แปลผลผู้ปกครอง!K15</f>
        <v>0</v>
      </c>
      <c r="L15" s="74" t="str">
        <f t="shared" si="3"/>
        <v>ปกติ</v>
      </c>
      <c r="M15" s="75">
        <f t="shared" si="4"/>
        <v>12</v>
      </c>
      <c r="N15" s="76" t="str">
        <f t="shared" si="5"/>
        <v>ปกติ</v>
      </c>
      <c r="O15" s="137">
        <f>แปลผลตนเอง!O15+แปลผลครู!O15+แปลผลผู้ปกครอง!O15</f>
        <v>0</v>
      </c>
      <c r="P15" s="25" t="str">
        <f t="shared" si="6"/>
        <v>ไม่มีจุดแข็ง</v>
      </c>
      <c r="Q15" s="25" t="str">
        <f t="shared" si="7"/>
        <v>เสี่ยง</v>
      </c>
      <c r="R15" s="137">
        <f>แปลผลตนเอง!Q15+แปลผลครู!Q15+แปลผลผู้ปกครอง!Q15</f>
        <v>0</v>
      </c>
      <c r="S15" s="25" t="str">
        <f t="shared" si="8"/>
        <v>ปกติ</v>
      </c>
      <c r="T15" s="22" t="str">
        <f t="shared" si="9"/>
        <v>1</v>
      </c>
      <c r="U15" s="27">
        <f t="shared" si="10"/>
        <v>12</v>
      </c>
      <c r="V15" s="84" t="str">
        <f t="shared" si="11"/>
        <v>ปกติ</v>
      </c>
    </row>
    <row r="16" spans="1:22" ht="21" customHeight="1">
      <c r="A16" s="42">
        <v>10</v>
      </c>
      <c r="B16" s="138" t="str">
        <f>รายชื่อ!B10</f>
        <v>เด็กชาย</v>
      </c>
      <c r="C16" s="138" t="str">
        <f>รายชื่อ!C10</f>
        <v>ธีรภัทร</v>
      </c>
      <c r="D16" s="138" t="str">
        <f>รายชื่อ!D10</f>
        <v>ทวีชัยการ</v>
      </c>
      <c r="E16" s="73">
        <f>แปลผลตนเอง!E16+แปลผลครู!E16+แปลผลผู้ปกครอง!E16</f>
        <v>0</v>
      </c>
      <c r="F16" s="74" t="str">
        <f t="shared" si="0"/>
        <v>ปกติ</v>
      </c>
      <c r="G16" s="75">
        <f>แปลผลตนเอง!G16+แปลผลครู!G16+แปลผลผู้ปกครอง!G16</f>
        <v>4</v>
      </c>
      <c r="H16" s="74" t="str">
        <f t="shared" si="1"/>
        <v>ปกติ</v>
      </c>
      <c r="I16" s="75">
        <f>แปลผลตนเอง!I16+แปลผลครู!I16+แปลผลผู้ปกครอง!I16</f>
        <v>2</v>
      </c>
      <c r="J16" s="74" t="str">
        <f t="shared" si="2"/>
        <v>ปกติ</v>
      </c>
      <c r="K16" s="75">
        <f>แปลผลตนเอง!K16+แปลผลครู!K16+แปลผลผู้ปกครอง!K16</f>
        <v>0</v>
      </c>
      <c r="L16" s="74" t="str">
        <f t="shared" si="3"/>
        <v>ปกติ</v>
      </c>
      <c r="M16" s="75">
        <f t="shared" si="4"/>
        <v>6</v>
      </c>
      <c r="N16" s="76" t="str">
        <f t="shared" si="5"/>
        <v>ปกติ</v>
      </c>
      <c r="O16" s="137">
        <f>แปลผลตนเอง!O16+แปลผลครู!O16+แปลผลผู้ปกครอง!O16</f>
        <v>0</v>
      </c>
      <c r="P16" s="25" t="str">
        <f t="shared" si="6"/>
        <v>ไม่มีจุดแข็ง</v>
      </c>
      <c r="Q16" s="25" t="str">
        <f t="shared" si="7"/>
        <v>เสี่ยง</v>
      </c>
      <c r="R16" s="137">
        <f>แปลผลตนเอง!Q16+แปลผลครู!Q16+แปลผลผู้ปกครอง!Q16</f>
        <v>0</v>
      </c>
      <c r="S16" s="25" t="str">
        <f t="shared" si="8"/>
        <v>ปกติ</v>
      </c>
      <c r="T16" s="22" t="str">
        <f t="shared" si="9"/>
        <v>1</v>
      </c>
      <c r="U16" s="27">
        <f t="shared" si="10"/>
        <v>6</v>
      </c>
      <c r="V16" s="84" t="str">
        <f t="shared" si="11"/>
        <v>ปกติ</v>
      </c>
    </row>
    <row r="17" spans="1:22" ht="21" customHeight="1">
      <c r="A17" s="42">
        <v>11</v>
      </c>
      <c r="B17" s="138" t="str">
        <f>รายชื่อ!B11</f>
        <v>เด็กชาย</v>
      </c>
      <c r="C17" s="138" t="str">
        <f>รายชื่อ!C11</f>
        <v>นัธทวัฒน์</v>
      </c>
      <c r="D17" s="138" t="str">
        <f>รายชื่อ!D11</f>
        <v>เหล่าจันอัน</v>
      </c>
      <c r="E17" s="73">
        <f>แปลผลตนเอง!E17+แปลผลครู!E17+แปลผลผู้ปกครอง!E17</f>
        <v>0</v>
      </c>
      <c r="F17" s="74" t="str">
        <f t="shared" si="0"/>
        <v>ปกติ</v>
      </c>
      <c r="G17" s="75">
        <f>แปลผลตนเอง!G17+แปลผลครู!G17+แปลผลผู้ปกครอง!G17</f>
        <v>6</v>
      </c>
      <c r="H17" s="74" t="str">
        <f t="shared" si="1"/>
        <v>ปกติ</v>
      </c>
      <c r="I17" s="75">
        <f>แปลผลตนเอง!I17+แปลผลครู!I17+แปลผลผู้ปกครอง!I17</f>
        <v>6</v>
      </c>
      <c r="J17" s="74" t="str">
        <f t="shared" si="2"/>
        <v>ปกติ</v>
      </c>
      <c r="K17" s="75">
        <f>แปลผลตนเอง!K17+แปลผลครู!K17+แปลผลผู้ปกครอง!K17</f>
        <v>0</v>
      </c>
      <c r="L17" s="74" t="str">
        <f t="shared" si="3"/>
        <v>ปกติ</v>
      </c>
      <c r="M17" s="75">
        <f t="shared" si="4"/>
        <v>12</v>
      </c>
      <c r="N17" s="76" t="str">
        <f t="shared" si="5"/>
        <v>ปกติ</v>
      </c>
      <c r="O17" s="137">
        <f>แปลผลตนเอง!O17+แปลผลครู!O17+แปลผลผู้ปกครอง!O17</f>
        <v>0</v>
      </c>
      <c r="P17" s="25" t="str">
        <f t="shared" si="6"/>
        <v>ไม่มีจุดแข็ง</v>
      </c>
      <c r="Q17" s="25" t="str">
        <f t="shared" si="7"/>
        <v>เสี่ยง</v>
      </c>
      <c r="R17" s="137">
        <f>แปลผลตนเอง!Q17+แปลผลครู!Q17+แปลผลผู้ปกครอง!Q17</f>
        <v>0</v>
      </c>
      <c r="S17" s="25" t="str">
        <f t="shared" si="8"/>
        <v>ปกติ</v>
      </c>
      <c r="T17" s="22" t="str">
        <f t="shared" si="9"/>
        <v>1</v>
      </c>
      <c r="U17" s="27">
        <f t="shared" si="10"/>
        <v>12</v>
      </c>
      <c r="V17" s="84" t="str">
        <f t="shared" si="11"/>
        <v>ปกติ</v>
      </c>
    </row>
    <row r="18" spans="1:22" ht="21" customHeight="1">
      <c r="A18" s="42">
        <v>12</v>
      </c>
      <c r="B18" s="138" t="str">
        <f>รายชื่อ!B12</f>
        <v>เด็กชาย</v>
      </c>
      <c r="C18" s="138" t="str">
        <f>รายชื่อ!C12</f>
        <v>พงศพัศ</v>
      </c>
      <c r="D18" s="138" t="str">
        <f>รายชื่อ!D12</f>
        <v>เกื้อเกตุ</v>
      </c>
      <c r="E18" s="73">
        <f>แปลผลตนเอง!E18+แปลผลครู!E18+แปลผลผู้ปกครอง!E18</f>
        <v>0</v>
      </c>
      <c r="F18" s="74" t="str">
        <f t="shared" si="0"/>
        <v>ปกติ</v>
      </c>
      <c r="G18" s="75">
        <f>แปลผลตนเอง!G18+แปลผลครู!G18+แปลผลผู้ปกครอง!G18</f>
        <v>6</v>
      </c>
      <c r="H18" s="74" t="str">
        <f t="shared" si="1"/>
        <v>ปกติ</v>
      </c>
      <c r="I18" s="75">
        <f>แปลผลตนเอง!I18+แปลผลครู!I18+แปลผลผู้ปกครอง!I18</f>
        <v>6</v>
      </c>
      <c r="J18" s="74" t="str">
        <f t="shared" si="2"/>
        <v>ปกติ</v>
      </c>
      <c r="K18" s="75">
        <f>แปลผลตนเอง!K18+แปลผลครู!K18+แปลผลผู้ปกครอง!K18</f>
        <v>0</v>
      </c>
      <c r="L18" s="74" t="str">
        <f t="shared" si="3"/>
        <v>ปกติ</v>
      </c>
      <c r="M18" s="75">
        <f t="shared" si="4"/>
        <v>12</v>
      </c>
      <c r="N18" s="76" t="str">
        <f t="shared" si="5"/>
        <v>ปกติ</v>
      </c>
      <c r="O18" s="137">
        <f>แปลผลตนเอง!O18+แปลผลครู!O18+แปลผลผู้ปกครอง!O18</f>
        <v>0</v>
      </c>
      <c r="P18" s="25" t="str">
        <f t="shared" si="6"/>
        <v>ไม่มีจุดแข็ง</v>
      </c>
      <c r="Q18" s="25" t="str">
        <f t="shared" si="7"/>
        <v>เสี่ยง</v>
      </c>
      <c r="R18" s="137">
        <f>แปลผลตนเอง!Q18+แปลผลครู!Q18+แปลผลผู้ปกครอง!Q18</f>
        <v>0</v>
      </c>
      <c r="S18" s="25" t="str">
        <f t="shared" si="8"/>
        <v>ปกติ</v>
      </c>
      <c r="T18" s="22" t="str">
        <f t="shared" si="9"/>
        <v>1</v>
      </c>
      <c r="U18" s="27">
        <f t="shared" si="10"/>
        <v>12</v>
      </c>
      <c r="V18" s="84" t="str">
        <f t="shared" si="11"/>
        <v>ปกติ</v>
      </c>
    </row>
    <row r="19" spans="1:22" ht="21" customHeight="1">
      <c r="A19" s="42">
        <v>13</v>
      </c>
      <c r="B19" s="138" t="str">
        <f>รายชื่อ!B13</f>
        <v>เด็กชาย</v>
      </c>
      <c r="C19" s="138" t="str">
        <f>รายชื่อ!C13</f>
        <v>ณัฐภัทร</v>
      </c>
      <c r="D19" s="138" t="str">
        <f>รายชื่อ!D13</f>
        <v>องอาจ</v>
      </c>
      <c r="E19" s="73">
        <f>แปลผลตนเอง!E19+แปลผลครู!E19+แปลผลผู้ปกครอง!E19</f>
        <v>0</v>
      </c>
      <c r="F19" s="74" t="str">
        <f t="shared" si="0"/>
        <v>ปกติ</v>
      </c>
      <c r="G19" s="75">
        <f>แปลผลตนเอง!G19+แปลผลครู!G19+แปลผลผู้ปกครอง!G19</f>
        <v>2</v>
      </c>
      <c r="H19" s="74" t="str">
        <f t="shared" si="1"/>
        <v>ปกติ</v>
      </c>
      <c r="I19" s="75">
        <f>แปลผลตนเอง!I19+แปลผลครู!I19+แปลผลผู้ปกครอง!I19</f>
        <v>0</v>
      </c>
      <c r="J19" s="74" t="str">
        <f t="shared" si="2"/>
        <v>ปกติ</v>
      </c>
      <c r="K19" s="75">
        <f>แปลผลตนเอง!K19+แปลผลครู!K19+แปลผลผู้ปกครอง!K19</f>
        <v>0</v>
      </c>
      <c r="L19" s="74" t="str">
        <f t="shared" si="3"/>
        <v>ปกติ</v>
      </c>
      <c r="M19" s="75">
        <f t="shared" si="4"/>
        <v>2</v>
      </c>
      <c r="N19" s="76" t="str">
        <f t="shared" si="5"/>
        <v>ปกติ</v>
      </c>
      <c r="O19" s="137">
        <f>แปลผลตนเอง!O19+แปลผลครู!O19+แปลผลผู้ปกครอง!O19</f>
        <v>0</v>
      </c>
      <c r="P19" s="25" t="str">
        <f t="shared" si="6"/>
        <v>ไม่มีจุดแข็ง</v>
      </c>
      <c r="Q19" s="25" t="str">
        <f t="shared" si="7"/>
        <v>เสี่ยง</v>
      </c>
      <c r="R19" s="137">
        <f>แปลผลตนเอง!Q19+แปลผลครู!Q19+แปลผลผู้ปกครอง!Q19</f>
        <v>0</v>
      </c>
      <c r="S19" s="25" t="str">
        <f t="shared" si="8"/>
        <v>ปกติ</v>
      </c>
      <c r="T19" s="22" t="str">
        <f t="shared" si="9"/>
        <v>1</v>
      </c>
      <c r="U19" s="27">
        <f t="shared" si="10"/>
        <v>2</v>
      </c>
      <c r="V19" s="84" t="str">
        <f t="shared" si="11"/>
        <v>ปกติ</v>
      </c>
    </row>
    <row r="20" spans="1:22" ht="21" customHeight="1">
      <c r="A20" s="42">
        <v>14</v>
      </c>
      <c r="B20" s="138" t="str">
        <f>รายชื่อ!B14</f>
        <v>เด็กชาย</v>
      </c>
      <c r="C20" s="138" t="str">
        <f>รายชื่อ!C14</f>
        <v>วิศรุตย์</v>
      </c>
      <c r="D20" s="138" t="str">
        <f>รายชื่อ!D14</f>
        <v>เถื่อนทับ</v>
      </c>
      <c r="E20" s="73">
        <f>แปลผลตนเอง!E20+แปลผลครู!E20+แปลผลผู้ปกครอง!E20</f>
        <v>0</v>
      </c>
      <c r="F20" s="74" t="str">
        <f t="shared" si="0"/>
        <v>ปกติ</v>
      </c>
      <c r="G20" s="75">
        <f>แปลผลตนเอง!G20+แปลผลครู!G20+แปลผลผู้ปกครอง!G20</f>
        <v>6</v>
      </c>
      <c r="H20" s="74" t="str">
        <f t="shared" si="1"/>
        <v>ปกติ</v>
      </c>
      <c r="I20" s="75">
        <f>แปลผลตนเอง!I20+แปลผลครู!I20+แปลผลผู้ปกครอง!I20</f>
        <v>2</v>
      </c>
      <c r="J20" s="74" t="str">
        <f t="shared" si="2"/>
        <v>ปกติ</v>
      </c>
      <c r="K20" s="75">
        <f>แปลผลตนเอง!K20+แปลผลครู!K20+แปลผลผู้ปกครอง!K20</f>
        <v>4</v>
      </c>
      <c r="L20" s="74" t="str">
        <f t="shared" si="3"/>
        <v>ปกติ</v>
      </c>
      <c r="M20" s="73">
        <f t="shared" si="4"/>
        <v>12</v>
      </c>
      <c r="N20" s="76" t="str">
        <f t="shared" si="5"/>
        <v>ปกติ</v>
      </c>
      <c r="O20" s="137">
        <f>แปลผลตนเอง!O20+แปลผลครู!O20+แปลผลผู้ปกครอง!O20</f>
        <v>2</v>
      </c>
      <c r="P20" s="25" t="str">
        <f t="shared" si="6"/>
        <v>ไม่มีจุดแข็ง</v>
      </c>
      <c r="Q20" s="25" t="str">
        <f t="shared" si="7"/>
        <v>เสี่ยง</v>
      </c>
      <c r="R20" s="137">
        <f>แปลผลตนเอง!Q20+แปลผลครู!Q20+แปลผลผู้ปกครอง!Q20</f>
        <v>0</v>
      </c>
      <c r="S20" s="25" t="str">
        <f t="shared" si="8"/>
        <v>ปกติ</v>
      </c>
      <c r="T20" s="22" t="str">
        <f t="shared" si="9"/>
        <v>1</v>
      </c>
      <c r="U20" s="27">
        <f t="shared" si="10"/>
        <v>12</v>
      </c>
      <c r="V20" s="84" t="str">
        <f t="shared" si="11"/>
        <v>ปกติ</v>
      </c>
    </row>
    <row r="21" spans="1:22" ht="21" customHeight="1">
      <c r="A21" s="42">
        <v>15</v>
      </c>
      <c r="B21" s="138" t="str">
        <f>รายชื่อ!B15</f>
        <v>เด็กชาย</v>
      </c>
      <c r="C21" s="138" t="str">
        <f>รายชื่อ!C15</f>
        <v>ชนันธร</v>
      </c>
      <c r="D21" s="138" t="str">
        <f>รายชื่อ!D15</f>
        <v>อุดเลิศ</v>
      </c>
      <c r="E21" s="73">
        <f>แปลผลตนเอง!E21+แปลผลครู!E21+แปลผลผู้ปกครอง!E21</f>
        <v>0</v>
      </c>
      <c r="F21" s="74" t="str">
        <f t="shared" si="0"/>
        <v>ปกติ</v>
      </c>
      <c r="G21" s="75">
        <f>แปลผลตนเอง!G21+แปลผลครู!G21+แปลผลผู้ปกครอง!G21</f>
        <v>6</v>
      </c>
      <c r="H21" s="74" t="str">
        <f t="shared" si="1"/>
        <v>ปกติ</v>
      </c>
      <c r="I21" s="75">
        <f>แปลผลตนเอง!I21+แปลผลครู!I21+แปลผลผู้ปกครอง!I21</f>
        <v>6</v>
      </c>
      <c r="J21" s="74" t="str">
        <f t="shared" si="2"/>
        <v>ปกติ</v>
      </c>
      <c r="K21" s="75">
        <f>แปลผลตนเอง!K21+แปลผลครู!K21+แปลผลผู้ปกครอง!K21</f>
        <v>0</v>
      </c>
      <c r="L21" s="74" t="str">
        <f t="shared" si="3"/>
        <v>ปกติ</v>
      </c>
      <c r="M21" s="75">
        <f t="shared" si="4"/>
        <v>12</v>
      </c>
      <c r="N21" s="76" t="str">
        <f t="shared" si="5"/>
        <v>ปกติ</v>
      </c>
      <c r="O21" s="137">
        <f>แปลผลตนเอง!O21+แปลผลครู!O21+แปลผลผู้ปกครอง!O21</f>
        <v>0</v>
      </c>
      <c r="P21" s="25" t="str">
        <f t="shared" si="6"/>
        <v>ไม่มีจุดแข็ง</v>
      </c>
      <c r="Q21" s="25" t="str">
        <f t="shared" si="7"/>
        <v>เสี่ยง</v>
      </c>
      <c r="R21" s="137">
        <f>แปลผลตนเอง!Q21+แปลผลครู!Q21+แปลผลผู้ปกครอง!Q21</f>
        <v>0</v>
      </c>
      <c r="S21" s="25" t="str">
        <f t="shared" si="8"/>
        <v>ปกติ</v>
      </c>
      <c r="T21" s="22" t="str">
        <f t="shared" si="9"/>
        <v>1</v>
      </c>
      <c r="U21" s="27">
        <f t="shared" si="10"/>
        <v>12</v>
      </c>
      <c r="V21" s="84" t="str">
        <f t="shared" si="11"/>
        <v>ปกติ</v>
      </c>
    </row>
    <row r="22" spans="1:22" ht="21" customHeight="1">
      <c r="A22" s="42">
        <v>16</v>
      </c>
      <c r="B22" s="138" t="str">
        <f>รายชื่อ!B16</f>
        <v>เด็กหญิง</v>
      </c>
      <c r="C22" s="138" t="str">
        <f>รายชื่อ!C16</f>
        <v>นันท์นภัส</v>
      </c>
      <c r="D22" s="138" t="str">
        <f>รายชื่อ!D16</f>
        <v>พัฒน์เชาวฤทธิ์</v>
      </c>
      <c r="E22" s="73">
        <f>แปลผลตนเอง!E22+แปลผลครู!E22+แปลผลผู้ปกครอง!E22</f>
        <v>0</v>
      </c>
      <c r="F22" s="74" t="str">
        <f t="shared" si="0"/>
        <v>ปกติ</v>
      </c>
      <c r="G22" s="75">
        <f>แปลผลตนเอง!G22+แปลผลครู!G22+แปลผลผู้ปกครอง!G22</f>
        <v>6</v>
      </c>
      <c r="H22" s="74" t="str">
        <f t="shared" si="1"/>
        <v>ปกติ</v>
      </c>
      <c r="I22" s="75">
        <f>แปลผลตนเอง!I22+แปลผลครู!I22+แปลผลผู้ปกครอง!I22</f>
        <v>4</v>
      </c>
      <c r="J22" s="74" t="str">
        <f t="shared" si="2"/>
        <v>ปกติ</v>
      </c>
      <c r="K22" s="75">
        <f>แปลผลตนเอง!K22+แปลผลครู!K22+แปลผลผู้ปกครอง!K22</f>
        <v>0</v>
      </c>
      <c r="L22" s="74" t="str">
        <f t="shared" si="3"/>
        <v>ปกติ</v>
      </c>
      <c r="M22" s="75">
        <f t="shared" si="4"/>
        <v>10</v>
      </c>
      <c r="N22" s="76" t="str">
        <f t="shared" si="5"/>
        <v>ปกติ</v>
      </c>
      <c r="O22" s="137">
        <f>แปลผลตนเอง!O22+แปลผลครู!O22+แปลผลผู้ปกครอง!O22</f>
        <v>0</v>
      </c>
      <c r="P22" s="25" t="str">
        <f t="shared" si="6"/>
        <v>ไม่มีจุดแข็ง</v>
      </c>
      <c r="Q22" s="25" t="str">
        <f t="shared" si="7"/>
        <v>เสี่ยง</v>
      </c>
      <c r="R22" s="137">
        <f>แปลผลตนเอง!Q22+แปลผลครู!Q22+แปลผลผู้ปกครอง!Q22</f>
        <v>0</v>
      </c>
      <c r="S22" s="25" t="str">
        <f t="shared" si="8"/>
        <v>ปกติ</v>
      </c>
      <c r="T22" s="22" t="str">
        <f t="shared" si="9"/>
        <v>1</v>
      </c>
      <c r="U22" s="27">
        <f t="shared" si="10"/>
        <v>10</v>
      </c>
      <c r="V22" s="84" t="str">
        <f t="shared" si="11"/>
        <v>ปกติ</v>
      </c>
    </row>
    <row r="23" spans="1:22" ht="21" customHeight="1">
      <c r="A23" s="42">
        <v>17</v>
      </c>
      <c r="B23" s="138" t="str">
        <f>รายชื่อ!B17</f>
        <v>เด็กหญิง</v>
      </c>
      <c r="C23" s="138" t="str">
        <f>รายชื่อ!C17</f>
        <v>ชัยมากา</v>
      </c>
      <c r="D23" s="138" t="str">
        <f>รายชื่อ!D17</f>
        <v>อีเคชูกวู</v>
      </c>
      <c r="E23" s="73">
        <f>แปลผลตนเอง!E23+แปลผลครู!E23+แปลผลผู้ปกครอง!E23</f>
        <v>0</v>
      </c>
      <c r="F23" s="74" t="str">
        <f t="shared" si="0"/>
        <v>ปกติ</v>
      </c>
      <c r="G23" s="75">
        <f>แปลผลตนเอง!G23+แปลผลครู!G23+แปลผลผู้ปกครอง!G23</f>
        <v>10</v>
      </c>
      <c r="H23" s="74" t="str">
        <f t="shared" si="1"/>
        <v>ปกติ</v>
      </c>
      <c r="I23" s="75">
        <f>แปลผลตนเอง!I23+แปลผลครู!I23+แปลผลผู้ปกครอง!I23</f>
        <v>4</v>
      </c>
      <c r="J23" s="74" t="str">
        <f t="shared" si="2"/>
        <v>ปกติ</v>
      </c>
      <c r="K23" s="75">
        <f>แปลผลตนเอง!K23+แปลผลครู!K23+แปลผลผู้ปกครอง!K23</f>
        <v>4</v>
      </c>
      <c r="L23" s="74" t="str">
        <f t="shared" si="3"/>
        <v>ปกติ</v>
      </c>
      <c r="M23" s="75">
        <f t="shared" si="4"/>
        <v>18</v>
      </c>
      <c r="N23" s="76" t="str">
        <f t="shared" si="5"/>
        <v>ปกติ</v>
      </c>
      <c r="O23" s="137">
        <f>แปลผลตนเอง!O23+แปลผลครู!O23+แปลผลผู้ปกครอง!O23</f>
        <v>4</v>
      </c>
      <c r="P23" s="25" t="str">
        <f t="shared" si="6"/>
        <v>ไม่มีจุดแข็ง</v>
      </c>
      <c r="Q23" s="25" t="str">
        <f t="shared" si="7"/>
        <v>เสี่ยง</v>
      </c>
      <c r="R23" s="137">
        <f>แปลผลตนเอง!Q23+แปลผลครู!Q23+แปลผลผู้ปกครอง!Q23</f>
        <v>0</v>
      </c>
      <c r="S23" s="25" t="str">
        <f t="shared" si="8"/>
        <v>ปกติ</v>
      </c>
      <c r="T23" s="22" t="str">
        <f t="shared" si="9"/>
        <v>1</v>
      </c>
      <c r="U23" s="27">
        <f t="shared" si="10"/>
        <v>18</v>
      </c>
      <c r="V23" s="84" t="str">
        <f t="shared" si="11"/>
        <v>ปกติ</v>
      </c>
    </row>
    <row r="24" spans="1:22" ht="21" customHeight="1">
      <c r="A24" s="42">
        <v>18</v>
      </c>
      <c r="B24" s="138" t="str">
        <f>รายชื่อ!B18</f>
        <v>เด็กหญิง</v>
      </c>
      <c r="C24" s="138" t="str">
        <f>รายชื่อ!C18</f>
        <v>ภาสินี</v>
      </c>
      <c r="D24" s="138" t="str">
        <f>รายชื่อ!D18</f>
        <v>ภู่ดัด</v>
      </c>
      <c r="E24" s="73">
        <f>แปลผลตนเอง!E24+แปลผลครู!E24+แปลผลผู้ปกครอง!E24</f>
        <v>0</v>
      </c>
      <c r="F24" s="74" t="str">
        <f t="shared" si="0"/>
        <v>ปกติ</v>
      </c>
      <c r="G24" s="75">
        <f>แปลผลตนเอง!G24+แปลผลครู!G24+แปลผลผู้ปกครอง!G24</f>
        <v>6</v>
      </c>
      <c r="H24" s="74" t="str">
        <f t="shared" si="1"/>
        <v>ปกติ</v>
      </c>
      <c r="I24" s="75">
        <f>แปลผลตนเอง!I24+แปลผลครู!I24+แปลผลผู้ปกครอง!I24</f>
        <v>0</v>
      </c>
      <c r="J24" s="74" t="str">
        <f t="shared" si="2"/>
        <v>ปกติ</v>
      </c>
      <c r="K24" s="75">
        <f>แปลผลตนเอง!K24+แปลผลครู!K24+แปลผลผู้ปกครอง!K24</f>
        <v>0</v>
      </c>
      <c r="L24" s="74" t="str">
        <f t="shared" si="3"/>
        <v>ปกติ</v>
      </c>
      <c r="M24" s="75">
        <f t="shared" si="4"/>
        <v>6</v>
      </c>
      <c r="N24" s="76" t="str">
        <f t="shared" si="5"/>
        <v>ปกติ</v>
      </c>
      <c r="O24" s="137">
        <f>แปลผลตนเอง!O24+แปลผลครู!O24+แปลผลผู้ปกครอง!O24</f>
        <v>0</v>
      </c>
      <c r="P24" s="25" t="str">
        <f t="shared" si="6"/>
        <v>ไม่มีจุดแข็ง</v>
      </c>
      <c r="Q24" s="25" t="str">
        <f t="shared" si="7"/>
        <v>เสี่ยง</v>
      </c>
      <c r="R24" s="137">
        <f>แปลผลตนเอง!Q24+แปลผลครู!Q24+แปลผลผู้ปกครอง!Q24</f>
        <v>0</v>
      </c>
      <c r="S24" s="25" t="str">
        <f t="shared" si="8"/>
        <v>ปกติ</v>
      </c>
      <c r="T24" s="22" t="str">
        <f t="shared" si="9"/>
        <v>1</v>
      </c>
      <c r="U24" s="27">
        <f t="shared" si="10"/>
        <v>6</v>
      </c>
      <c r="V24" s="84" t="str">
        <f t="shared" si="11"/>
        <v>ปกติ</v>
      </c>
    </row>
    <row r="25" spans="1:22" ht="21" customHeight="1">
      <c r="A25" s="42">
        <v>19</v>
      </c>
      <c r="B25" s="138" t="str">
        <f>รายชื่อ!B19</f>
        <v>เด็กหญิง</v>
      </c>
      <c r="C25" s="138" t="str">
        <f>รายชื่อ!C19</f>
        <v>ณัฐณิชา</v>
      </c>
      <c r="D25" s="138" t="str">
        <f>รายชื่อ!D19</f>
        <v>เจริญเรือง</v>
      </c>
      <c r="E25" s="73">
        <f>แปลผลตนเอง!E25+แปลผลครู!E25+แปลผลผู้ปกครอง!E25</f>
        <v>0</v>
      </c>
      <c r="F25" s="74" t="str">
        <f t="shared" si="0"/>
        <v>ปกติ</v>
      </c>
      <c r="G25" s="75">
        <f>แปลผลตนเอง!G25+แปลผลครู!G25+แปลผลผู้ปกครอง!G25</f>
        <v>6</v>
      </c>
      <c r="H25" s="74" t="str">
        <f t="shared" si="1"/>
        <v>ปกติ</v>
      </c>
      <c r="I25" s="75">
        <f>แปลผลตนเอง!I25+แปลผลครู!I25+แปลผลผู้ปกครอง!I25</f>
        <v>6</v>
      </c>
      <c r="J25" s="74" t="str">
        <f t="shared" si="2"/>
        <v>ปกติ</v>
      </c>
      <c r="K25" s="75">
        <f>แปลผลตนเอง!K25+แปลผลครู!K25+แปลผลผู้ปกครอง!K25</f>
        <v>0</v>
      </c>
      <c r="L25" s="74" t="str">
        <f t="shared" si="3"/>
        <v>ปกติ</v>
      </c>
      <c r="M25" s="75">
        <f t="shared" si="4"/>
        <v>12</v>
      </c>
      <c r="N25" s="76" t="str">
        <f t="shared" si="5"/>
        <v>ปกติ</v>
      </c>
      <c r="O25" s="137">
        <f>แปลผลตนเอง!O25+แปลผลครู!O25+แปลผลผู้ปกครอง!O25</f>
        <v>0</v>
      </c>
      <c r="P25" s="25" t="str">
        <f t="shared" si="6"/>
        <v>ไม่มีจุดแข็ง</v>
      </c>
      <c r="Q25" s="25" t="str">
        <f t="shared" si="7"/>
        <v>เสี่ยง</v>
      </c>
      <c r="R25" s="137">
        <f>แปลผลตนเอง!Q25+แปลผลครู!Q25+แปลผลผู้ปกครอง!Q25</f>
        <v>0</v>
      </c>
      <c r="S25" s="25" t="str">
        <f t="shared" si="8"/>
        <v>ปกติ</v>
      </c>
      <c r="T25" s="22" t="str">
        <f t="shared" si="9"/>
        <v>1</v>
      </c>
      <c r="U25" s="27">
        <f t="shared" si="10"/>
        <v>12</v>
      </c>
      <c r="V25" s="84" t="str">
        <f t="shared" si="11"/>
        <v>ปกติ</v>
      </c>
    </row>
    <row r="26" spans="1:22" ht="21" customHeight="1">
      <c r="A26" s="42">
        <v>20</v>
      </c>
      <c r="B26" s="138" t="str">
        <f>รายชื่อ!B20</f>
        <v>เด็กหญิง</v>
      </c>
      <c r="C26" s="138" t="str">
        <f>รายชื่อ!C20</f>
        <v>ธนัญภรณ์</v>
      </c>
      <c r="D26" s="138" t="str">
        <f>รายชื่อ!D20</f>
        <v>คำปลิว</v>
      </c>
      <c r="E26" s="73">
        <f>แปลผลตนเอง!E26+แปลผลครู!E26+แปลผลผู้ปกครอง!E26</f>
        <v>0</v>
      </c>
      <c r="F26" s="74" t="str">
        <f t="shared" si="0"/>
        <v>ปกติ</v>
      </c>
      <c r="G26" s="75">
        <f>แปลผลตนเอง!G26+แปลผลครู!G26+แปลผลผู้ปกครอง!G26</f>
        <v>0</v>
      </c>
      <c r="H26" s="74" t="str">
        <f t="shared" si="1"/>
        <v>ปกติ</v>
      </c>
      <c r="I26" s="75">
        <f>แปลผลตนเอง!I26+แปลผลครู!I26+แปลผลผู้ปกครอง!I26</f>
        <v>2</v>
      </c>
      <c r="J26" s="74" t="str">
        <f t="shared" si="2"/>
        <v>ปกติ</v>
      </c>
      <c r="K26" s="75">
        <f>แปลผลตนเอง!K26+แปลผลครู!K26+แปลผลผู้ปกครอง!K26</f>
        <v>0</v>
      </c>
      <c r="L26" s="74" t="str">
        <f t="shared" si="3"/>
        <v>ปกติ</v>
      </c>
      <c r="M26" s="75">
        <f t="shared" si="4"/>
        <v>2</v>
      </c>
      <c r="N26" s="76" t="str">
        <f t="shared" si="5"/>
        <v>ปกติ</v>
      </c>
      <c r="O26" s="137">
        <f>แปลผลตนเอง!O26+แปลผลครู!O26+แปลผลผู้ปกครอง!O26</f>
        <v>2</v>
      </c>
      <c r="P26" s="25" t="str">
        <f t="shared" si="6"/>
        <v>ไม่มีจุดแข็ง</v>
      </c>
      <c r="Q26" s="25" t="str">
        <f t="shared" si="7"/>
        <v>เสี่ยง</v>
      </c>
      <c r="R26" s="137">
        <f>แปลผลตนเอง!Q26+แปลผลครู!Q26+แปลผลผู้ปกครอง!Q26</f>
        <v>0</v>
      </c>
      <c r="S26" s="25" t="str">
        <f t="shared" si="8"/>
        <v>ปกติ</v>
      </c>
      <c r="T26" s="22" t="str">
        <f t="shared" si="9"/>
        <v>1</v>
      </c>
      <c r="U26" s="27">
        <f t="shared" si="10"/>
        <v>2</v>
      </c>
      <c r="V26" s="84" t="str">
        <f t="shared" si="11"/>
        <v>ปกติ</v>
      </c>
    </row>
    <row r="27" spans="1:22" ht="21" customHeight="1">
      <c r="A27" s="42">
        <v>21</v>
      </c>
      <c r="B27" s="138" t="str">
        <f>รายชื่อ!B21</f>
        <v>เด็กหญิง</v>
      </c>
      <c r="C27" s="138" t="str">
        <f>รายชื่อ!C21</f>
        <v>กัญญารัตน์</v>
      </c>
      <c r="D27" s="138" t="str">
        <f>รายชื่อ!D21</f>
        <v>ผาเจริญ</v>
      </c>
      <c r="E27" s="73">
        <f>แปลผลตนเอง!E27+แปลผลครู!E27+แปลผลผู้ปกครอง!E27</f>
        <v>0</v>
      </c>
      <c r="F27" s="74" t="str">
        <f t="shared" si="0"/>
        <v>ปกติ</v>
      </c>
      <c r="G27" s="75">
        <f>แปลผลตนเอง!G27+แปลผลครู!G27+แปลผลผู้ปกครอง!G27</f>
        <v>6</v>
      </c>
      <c r="H27" s="74" t="str">
        <f t="shared" si="1"/>
        <v>ปกติ</v>
      </c>
      <c r="I27" s="75">
        <f>แปลผลตนเอง!I27+แปลผลครู!I27+แปลผลผู้ปกครอง!I27</f>
        <v>6</v>
      </c>
      <c r="J27" s="74" t="str">
        <f t="shared" si="2"/>
        <v>ปกติ</v>
      </c>
      <c r="K27" s="75">
        <f>แปลผลตนเอง!K27+แปลผลครู!K27+แปลผลผู้ปกครอง!K27</f>
        <v>0</v>
      </c>
      <c r="L27" s="74" t="str">
        <f t="shared" si="3"/>
        <v>ปกติ</v>
      </c>
      <c r="M27" s="75">
        <f t="shared" si="4"/>
        <v>12</v>
      </c>
      <c r="N27" s="76" t="str">
        <f t="shared" si="5"/>
        <v>ปกติ</v>
      </c>
      <c r="O27" s="137">
        <f>แปลผลตนเอง!O27+แปลผลครู!O27+แปลผลผู้ปกครอง!O27</f>
        <v>0</v>
      </c>
      <c r="P27" s="25" t="str">
        <f t="shared" si="6"/>
        <v>ไม่มีจุดแข็ง</v>
      </c>
      <c r="Q27" s="25" t="str">
        <f t="shared" si="7"/>
        <v>เสี่ยง</v>
      </c>
      <c r="R27" s="137">
        <f>แปลผลตนเอง!Q27+แปลผลครู!Q27+แปลผลผู้ปกครอง!Q27</f>
        <v>0</v>
      </c>
      <c r="S27" s="25" t="str">
        <f t="shared" si="8"/>
        <v>ปกติ</v>
      </c>
      <c r="T27" s="22" t="str">
        <f t="shared" si="9"/>
        <v>1</v>
      </c>
      <c r="U27" s="27">
        <f t="shared" si="10"/>
        <v>12</v>
      </c>
      <c r="V27" s="84" t="str">
        <f t="shared" si="11"/>
        <v>ปกติ</v>
      </c>
    </row>
    <row r="28" spans="1:22" ht="21" customHeight="1">
      <c r="A28" s="42">
        <v>22</v>
      </c>
      <c r="B28" s="138" t="str">
        <f>รายชื่อ!B22</f>
        <v>เด็กหญิง</v>
      </c>
      <c r="C28" s="138" t="str">
        <f>รายชื่อ!C22</f>
        <v>ณหทัย</v>
      </c>
      <c r="D28" s="138" t="str">
        <f>รายชื่อ!D22</f>
        <v>แดงกองโค</v>
      </c>
      <c r="E28" s="73">
        <f>แปลผลตนเอง!E28+แปลผลครู!E28+แปลผลผู้ปกครอง!E28</f>
        <v>0</v>
      </c>
      <c r="F28" s="74" t="str">
        <f t="shared" si="0"/>
        <v>ปกติ</v>
      </c>
      <c r="G28" s="75">
        <f>แปลผลตนเอง!G28+แปลผลครู!G28+แปลผลผู้ปกครอง!G28</f>
        <v>8</v>
      </c>
      <c r="H28" s="74" t="str">
        <f t="shared" si="1"/>
        <v>ปกติ</v>
      </c>
      <c r="I28" s="75">
        <f>แปลผลตนเอง!I28+แปลผลครู!I28+แปลผลผู้ปกครอง!I28</f>
        <v>6</v>
      </c>
      <c r="J28" s="74" t="str">
        <f t="shared" si="2"/>
        <v>ปกติ</v>
      </c>
      <c r="K28" s="75">
        <f>แปลผลตนเอง!K28+แปลผลครู!K28+แปลผลผู้ปกครอง!K28</f>
        <v>0</v>
      </c>
      <c r="L28" s="74" t="str">
        <f t="shared" si="3"/>
        <v>ปกติ</v>
      </c>
      <c r="M28" s="75">
        <f t="shared" si="4"/>
        <v>14</v>
      </c>
      <c r="N28" s="76" t="str">
        <f t="shared" si="5"/>
        <v>ปกติ</v>
      </c>
      <c r="O28" s="137">
        <f>แปลผลตนเอง!O28+แปลผลครู!O28+แปลผลผู้ปกครอง!O28</f>
        <v>0</v>
      </c>
      <c r="P28" s="25" t="str">
        <f t="shared" si="6"/>
        <v>ไม่มีจุดแข็ง</v>
      </c>
      <c r="Q28" s="25" t="str">
        <f t="shared" si="7"/>
        <v>เสี่ยง</v>
      </c>
      <c r="R28" s="137">
        <f>แปลผลตนเอง!Q28+แปลผลครู!Q28+แปลผลผู้ปกครอง!Q28</f>
        <v>0</v>
      </c>
      <c r="S28" s="25" t="str">
        <f t="shared" si="8"/>
        <v>ปกติ</v>
      </c>
      <c r="T28" s="22" t="str">
        <f t="shared" si="9"/>
        <v>1</v>
      </c>
      <c r="U28" s="27">
        <f t="shared" si="10"/>
        <v>14</v>
      </c>
      <c r="V28" s="84" t="str">
        <f t="shared" si="11"/>
        <v>ปกติ</v>
      </c>
    </row>
    <row r="29" spans="1:22" ht="21" customHeight="1">
      <c r="A29" s="42">
        <v>23</v>
      </c>
      <c r="B29" s="138" t="str">
        <f>รายชื่อ!B23</f>
        <v>เด็กหญิง</v>
      </c>
      <c r="C29" s="138" t="str">
        <f>รายชื่อ!C23</f>
        <v>อภิษฐา</v>
      </c>
      <c r="D29" s="138" t="str">
        <f>รายชื่อ!D23</f>
        <v>ชูชื่น</v>
      </c>
      <c r="E29" s="73">
        <f>แปลผลตนเอง!E29+แปลผลครู!E29+แปลผลผู้ปกครอง!E29</f>
        <v>0</v>
      </c>
      <c r="F29" s="74" t="str">
        <f t="shared" si="0"/>
        <v>ปกติ</v>
      </c>
      <c r="G29" s="75">
        <f>แปลผลตนเอง!G29+แปลผลครู!G29+แปลผลผู้ปกครอง!G29</f>
        <v>6</v>
      </c>
      <c r="H29" s="74" t="str">
        <f t="shared" si="1"/>
        <v>ปกติ</v>
      </c>
      <c r="I29" s="75">
        <f>แปลผลตนเอง!I29+แปลผลครู!I29+แปลผลผู้ปกครอง!I29</f>
        <v>6</v>
      </c>
      <c r="J29" s="74" t="str">
        <f t="shared" si="2"/>
        <v>ปกติ</v>
      </c>
      <c r="K29" s="75">
        <f>แปลผลตนเอง!K29+แปลผลครู!K29+แปลผลผู้ปกครอง!K29</f>
        <v>0</v>
      </c>
      <c r="L29" s="74" t="str">
        <f t="shared" si="3"/>
        <v>ปกติ</v>
      </c>
      <c r="M29" s="75">
        <f t="shared" si="4"/>
        <v>12</v>
      </c>
      <c r="N29" s="76" t="str">
        <f t="shared" si="5"/>
        <v>ปกติ</v>
      </c>
      <c r="O29" s="137">
        <f>แปลผลตนเอง!O29+แปลผลครู!O29+แปลผลผู้ปกครอง!O29</f>
        <v>0</v>
      </c>
      <c r="P29" s="25" t="str">
        <f t="shared" si="6"/>
        <v>ไม่มีจุดแข็ง</v>
      </c>
      <c r="Q29" s="25" t="str">
        <f t="shared" si="7"/>
        <v>เสี่ยง</v>
      </c>
      <c r="R29" s="137">
        <f>แปลผลตนเอง!Q29+แปลผลครู!Q29+แปลผลผู้ปกครอง!Q29</f>
        <v>0</v>
      </c>
      <c r="S29" s="25" t="str">
        <f t="shared" si="8"/>
        <v>ปกติ</v>
      </c>
      <c r="T29" s="22" t="str">
        <f t="shared" si="9"/>
        <v>1</v>
      </c>
      <c r="U29" s="27">
        <f t="shared" si="10"/>
        <v>12</v>
      </c>
      <c r="V29" s="84" t="str">
        <f t="shared" si="11"/>
        <v>ปกติ</v>
      </c>
    </row>
    <row r="30" spans="1:22" ht="21" customHeight="1">
      <c r="A30" s="42">
        <v>24</v>
      </c>
      <c r="B30" s="138" t="str">
        <f>รายชื่อ!B24</f>
        <v>เด็กหญิง</v>
      </c>
      <c r="C30" s="138" t="str">
        <f>รายชื่อ!C24</f>
        <v>อภิษฎา</v>
      </c>
      <c r="D30" s="138" t="str">
        <f>รายชื่อ!D24</f>
        <v>โม่งเมือง</v>
      </c>
      <c r="E30" s="73">
        <f>แปลผลตนเอง!E30+แปลผลครู!E30+แปลผลผู้ปกครอง!E30</f>
        <v>0</v>
      </c>
      <c r="F30" s="74" t="str">
        <f t="shared" si="0"/>
        <v>ปกติ</v>
      </c>
      <c r="G30" s="75">
        <f>แปลผลตนเอง!G30+แปลผลครู!G30+แปลผลผู้ปกครอง!G30</f>
        <v>6</v>
      </c>
      <c r="H30" s="74" t="str">
        <f t="shared" si="1"/>
        <v>ปกติ</v>
      </c>
      <c r="I30" s="75">
        <f>แปลผลตนเอง!I30+แปลผลครู!I30+แปลผลผู้ปกครอง!I30</f>
        <v>4</v>
      </c>
      <c r="J30" s="74" t="str">
        <f t="shared" si="2"/>
        <v>ปกติ</v>
      </c>
      <c r="K30" s="75">
        <f>แปลผลตนเอง!K30+แปลผลครู!K30+แปลผลผู้ปกครอง!K30</f>
        <v>2</v>
      </c>
      <c r="L30" s="74" t="str">
        <f t="shared" si="3"/>
        <v>ปกติ</v>
      </c>
      <c r="M30" s="75">
        <f t="shared" si="4"/>
        <v>12</v>
      </c>
      <c r="N30" s="76" t="str">
        <f t="shared" si="5"/>
        <v>ปกติ</v>
      </c>
      <c r="O30" s="137">
        <f>แปลผลตนเอง!O30+แปลผลครู!O30+แปลผลผู้ปกครอง!O30</f>
        <v>0</v>
      </c>
      <c r="P30" s="25" t="str">
        <f t="shared" si="6"/>
        <v>ไม่มีจุดแข็ง</v>
      </c>
      <c r="Q30" s="25" t="str">
        <f t="shared" si="7"/>
        <v>เสี่ยง</v>
      </c>
      <c r="R30" s="137">
        <f>แปลผลตนเอง!Q30+แปลผลครู!Q30+แปลผลผู้ปกครอง!Q30</f>
        <v>0</v>
      </c>
      <c r="S30" s="25" t="str">
        <f t="shared" si="8"/>
        <v>ปกติ</v>
      </c>
      <c r="T30" s="22" t="str">
        <f t="shared" si="9"/>
        <v>1</v>
      </c>
      <c r="U30" s="27">
        <f t="shared" si="10"/>
        <v>12</v>
      </c>
      <c r="V30" s="84" t="str">
        <f t="shared" si="11"/>
        <v>ปกติ</v>
      </c>
    </row>
    <row r="31" spans="1:22" ht="21" customHeight="1">
      <c r="A31" s="42">
        <v>25</v>
      </c>
      <c r="B31" s="138" t="str">
        <f>รายชื่อ!B25</f>
        <v>เด็กหญิง</v>
      </c>
      <c r="C31" s="138" t="str">
        <f>รายชื่อ!C25</f>
        <v>ณิชาพร</v>
      </c>
      <c r="D31" s="138" t="str">
        <f>รายชื่อ!D25</f>
        <v>โตเย็น</v>
      </c>
      <c r="E31" s="73">
        <f>แปลผลตนเอง!E31+แปลผลครู!E31+แปลผลผู้ปกครอง!E31</f>
        <v>0</v>
      </c>
      <c r="F31" s="74" t="str">
        <f t="shared" si="0"/>
        <v>ปกติ</v>
      </c>
      <c r="G31" s="75">
        <f>แปลผลตนเอง!G31+แปลผลครู!G31+แปลผลผู้ปกครอง!G31</f>
        <v>6</v>
      </c>
      <c r="H31" s="74" t="str">
        <f t="shared" si="1"/>
        <v>ปกติ</v>
      </c>
      <c r="I31" s="75">
        <f>แปลผลตนเอง!I31+แปลผลครู!I31+แปลผลผู้ปกครอง!I31</f>
        <v>6</v>
      </c>
      <c r="J31" s="74" t="str">
        <f t="shared" si="2"/>
        <v>ปกติ</v>
      </c>
      <c r="K31" s="75">
        <f>แปลผลตนเอง!K31+แปลผลครู!K31+แปลผลผู้ปกครอง!K31</f>
        <v>0</v>
      </c>
      <c r="L31" s="74" t="str">
        <f t="shared" si="3"/>
        <v>ปกติ</v>
      </c>
      <c r="M31" s="75">
        <f t="shared" si="4"/>
        <v>12</v>
      </c>
      <c r="N31" s="76" t="str">
        <f t="shared" si="5"/>
        <v>ปกติ</v>
      </c>
      <c r="O31" s="137">
        <f>แปลผลตนเอง!O31+แปลผลครู!O31+แปลผลผู้ปกครอง!O31</f>
        <v>0</v>
      </c>
      <c r="P31" s="25" t="str">
        <f t="shared" si="6"/>
        <v>ไม่มีจุดแข็ง</v>
      </c>
      <c r="Q31" s="25" t="str">
        <f t="shared" si="7"/>
        <v>เสี่ยง</v>
      </c>
      <c r="R31" s="137">
        <f>แปลผลตนเอง!Q31+แปลผลครู!Q31+แปลผลผู้ปกครอง!Q31</f>
        <v>0</v>
      </c>
      <c r="S31" s="25" t="str">
        <f t="shared" si="8"/>
        <v>ปกติ</v>
      </c>
      <c r="T31" s="22" t="str">
        <f t="shared" si="9"/>
        <v>1</v>
      </c>
      <c r="U31" s="27">
        <f t="shared" si="10"/>
        <v>12</v>
      </c>
      <c r="V31" s="84" t="str">
        <f t="shared" si="11"/>
        <v>ปกติ</v>
      </c>
    </row>
    <row r="32" spans="1:22" ht="21" customHeight="1">
      <c r="A32" s="42">
        <v>26</v>
      </c>
      <c r="B32" s="138" t="str">
        <f>รายชื่อ!B26</f>
        <v>เด็กหญิง</v>
      </c>
      <c r="C32" s="138" t="str">
        <f>รายชื่อ!C26</f>
        <v>วาทการณ์</v>
      </c>
      <c r="D32" s="138" t="str">
        <f>รายชื่อ!D26</f>
        <v>อินดวง</v>
      </c>
      <c r="E32" s="73">
        <f>แปลผลตนเอง!E32+แปลผลครู!E32+แปลผลผู้ปกครอง!E32</f>
        <v>0</v>
      </c>
      <c r="F32" s="74" t="str">
        <f t="shared" si="0"/>
        <v>ปกติ</v>
      </c>
      <c r="G32" s="75">
        <f>แปลผลตนเอง!G32+แปลผลครู!G32+แปลผลผู้ปกครอง!G32</f>
        <v>6</v>
      </c>
      <c r="H32" s="74" t="str">
        <f t="shared" si="1"/>
        <v>ปกติ</v>
      </c>
      <c r="I32" s="75">
        <f>แปลผลตนเอง!I32+แปลผลครู!I32+แปลผลผู้ปกครอง!I32</f>
        <v>4</v>
      </c>
      <c r="J32" s="74" t="str">
        <f t="shared" si="2"/>
        <v>ปกติ</v>
      </c>
      <c r="K32" s="75">
        <f>แปลผลตนเอง!K32+แปลผลครู!K32+แปลผลผู้ปกครอง!K32</f>
        <v>0</v>
      </c>
      <c r="L32" s="74" t="str">
        <f t="shared" si="3"/>
        <v>ปกติ</v>
      </c>
      <c r="M32" s="75">
        <f t="shared" si="4"/>
        <v>10</v>
      </c>
      <c r="N32" s="76" t="str">
        <f t="shared" si="5"/>
        <v>ปกติ</v>
      </c>
      <c r="O32" s="137">
        <f>แปลผลตนเอง!O32+แปลผลครู!O32+แปลผลผู้ปกครอง!O32</f>
        <v>0</v>
      </c>
      <c r="P32" s="25" t="str">
        <f t="shared" si="6"/>
        <v>ไม่มีจุดแข็ง</v>
      </c>
      <c r="Q32" s="25" t="str">
        <f t="shared" si="7"/>
        <v>เสี่ยง</v>
      </c>
      <c r="R32" s="137">
        <f>แปลผลตนเอง!Q32+แปลผลครู!Q32+แปลผลผู้ปกครอง!Q32</f>
        <v>0</v>
      </c>
      <c r="S32" s="25" t="str">
        <f t="shared" si="8"/>
        <v>ปกติ</v>
      </c>
      <c r="T32" s="22" t="str">
        <f t="shared" si="9"/>
        <v>1</v>
      </c>
      <c r="U32" s="27">
        <f t="shared" si="10"/>
        <v>10</v>
      </c>
      <c r="V32" s="84" t="str">
        <f t="shared" si="11"/>
        <v>ปกติ</v>
      </c>
    </row>
    <row r="33" spans="1:22" ht="21" customHeight="1">
      <c r="A33" s="42">
        <v>27</v>
      </c>
      <c r="B33" s="138" t="str">
        <f>รายชื่อ!B27</f>
        <v>เด็กหญิง</v>
      </c>
      <c r="C33" s="138" t="str">
        <f>รายชื่อ!C27</f>
        <v>ยิ่งลักษณ์</v>
      </c>
      <c r="D33" s="138" t="str">
        <f>รายชื่อ!D27</f>
        <v>ลักษณพิสุทธิ์</v>
      </c>
      <c r="E33" s="73">
        <f>แปลผลตนเอง!E33+แปลผลครู!E33+แปลผลผู้ปกครอง!E33</f>
        <v>0</v>
      </c>
      <c r="F33" s="74" t="str">
        <f t="shared" si="0"/>
        <v>ปกติ</v>
      </c>
      <c r="G33" s="75">
        <f>แปลผลตนเอง!G33+แปลผลครู!G33+แปลผลผู้ปกครอง!G33</f>
        <v>4</v>
      </c>
      <c r="H33" s="74" t="str">
        <f t="shared" si="1"/>
        <v>ปกติ</v>
      </c>
      <c r="I33" s="75">
        <f>แปลผลตนเอง!I33+แปลผลครู!I33+แปลผลผู้ปกครอง!I33</f>
        <v>4</v>
      </c>
      <c r="J33" s="74" t="str">
        <f t="shared" si="2"/>
        <v>ปกติ</v>
      </c>
      <c r="K33" s="75">
        <f>แปลผลตนเอง!K33+แปลผลครู!K33+แปลผลผู้ปกครอง!K33</f>
        <v>0</v>
      </c>
      <c r="L33" s="74" t="str">
        <f t="shared" si="3"/>
        <v>ปกติ</v>
      </c>
      <c r="M33" s="75">
        <f t="shared" si="4"/>
        <v>8</v>
      </c>
      <c r="N33" s="76" t="str">
        <f t="shared" si="5"/>
        <v>ปกติ</v>
      </c>
      <c r="O33" s="137">
        <f>แปลผลตนเอง!O33+แปลผลครู!O33+แปลผลผู้ปกครอง!O33</f>
        <v>0</v>
      </c>
      <c r="P33" s="25" t="str">
        <f t="shared" si="6"/>
        <v>ไม่มีจุดแข็ง</v>
      </c>
      <c r="Q33" s="25" t="str">
        <f t="shared" si="7"/>
        <v>เสี่ยง</v>
      </c>
      <c r="R33" s="137">
        <f>แปลผลตนเอง!Q33+แปลผลครู!Q33+แปลผลผู้ปกครอง!Q33</f>
        <v>0</v>
      </c>
      <c r="S33" s="25" t="str">
        <f t="shared" si="8"/>
        <v>ปกติ</v>
      </c>
      <c r="T33" s="22" t="str">
        <f t="shared" si="9"/>
        <v>1</v>
      </c>
      <c r="U33" s="27">
        <f t="shared" si="10"/>
        <v>8</v>
      </c>
      <c r="V33" s="84" t="str">
        <f t="shared" si="11"/>
        <v>ปกติ</v>
      </c>
    </row>
    <row r="34" spans="1:22" ht="21" customHeight="1">
      <c r="A34" s="42">
        <v>28</v>
      </c>
      <c r="B34" s="138">
        <f>รายชื่อ!B28</f>
        <v>0</v>
      </c>
      <c r="C34" s="138">
        <f>รายชื่อ!C28</f>
        <v>0</v>
      </c>
      <c r="D34" s="138">
        <f>รายชื่อ!D28</f>
        <v>0</v>
      </c>
      <c r="E34" s="73">
        <f>แปลผลตนเอง!E34+แปลผลครู!E34+แปลผลผู้ปกครอง!E34</f>
        <v>0</v>
      </c>
      <c r="F34" s="74" t="str">
        <f t="shared" si="0"/>
        <v>ปกติ</v>
      </c>
      <c r="G34" s="75">
        <f>แปลผลตนเอง!G34+แปลผลครู!G34+แปลผลผู้ปกครอง!G34</f>
        <v>0</v>
      </c>
      <c r="H34" s="74" t="str">
        <f t="shared" si="1"/>
        <v>ปกติ</v>
      </c>
      <c r="I34" s="75">
        <f>แปลผลตนเอง!I34+แปลผลครู!I34+แปลผลผู้ปกครอง!I34</f>
        <v>0</v>
      </c>
      <c r="J34" s="74" t="str">
        <f t="shared" si="2"/>
        <v>ปกติ</v>
      </c>
      <c r="K34" s="75">
        <f>แปลผลตนเอง!K34+แปลผลครู!K34+แปลผลผู้ปกครอง!K34</f>
        <v>0</v>
      </c>
      <c r="L34" s="74" t="str">
        <f t="shared" si="3"/>
        <v>ปกติ</v>
      </c>
      <c r="M34" s="75">
        <f t="shared" si="4"/>
        <v>0</v>
      </c>
      <c r="N34" s="76" t="str">
        <f t="shared" si="5"/>
        <v>ปกติ</v>
      </c>
      <c r="O34" s="137">
        <f>แปลผลตนเอง!O34+แปลผลครู!O34+แปลผลผู้ปกครอง!O34</f>
        <v>0</v>
      </c>
      <c r="P34" s="25" t="str">
        <f t="shared" si="6"/>
        <v>ไม่มีจุดแข็ง</v>
      </c>
      <c r="Q34" s="25" t="str">
        <f t="shared" si="7"/>
        <v>เสี่ยง</v>
      </c>
      <c r="R34" s="137">
        <f>แปลผลตนเอง!Q34+แปลผลครู!Q34+แปลผลผู้ปกครอง!Q34</f>
        <v>0</v>
      </c>
      <c r="S34" s="25" t="str">
        <f t="shared" si="8"/>
        <v>ปกติ</v>
      </c>
      <c r="T34" s="22" t="str">
        <f t="shared" si="9"/>
        <v>1</v>
      </c>
      <c r="U34" s="27">
        <f t="shared" si="10"/>
        <v>0</v>
      </c>
      <c r="V34" s="84" t="str">
        <f t="shared" si="11"/>
        <v>ปกติ</v>
      </c>
    </row>
    <row r="35" spans="1:22" ht="21" customHeight="1">
      <c r="A35" s="42">
        <v>29</v>
      </c>
      <c r="B35" s="138">
        <f>รายชื่อ!B29</f>
        <v>0</v>
      </c>
      <c r="C35" s="138">
        <f>รายชื่อ!C29</f>
        <v>0</v>
      </c>
      <c r="D35" s="138">
        <f>รายชื่อ!D29</f>
        <v>0</v>
      </c>
      <c r="E35" s="73">
        <f>แปลผลตนเอง!E35+แปลผลครู!E35+แปลผลผู้ปกครอง!E35</f>
        <v>0</v>
      </c>
      <c r="F35" s="74" t="str">
        <f t="shared" si="0"/>
        <v>ปกติ</v>
      </c>
      <c r="G35" s="75">
        <f>แปลผลตนเอง!G35+แปลผลครู!G35+แปลผลผู้ปกครอง!G35</f>
        <v>0</v>
      </c>
      <c r="H35" s="74" t="str">
        <f t="shared" si="1"/>
        <v>ปกติ</v>
      </c>
      <c r="I35" s="75">
        <f>แปลผลตนเอง!I35+แปลผลครู!I35+แปลผลผู้ปกครอง!I35</f>
        <v>0</v>
      </c>
      <c r="J35" s="74" t="str">
        <f t="shared" si="2"/>
        <v>ปกติ</v>
      </c>
      <c r="K35" s="75">
        <f>แปลผลตนเอง!K35+แปลผลครู!K35+แปลผลผู้ปกครอง!K35</f>
        <v>0</v>
      </c>
      <c r="L35" s="74" t="str">
        <f t="shared" si="3"/>
        <v>ปกติ</v>
      </c>
      <c r="M35" s="75">
        <f t="shared" si="4"/>
        <v>0</v>
      </c>
      <c r="N35" s="76" t="str">
        <f t="shared" si="5"/>
        <v>ปกติ</v>
      </c>
      <c r="O35" s="137">
        <f>แปลผลตนเอง!O35+แปลผลครู!O35+แปลผลผู้ปกครอง!O35</f>
        <v>0</v>
      </c>
      <c r="P35" s="25" t="str">
        <f t="shared" si="6"/>
        <v>ไม่มีจุดแข็ง</v>
      </c>
      <c r="Q35" s="25" t="str">
        <f t="shared" si="7"/>
        <v>เสี่ยง</v>
      </c>
      <c r="R35" s="137">
        <f>แปลผลตนเอง!Q35+แปลผลครู!Q35+แปลผลผู้ปกครอง!Q35</f>
        <v>0</v>
      </c>
      <c r="S35" s="25" t="str">
        <f t="shared" si="8"/>
        <v>ปกติ</v>
      </c>
      <c r="T35" s="22" t="str">
        <f t="shared" si="9"/>
        <v>1</v>
      </c>
      <c r="U35" s="27">
        <f t="shared" si="10"/>
        <v>0</v>
      </c>
      <c r="V35" s="84" t="str">
        <f t="shared" si="11"/>
        <v>ปกติ</v>
      </c>
    </row>
    <row r="36" spans="1:22" ht="21" customHeight="1">
      <c r="A36" s="42">
        <v>30</v>
      </c>
      <c r="B36" s="138">
        <f>รายชื่อ!B30</f>
        <v>0</v>
      </c>
      <c r="C36" s="138">
        <f>รายชื่อ!C30</f>
        <v>0</v>
      </c>
      <c r="D36" s="138">
        <f>รายชื่อ!D30</f>
        <v>0</v>
      </c>
      <c r="E36" s="73">
        <f>แปลผลตนเอง!E36+แปลผลครู!E36+แปลผลผู้ปกครอง!E36</f>
        <v>0</v>
      </c>
      <c r="F36" s="74" t="str">
        <f t="shared" si="0"/>
        <v>ปกติ</v>
      </c>
      <c r="G36" s="75">
        <f>แปลผลตนเอง!G36+แปลผลครู!G36+แปลผลผู้ปกครอง!G36</f>
        <v>0</v>
      </c>
      <c r="H36" s="74" t="str">
        <f t="shared" si="1"/>
        <v>ปกติ</v>
      </c>
      <c r="I36" s="75">
        <f>แปลผลตนเอง!I36+แปลผลครู!I36+แปลผลผู้ปกครอง!I36</f>
        <v>0</v>
      </c>
      <c r="J36" s="74" t="str">
        <f t="shared" si="2"/>
        <v>ปกติ</v>
      </c>
      <c r="K36" s="75">
        <f>แปลผลตนเอง!K36+แปลผลครู!K36+แปลผลผู้ปกครอง!K36</f>
        <v>0</v>
      </c>
      <c r="L36" s="74" t="str">
        <f t="shared" si="3"/>
        <v>ปกติ</v>
      </c>
      <c r="M36" s="75">
        <f t="shared" si="4"/>
        <v>0</v>
      </c>
      <c r="N36" s="76" t="str">
        <f t="shared" si="5"/>
        <v>ปกติ</v>
      </c>
      <c r="O36" s="137">
        <f>แปลผลตนเอง!O36+แปลผลครู!O36+แปลผลผู้ปกครอง!O36</f>
        <v>0</v>
      </c>
      <c r="P36" s="25" t="str">
        <f t="shared" si="6"/>
        <v>ไม่มีจุดแข็ง</v>
      </c>
      <c r="Q36" s="25" t="str">
        <f t="shared" si="7"/>
        <v>เสี่ยง</v>
      </c>
      <c r="R36" s="137">
        <f>แปลผลตนเอง!Q36+แปลผลครู!Q36+แปลผลผู้ปกครอง!Q36</f>
        <v>0</v>
      </c>
      <c r="S36" s="25" t="str">
        <f t="shared" si="8"/>
        <v>ปกติ</v>
      </c>
      <c r="T36" s="22" t="str">
        <f t="shared" si="9"/>
        <v>1</v>
      </c>
      <c r="U36" s="27">
        <f t="shared" si="10"/>
        <v>0</v>
      </c>
      <c r="V36" s="84" t="str">
        <f t="shared" si="11"/>
        <v>ปกติ</v>
      </c>
    </row>
    <row r="37" spans="1:22" ht="21" customHeight="1">
      <c r="A37" s="42">
        <v>31</v>
      </c>
      <c r="B37" s="138">
        <f>รายชื่อ!B31</f>
        <v>0</v>
      </c>
      <c r="C37" s="138">
        <f>รายชื่อ!C31</f>
        <v>0</v>
      </c>
      <c r="D37" s="138">
        <f>รายชื่อ!D31</f>
        <v>0</v>
      </c>
      <c r="E37" s="73">
        <f>แปลผลตนเอง!E37+แปลผลครู!E37+แปลผลผู้ปกครอง!E37</f>
        <v>0</v>
      </c>
      <c r="F37" s="74" t="str">
        <f t="shared" si="0"/>
        <v>ปกติ</v>
      </c>
      <c r="G37" s="75">
        <f>แปลผลตนเอง!G37+แปลผลครู!G37+แปลผลผู้ปกครอง!G37</f>
        <v>0</v>
      </c>
      <c r="H37" s="74" t="str">
        <f t="shared" si="1"/>
        <v>ปกติ</v>
      </c>
      <c r="I37" s="75">
        <f>แปลผลตนเอง!I37+แปลผลครู!I37+แปลผลผู้ปกครอง!I37</f>
        <v>0</v>
      </c>
      <c r="J37" s="74" t="str">
        <f t="shared" si="2"/>
        <v>ปกติ</v>
      </c>
      <c r="K37" s="75">
        <f>แปลผลตนเอง!K37+แปลผลครู!K37+แปลผลผู้ปกครอง!K37</f>
        <v>0</v>
      </c>
      <c r="L37" s="74" t="str">
        <f t="shared" si="3"/>
        <v>ปกติ</v>
      </c>
      <c r="M37" s="75">
        <f t="shared" si="4"/>
        <v>0</v>
      </c>
      <c r="N37" s="76" t="str">
        <f t="shared" si="5"/>
        <v>ปกติ</v>
      </c>
      <c r="O37" s="137">
        <f>แปลผลตนเอง!O37+แปลผลครู!O37+แปลผลผู้ปกครอง!O37</f>
        <v>0</v>
      </c>
      <c r="P37" s="25" t="str">
        <f t="shared" si="6"/>
        <v>ไม่มีจุดแข็ง</v>
      </c>
      <c r="Q37" s="25" t="str">
        <f t="shared" si="7"/>
        <v>เสี่ยง</v>
      </c>
      <c r="R37" s="137">
        <f>แปลผลตนเอง!Q37+แปลผลครู!Q37+แปลผลผู้ปกครอง!Q37</f>
        <v>0</v>
      </c>
      <c r="S37" s="25" t="str">
        <f t="shared" si="8"/>
        <v>ปกติ</v>
      </c>
      <c r="T37" s="22" t="str">
        <f t="shared" si="9"/>
        <v>1</v>
      </c>
      <c r="U37" s="27">
        <f t="shared" si="10"/>
        <v>0</v>
      </c>
      <c r="V37" s="84" t="str">
        <f t="shared" si="11"/>
        <v>ปกติ</v>
      </c>
    </row>
    <row r="38" spans="1:22" ht="21" customHeight="1">
      <c r="A38" s="42">
        <v>32</v>
      </c>
      <c r="B38" s="138">
        <f>รายชื่อ!B32</f>
        <v>0</v>
      </c>
      <c r="C38" s="138">
        <f>รายชื่อ!C32</f>
        <v>0</v>
      </c>
      <c r="D38" s="138">
        <f>รายชื่อ!D32</f>
        <v>0</v>
      </c>
      <c r="E38" s="73">
        <f>แปลผลตนเอง!E38+แปลผลครู!E38+แปลผลผู้ปกครอง!E38</f>
        <v>0</v>
      </c>
      <c r="F38" s="77" t="str">
        <f t="shared" si="0"/>
        <v>ปกติ</v>
      </c>
      <c r="G38" s="75">
        <f>แปลผลตนเอง!G38+แปลผลครู!G38+แปลผลผู้ปกครอง!G38</f>
        <v>0</v>
      </c>
      <c r="H38" s="77" t="str">
        <f t="shared" si="1"/>
        <v>ปกติ</v>
      </c>
      <c r="I38" s="75">
        <f>แปลผลตนเอง!I38+แปลผลครู!I38+แปลผลผู้ปกครอง!I38</f>
        <v>0</v>
      </c>
      <c r="J38" s="77" t="str">
        <f t="shared" si="2"/>
        <v>ปกติ</v>
      </c>
      <c r="K38" s="75">
        <f>แปลผลตนเอง!K38+แปลผลครู!K38+แปลผลผู้ปกครอง!K38</f>
        <v>0</v>
      </c>
      <c r="L38" s="77" t="str">
        <f t="shared" si="3"/>
        <v>ปกติ</v>
      </c>
      <c r="M38" s="73">
        <f t="shared" si="4"/>
        <v>0</v>
      </c>
      <c r="N38" s="42" t="str">
        <f t="shared" si="5"/>
        <v>ปกติ</v>
      </c>
      <c r="O38" s="137">
        <f>แปลผลตนเอง!O38+แปลผลครู!O38+แปลผลผู้ปกครอง!O38</f>
        <v>0</v>
      </c>
      <c r="P38" s="25" t="str">
        <f t="shared" si="6"/>
        <v>ไม่มีจุดแข็ง</v>
      </c>
      <c r="Q38" s="25" t="str">
        <f t="shared" si="7"/>
        <v>เสี่ยง</v>
      </c>
      <c r="R38" s="137">
        <f>แปลผลตนเอง!Q38+แปลผลครู!Q38+แปลผลผู้ปกครอง!Q38</f>
        <v>0</v>
      </c>
      <c r="S38" s="25" t="str">
        <f t="shared" si="8"/>
        <v>ปกติ</v>
      </c>
      <c r="T38" s="22" t="str">
        <f t="shared" si="9"/>
        <v>1</v>
      </c>
      <c r="U38" s="27">
        <f t="shared" si="10"/>
        <v>0</v>
      </c>
      <c r="V38" s="84" t="str">
        <f t="shared" si="11"/>
        <v>ปกติ</v>
      </c>
    </row>
    <row r="39" spans="1:22" ht="21" customHeight="1">
      <c r="A39" s="42">
        <v>33</v>
      </c>
      <c r="B39" s="138">
        <f>รายชื่อ!B33</f>
        <v>0</v>
      </c>
      <c r="C39" s="138">
        <f>รายชื่อ!C33</f>
        <v>0</v>
      </c>
      <c r="D39" s="138">
        <f>รายชื่อ!D33</f>
        <v>0</v>
      </c>
      <c r="E39" s="73">
        <f>แปลผลตนเอง!E39+แปลผลครู!E39+แปลผลผู้ปกครอง!E39</f>
        <v>0</v>
      </c>
      <c r="F39" s="74" t="str">
        <f t="shared" si="0"/>
        <v>ปกติ</v>
      </c>
      <c r="G39" s="75">
        <f>แปลผลตนเอง!G39+แปลผลครู!G39+แปลผลผู้ปกครอง!G39</f>
        <v>0</v>
      </c>
      <c r="H39" s="74" t="str">
        <f t="shared" si="1"/>
        <v>ปกติ</v>
      </c>
      <c r="I39" s="75">
        <f>แปลผลตนเอง!I39+แปลผลครู!I39+แปลผลผู้ปกครอง!I39</f>
        <v>0</v>
      </c>
      <c r="J39" s="74" t="str">
        <f t="shared" si="2"/>
        <v>ปกติ</v>
      </c>
      <c r="K39" s="75">
        <f>แปลผลตนเอง!K39+แปลผลครู!K39+แปลผลผู้ปกครอง!K39</f>
        <v>0</v>
      </c>
      <c r="L39" s="74" t="str">
        <f t="shared" si="3"/>
        <v>ปกติ</v>
      </c>
      <c r="M39" s="75">
        <f t="shared" si="4"/>
        <v>0</v>
      </c>
      <c r="N39" s="76" t="str">
        <f t="shared" si="5"/>
        <v>ปกติ</v>
      </c>
      <c r="O39" s="137">
        <f>แปลผลตนเอง!O39+แปลผลครู!O39+แปลผลผู้ปกครอง!O39</f>
        <v>0</v>
      </c>
      <c r="P39" s="25" t="str">
        <f t="shared" si="6"/>
        <v>ไม่มีจุดแข็ง</v>
      </c>
      <c r="Q39" s="25" t="str">
        <f t="shared" si="7"/>
        <v>เสี่ยง</v>
      </c>
      <c r="R39" s="137">
        <f>แปลผลตนเอง!Q39+แปลผลครู!Q39+แปลผลผู้ปกครอง!Q39</f>
        <v>0</v>
      </c>
      <c r="S39" s="25" t="str">
        <f t="shared" si="8"/>
        <v>ปกติ</v>
      </c>
      <c r="T39" s="22" t="str">
        <f t="shared" si="9"/>
        <v>1</v>
      </c>
      <c r="U39" s="27">
        <f t="shared" si="10"/>
        <v>0</v>
      </c>
      <c r="V39" s="84" t="str">
        <f t="shared" si="11"/>
        <v>ปกติ</v>
      </c>
    </row>
    <row r="40" spans="1:22" ht="21" customHeight="1">
      <c r="A40" s="42">
        <v>34</v>
      </c>
      <c r="B40" s="138">
        <f>รายชื่อ!B34</f>
        <v>0</v>
      </c>
      <c r="C40" s="138">
        <f>รายชื่อ!C34</f>
        <v>0</v>
      </c>
      <c r="D40" s="138">
        <f>รายชื่อ!D34</f>
        <v>0</v>
      </c>
      <c r="E40" s="73">
        <f>แปลผลตนเอง!E40+แปลผลครู!E40+แปลผลผู้ปกครอง!E40</f>
        <v>0</v>
      </c>
      <c r="F40" s="74" t="str">
        <f t="shared" si="0"/>
        <v>ปกติ</v>
      </c>
      <c r="G40" s="75">
        <f>แปลผลตนเอง!G40+แปลผลครู!G40+แปลผลผู้ปกครอง!G40</f>
        <v>0</v>
      </c>
      <c r="H40" s="74" t="str">
        <f t="shared" si="1"/>
        <v>ปกติ</v>
      </c>
      <c r="I40" s="75">
        <f>แปลผลตนเอง!I40+แปลผลครู!I40+แปลผลผู้ปกครอง!I40</f>
        <v>0</v>
      </c>
      <c r="J40" s="74" t="str">
        <f t="shared" si="2"/>
        <v>ปกติ</v>
      </c>
      <c r="K40" s="75">
        <f>แปลผลตนเอง!K40+แปลผลครู!K40+แปลผลผู้ปกครอง!K40</f>
        <v>0</v>
      </c>
      <c r="L40" s="74" t="str">
        <f t="shared" si="3"/>
        <v>ปกติ</v>
      </c>
      <c r="M40" s="75">
        <f t="shared" si="4"/>
        <v>0</v>
      </c>
      <c r="N40" s="76" t="str">
        <f t="shared" si="5"/>
        <v>ปกติ</v>
      </c>
      <c r="O40" s="137">
        <f>แปลผลตนเอง!O40+แปลผลครู!O40+แปลผลผู้ปกครอง!O40</f>
        <v>0</v>
      </c>
      <c r="P40" s="25" t="str">
        <f t="shared" si="6"/>
        <v>ไม่มีจุดแข็ง</v>
      </c>
      <c r="Q40" s="25" t="str">
        <f t="shared" si="7"/>
        <v>เสี่ยง</v>
      </c>
      <c r="R40" s="137">
        <f>แปลผลตนเอง!Q40+แปลผลครู!Q40+แปลผลผู้ปกครอง!Q40</f>
        <v>0</v>
      </c>
      <c r="S40" s="25" t="str">
        <f t="shared" si="8"/>
        <v>ปกติ</v>
      </c>
      <c r="T40" s="22" t="str">
        <f t="shared" si="9"/>
        <v>1</v>
      </c>
      <c r="U40" s="27">
        <f t="shared" si="10"/>
        <v>0</v>
      </c>
      <c r="V40" s="84" t="str">
        <f t="shared" si="11"/>
        <v>ปกติ</v>
      </c>
    </row>
    <row r="41" spans="1:22" ht="21" customHeight="1">
      <c r="A41" s="42">
        <v>35</v>
      </c>
      <c r="B41" s="138">
        <f>รายชื่อ!B35</f>
        <v>0</v>
      </c>
      <c r="C41" s="138">
        <f>รายชื่อ!C35</f>
        <v>0</v>
      </c>
      <c r="D41" s="138">
        <f>รายชื่อ!D35</f>
        <v>0</v>
      </c>
      <c r="E41" s="73">
        <f>แปลผลตนเอง!E41+แปลผลครู!E41+แปลผลผู้ปกครอง!E41</f>
        <v>0</v>
      </c>
      <c r="F41" s="74" t="str">
        <f t="shared" si="0"/>
        <v>ปกติ</v>
      </c>
      <c r="G41" s="75">
        <f>แปลผลตนเอง!G41+แปลผลครู!G41+แปลผลผู้ปกครอง!G41</f>
        <v>0</v>
      </c>
      <c r="H41" s="74" t="str">
        <f t="shared" si="1"/>
        <v>ปกติ</v>
      </c>
      <c r="I41" s="75">
        <f>แปลผลตนเอง!I41+แปลผลครู!I41+แปลผลผู้ปกครอง!I41</f>
        <v>0</v>
      </c>
      <c r="J41" s="74" t="str">
        <f t="shared" si="2"/>
        <v>ปกติ</v>
      </c>
      <c r="K41" s="75">
        <f>แปลผลตนเอง!K41+แปลผลครู!K41+แปลผลผู้ปกครอง!K41</f>
        <v>0</v>
      </c>
      <c r="L41" s="74" t="str">
        <f t="shared" si="3"/>
        <v>ปกติ</v>
      </c>
      <c r="M41" s="75">
        <f t="shared" si="4"/>
        <v>0</v>
      </c>
      <c r="N41" s="76" t="str">
        <f t="shared" si="5"/>
        <v>ปกติ</v>
      </c>
      <c r="O41" s="137">
        <f>แปลผลตนเอง!O41+แปลผลครู!O41+แปลผลผู้ปกครอง!O41</f>
        <v>0</v>
      </c>
      <c r="P41" s="25" t="str">
        <f t="shared" si="6"/>
        <v>ไม่มีจุดแข็ง</v>
      </c>
      <c r="Q41" s="25" t="str">
        <f t="shared" si="7"/>
        <v>เสี่ยง</v>
      </c>
      <c r="R41" s="137">
        <f>แปลผลตนเอง!Q41+แปลผลครู!Q41+แปลผลผู้ปกครอง!Q41</f>
        <v>0</v>
      </c>
      <c r="S41" s="25" t="str">
        <f t="shared" si="8"/>
        <v>ปกติ</v>
      </c>
      <c r="T41" s="22" t="str">
        <f t="shared" si="9"/>
        <v>1</v>
      </c>
      <c r="U41" s="27">
        <f t="shared" si="10"/>
        <v>0</v>
      </c>
      <c r="V41" s="84" t="str">
        <f t="shared" si="11"/>
        <v>ปกติ</v>
      </c>
    </row>
    <row r="42" spans="1:22" ht="21" customHeight="1">
      <c r="A42" s="42">
        <v>36</v>
      </c>
      <c r="B42" s="138">
        <f>รายชื่อ!B36</f>
        <v>0</v>
      </c>
      <c r="C42" s="138">
        <f>รายชื่อ!C36</f>
        <v>0</v>
      </c>
      <c r="D42" s="138">
        <f>รายชื่อ!D36</f>
        <v>0</v>
      </c>
      <c r="E42" s="73">
        <f>แปลผลตนเอง!E42+แปลผลครู!E42+แปลผลผู้ปกครอง!E42</f>
        <v>0</v>
      </c>
      <c r="F42" s="74" t="str">
        <f t="shared" si="0"/>
        <v>ปกติ</v>
      </c>
      <c r="G42" s="75">
        <f>แปลผลตนเอง!G42+แปลผลครู!G42+แปลผลผู้ปกครอง!G42</f>
        <v>0</v>
      </c>
      <c r="H42" s="74" t="str">
        <f t="shared" si="1"/>
        <v>ปกติ</v>
      </c>
      <c r="I42" s="75">
        <f>แปลผลตนเอง!I42+แปลผลครู!I42+แปลผลผู้ปกครอง!I42</f>
        <v>0</v>
      </c>
      <c r="J42" s="74" t="str">
        <f t="shared" si="2"/>
        <v>ปกติ</v>
      </c>
      <c r="K42" s="75">
        <f>แปลผลตนเอง!K42+แปลผลครู!K42+แปลผลผู้ปกครอง!K42</f>
        <v>0</v>
      </c>
      <c r="L42" s="74" t="str">
        <f t="shared" si="3"/>
        <v>ปกติ</v>
      </c>
      <c r="M42" s="75">
        <f t="shared" si="4"/>
        <v>0</v>
      </c>
      <c r="N42" s="76" t="str">
        <f t="shared" si="5"/>
        <v>ปกติ</v>
      </c>
      <c r="O42" s="137">
        <f>แปลผลตนเอง!O42+แปลผลครู!O42+แปลผลผู้ปกครอง!O42</f>
        <v>0</v>
      </c>
      <c r="P42" s="25" t="str">
        <f t="shared" si="6"/>
        <v>ไม่มีจุดแข็ง</v>
      </c>
      <c r="Q42" s="25" t="str">
        <f t="shared" si="7"/>
        <v>เสี่ยง</v>
      </c>
      <c r="R42" s="137">
        <f>แปลผลตนเอง!Q42+แปลผลครู!Q42+แปลผลผู้ปกครอง!Q42</f>
        <v>0</v>
      </c>
      <c r="S42" s="25" t="str">
        <f t="shared" si="8"/>
        <v>ปกติ</v>
      </c>
      <c r="T42" s="22" t="str">
        <f t="shared" si="9"/>
        <v>1</v>
      </c>
      <c r="U42" s="27">
        <f t="shared" si="10"/>
        <v>0</v>
      </c>
      <c r="V42" s="84" t="str">
        <f t="shared" si="11"/>
        <v>ปกติ</v>
      </c>
    </row>
    <row r="43" spans="1:22" ht="21" customHeight="1">
      <c r="A43" s="78">
        <v>37</v>
      </c>
      <c r="B43" s="138">
        <f>รายชื่อ!B37</f>
        <v>0</v>
      </c>
      <c r="C43" s="138">
        <f>รายชื่อ!C37</f>
        <v>0</v>
      </c>
      <c r="D43" s="138">
        <f>รายชื่อ!D37</f>
        <v>0</v>
      </c>
      <c r="E43" s="73">
        <f>แปลผลตนเอง!E43+แปลผลครู!E43+แปลผลผู้ปกครอง!E43</f>
        <v>0</v>
      </c>
      <c r="F43" s="74" t="str">
        <f t="shared" si="0"/>
        <v>ปกติ</v>
      </c>
      <c r="G43" s="75">
        <f>แปลผลตนเอง!G43+แปลผลครู!G43+แปลผลผู้ปกครอง!G43</f>
        <v>0</v>
      </c>
      <c r="H43" s="74" t="str">
        <f t="shared" si="1"/>
        <v>ปกติ</v>
      </c>
      <c r="I43" s="75">
        <f>แปลผลตนเอง!I43+แปลผลครู!I43+แปลผลผู้ปกครอง!I43</f>
        <v>0</v>
      </c>
      <c r="J43" s="74" t="str">
        <f t="shared" si="2"/>
        <v>ปกติ</v>
      </c>
      <c r="K43" s="75">
        <f>แปลผลตนเอง!K43+แปลผลครู!K43+แปลผลผู้ปกครอง!K43</f>
        <v>0</v>
      </c>
      <c r="L43" s="74" t="str">
        <f t="shared" si="3"/>
        <v>ปกติ</v>
      </c>
      <c r="M43" s="75">
        <f t="shared" si="4"/>
        <v>0</v>
      </c>
      <c r="N43" s="76" t="str">
        <f t="shared" si="5"/>
        <v>ปกติ</v>
      </c>
      <c r="O43" s="137">
        <f>แปลผลตนเอง!O43+แปลผลครู!O43+แปลผลผู้ปกครอง!O43</f>
        <v>0</v>
      </c>
      <c r="P43" s="25" t="str">
        <f t="shared" si="6"/>
        <v>ไม่มีจุดแข็ง</v>
      </c>
      <c r="Q43" s="25" t="str">
        <f t="shared" si="7"/>
        <v>เสี่ยง</v>
      </c>
      <c r="R43" s="137">
        <f>แปลผลตนเอง!Q43+แปลผลครู!Q43+แปลผลผู้ปกครอง!Q43</f>
        <v>0</v>
      </c>
      <c r="S43" s="25" t="str">
        <f t="shared" si="8"/>
        <v>ปกติ</v>
      </c>
      <c r="T43" s="22" t="str">
        <f t="shared" si="9"/>
        <v>1</v>
      </c>
      <c r="U43" s="27">
        <f t="shared" si="10"/>
        <v>0</v>
      </c>
      <c r="V43" s="84" t="str">
        <f t="shared" si="11"/>
        <v>ปกติ</v>
      </c>
    </row>
    <row r="44" spans="1:22" ht="21" customHeight="1">
      <c r="A44" s="42">
        <v>38</v>
      </c>
      <c r="B44" s="138">
        <f>รายชื่อ!B38</f>
        <v>0</v>
      </c>
      <c r="C44" s="138">
        <f>รายชื่อ!C38</f>
        <v>0</v>
      </c>
      <c r="D44" s="138">
        <f>รายชื่อ!D38</f>
        <v>0</v>
      </c>
      <c r="E44" s="73">
        <f>แปลผลตนเอง!E44+แปลผลครู!E44+แปลผลผู้ปกครอง!E44</f>
        <v>0</v>
      </c>
      <c r="F44" s="74" t="str">
        <f t="shared" si="0"/>
        <v>ปกติ</v>
      </c>
      <c r="G44" s="75">
        <f>แปลผลตนเอง!G44+แปลผลครู!G44+แปลผลผู้ปกครอง!G44</f>
        <v>0</v>
      </c>
      <c r="H44" s="74" t="str">
        <f t="shared" si="1"/>
        <v>ปกติ</v>
      </c>
      <c r="I44" s="75">
        <f>แปลผลตนเอง!I44+แปลผลครู!I44+แปลผลผู้ปกครอง!I44</f>
        <v>0</v>
      </c>
      <c r="J44" s="74" t="str">
        <f t="shared" si="2"/>
        <v>ปกติ</v>
      </c>
      <c r="K44" s="75">
        <f>แปลผลตนเอง!K44+แปลผลครู!K44+แปลผลผู้ปกครอง!K44</f>
        <v>0</v>
      </c>
      <c r="L44" s="74" t="str">
        <f t="shared" si="3"/>
        <v>ปกติ</v>
      </c>
      <c r="M44" s="75">
        <f t="shared" si="4"/>
        <v>0</v>
      </c>
      <c r="N44" s="76" t="str">
        <f t="shared" si="5"/>
        <v>ปกติ</v>
      </c>
      <c r="O44" s="137">
        <f>แปลผลตนเอง!O44+แปลผลครู!O44+แปลผลผู้ปกครอง!O44</f>
        <v>0</v>
      </c>
      <c r="P44" s="25" t="str">
        <f t="shared" si="6"/>
        <v>ไม่มีจุดแข็ง</v>
      </c>
      <c r="Q44" s="25" t="str">
        <f t="shared" si="7"/>
        <v>เสี่ยง</v>
      </c>
      <c r="R44" s="137">
        <f>แปลผลตนเอง!Q44+แปลผลครู!Q44+แปลผลผู้ปกครอง!Q44</f>
        <v>0</v>
      </c>
      <c r="S44" s="25" t="str">
        <f t="shared" si="8"/>
        <v>ปกติ</v>
      </c>
      <c r="T44" s="22" t="str">
        <f t="shared" si="9"/>
        <v>1</v>
      </c>
      <c r="U44" s="27">
        <f t="shared" si="10"/>
        <v>0</v>
      </c>
      <c r="V44" s="84" t="str">
        <f t="shared" si="11"/>
        <v>ปกติ</v>
      </c>
    </row>
    <row r="45" spans="1:22" ht="21" customHeight="1">
      <c r="A45" s="42">
        <v>39</v>
      </c>
      <c r="B45" s="138">
        <f>รายชื่อ!B39</f>
        <v>0</v>
      </c>
      <c r="C45" s="138">
        <f>รายชื่อ!C39</f>
        <v>0</v>
      </c>
      <c r="D45" s="138">
        <f>รายชื่อ!D39</f>
        <v>0</v>
      </c>
      <c r="E45" s="73">
        <f>แปลผลตนเอง!E45+แปลผลครู!E45+แปลผลผู้ปกครอง!E45</f>
        <v>0</v>
      </c>
      <c r="F45" s="74" t="str">
        <f t="shared" si="0"/>
        <v>ปกติ</v>
      </c>
      <c r="G45" s="75">
        <f>แปลผลตนเอง!G45+แปลผลครู!G45+แปลผลผู้ปกครอง!G45</f>
        <v>0</v>
      </c>
      <c r="H45" s="74" t="str">
        <f t="shared" si="1"/>
        <v>ปกติ</v>
      </c>
      <c r="I45" s="75">
        <f>แปลผลตนเอง!I45+แปลผลครู!I45+แปลผลผู้ปกครอง!I45</f>
        <v>0</v>
      </c>
      <c r="J45" s="74" t="str">
        <f t="shared" si="2"/>
        <v>ปกติ</v>
      </c>
      <c r="K45" s="75">
        <f>แปลผลตนเอง!K45+แปลผลครู!K45+แปลผลผู้ปกครอง!K45</f>
        <v>0</v>
      </c>
      <c r="L45" s="74" t="str">
        <f t="shared" si="3"/>
        <v>ปกติ</v>
      </c>
      <c r="M45" s="75">
        <f t="shared" si="4"/>
        <v>0</v>
      </c>
      <c r="N45" s="76" t="str">
        <f t="shared" si="5"/>
        <v>ปกติ</v>
      </c>
      <c r="O45" s="137">
        <f>แปลผลตนเอง!O45+แปลผลครู!O45+แปลผลผู้ปกครอง!O45</f>
        <v>0</v>
      </c>
      <c r="P45" s="25" t="str">
        <f t="shared" si="6"/>
        <v>ไม่มีจุดแข็ง</v>
      </c>
      <c r="Q45" s="25" t="str">
        <f t="shared" si="7"/>
        <v>เสี่ยง</v>
      </c>
      <c r="R45" s="137">
        <f>แปลผลตนเอง!Q45+แปลผลครู!Q45+แปลผลผู้ปกครอง!Q45</f>
        <v>0</v>
      </c>
      <c r="S45" s="25" t="str">
        <f t="shared" si="8"/>
        <v>ปกติ</v>
      </c>
      <c r="T45" s="22" t="str">
        <f t="shared" si="9"/>
        <v>1</v>
      </c>
      <c r="U45" s="27">
        <f t="shared" si="10"/>
        <v>0</v>
      </c>
      <c r="V45" s="84" t="str">
        <f t="shared" si="11"/>
        <v>ปกติ</v>
      </c>
    </row>
    <row r="46" spans="1:22" ht="21" customHeight="1">
      <c r="A46" s="42">
        <v>40</v>
      </c>
      <c r="B46" s="138">
        <f>รายชื่อ!B40</f>
        <v>0</v>
      </c>
      <c r="C46" s="138">
        <f>รายชื่อ!C40</f>
        <v>0</v>
      </c>
      <c r="D46" s="138">
        <f>รายชื่อ!D40</f>
        <v>0</v>
      </c>
      <c r="E46" s="73">
        <f>แปลผลตนเอง!E46+แปลผลครู!E46+แปลผลผู้ปกครอง!E46</f>
        <v>0</v>
      </c>
      <c r="F46" s="74" t="str">
        <f t="shared" si="0"/>
        <v>ปกติ</v>
      </c>
      <c r="G46" s="75">
        <f>แปลผลตนเอง!G46+แปลผลครู!G46+แปลผลผู้ปกครอง!G46</f>
        <v>0</v>
      </c>
      <c r="H46" s="74" t="str">
        <f t="shared" si="1"/>
        <v>ปกติ</v>
      </c>
      <c r="I46" s="75">
        <f>แปลผลตนเอง!I46+แปลผลครู!I46+แปลผลผู้ปกครอง!I46</f>
        <v>0</v>
      </c>
      <c r="J46" s="74" t="str">
        <f t="shared" si="2"/>
        <v>ปกติ</v>
      </c>
      <c r="K46" s="75">
        <f>แปลผลตนเอง!K46+แปลผลครู!K46+แปลผลผู้ปกครอง!K46</f>
        <v>0</v>
      </c>
      <c r="L46" s="74" t="str">
        <f t="shared" si="3"/>
        <v>ปกติ</v>
      </c>
      <c r="M46" s="75">
        <f t="shared" si="4"/>
        <v>0</v>
      </c>
      <c r="N46" s="76" t="str">
        <f t="shared" si="5"/>
        <v>ปกติ</v>
      </c>
      <c r="O46" s="137">
        <f>แปลผลตนเอง!O46+แปลผลครู!O46+แปลผลผู้ปกครอง!O46</f>
        <v>0</v>
      </c>
      <c r="P46" s="25" t="str">
        <f t="shared" si="6"/>
        <v>ไม่มีจุดแข็ง</v>
      </c>
      <c r="Q46" s="25" t="str">
        <f t="shared" si="7"/>
        <v>เสี่ยง</v>
      </c>
      <c r="R46" s="137">
        <f>แปลผลตนเอง!Q46+แปลผลครู!Q46+แปลผลผู้ปกครอง!Q46</f>
        <v>0</v>
      </c>
      <c r="S46" s="25" t="str">
        <f t="shared" si="8"/>
        <v>ปกติ</v>
      </c>
      <c r="T46" s="22" t="str">
        <f t="shared" si="9"/>
        <v>1</v>
      </c>
      <c r="U46" s="27">
        <f t="shared" si="10"/>
        <v>0</v>
      </c>
      <c r="V46" s="84" t="str">
        <f t="shared" si="11"/>
        <v>ปกติ</v>
      </c>
    </row>
    <row r="47" spans="1:22" ht="0.95" customHeight="1">
      <c r="A47" s="22"/>
      <c r="B47" s="22"/>
      <c r="C47" s="22"/>
      <c r="D47" s="31"/>
      <c r="E47" s="28"/>
      <c r="F47" s="22"/>
      <c r="G47" s="28"/>
      <c r="H47" s="22"/>
      <c r="I47" s="28"/>
      <c r="J47" s="22"/>
      <c r="K47" s="28"/>
      <c r="L47" s="22"/>
      <c r="M47" s="28"/>
      <c r="N47" s="22"/>
      <c r="O47" s="28"/>
      <c r="P47" s="22"/>
      <c r="Q47" s="22"/>
      <c r="R47" s="28"/>
      <c r="S47" s="22"/>
      <c r="T47" s="85">
        <f>COUNTIF(T7:T46,"1")</f>
        <v>40</v>
      </c>
    </row>
    <row r="48" spans="1:22" ht="21" customHeight="1">
      <c r="A48" s="66" t="s">
        <v>145</v>
      </c>
      <c r="B48" s="66"/>
      <c r="C48" s="66"/>
      <c r="D48" s="86" t="s">
        <v>71</v>
      </c>
      <c r="E48" s="86"/>
      <c r="F48" s="29">
        <f>ข้อมูล!C3</f>
        <v>27</v>
      </c>
      <c r="G48" s="86" t="s">
        <v>146</v>
      </c>
      <c r="H48" s="87" t="s">
        <v>147</v>
      </c>
      <c r="I48" s="86"/>
      <c r="J48" s="86" t="s">
        <v>148</v>
      </c>
      <c r="K48" s="29"/>
      <c r="L48" s="30">
        <f>T47</f>
        <v>40</v>
      </c>
      <c r="M48" s="66" t="s">
        <v>72</v>
      </c>
      <c r="N48" s="29" t="s">
        <v>149</v>
      </c>
      <c r="O48" s="66"/>
      <c r="P48" s="29">
        <f>F48-L48</f>
        <v>-13</v>
      </c>
      <c r="Q48" s="66"/>
      <c r="R48" s="86" t="s">
        <v>72</v>
      </c>
      <c r="S48" s="30">
        <f>F48-L48</f>
        <v>-13</v>
      </c>
      <c r="T48" s="88"/>
      <c r="U48" s="89"/>
    </row>
    <row r="49" spans="1:21" ht="21" customHeight="1">
      <c r="A49" s="66"/>
      <c r="B49" s="66"/>
      <c r="C49" s="66"/>
      <c r="D49" s="86"/>
      <c r="E49" s="86"/>
      <c r="F49" s="86"/>
      <c r="G49" s="86"/>
      <c r="H49" s="86"/>
      <c r="I49" s="90"/>
      <c r="J49" s="203" t="s">
        <v>150</v>
      </c>
      <c r="K49" s="203"/>
      <c r="L49" s="91">
        <f>L48*100/F48</f>
        <v>148.14814814814815</v>
      </c>
      <c r="M49" s="66"/>
      <c r="N49" s="203" t="s">
        <v>150</v>
      </c>
      <c r="O49" s="203"/>
      <c r="P49" s="91">
        <f>P48*100/F48</f>
        <v>-48.148148148148145</v>
      </c>
      <c r="Q49" s="92"/>
      <c r="S49" s="91">
        <f>S48*100/F48</f>
        <v>-48.148148148148145</v>
      </c>
      <c r="T49" s="93"/>
      <c r="U49" s="94"/>
    </row>
    <row r="50" spans="1:21" ht="14.25" customHeight="1">
      <c r="D50" s="31"/>
      <c r="E50" s="31"/>
      <c r="F50" s="31"/>
      <c r="G50" s="31"/>
      <c r="H50" s="31"/>
      <c r="I50" s="95"/>
      <c r="J50" s="31"/>
      <c r="K50" s="31"/>
      <c r="L50" s="79"/>
      <c r="M50" s="31"/>
      <c r="N50" s="31"/>
      <c r="O50" s="96"/>
      <c r="P50" s="79"/>
      <c r="Q50" s="96"/>
      <c r="S50" s="97"/>
      <c r="T50" s="93"/>
      <c r="U50" s="94"/>
    </row>
    <row r="51" spans="1:21" ht="21" customHeight="1">
      <c r="D51" s="31"/>
      <c r="E51" s="31"/>
      <c r="G51" s="27" t="s">
        <v>151</v>
      </c>
      <c r="I51" s="27"/>
      <c r="K51" s="201" t="s">
        <v>144</v>
      </c>
      <c r="L51" s="201"/>
      <c r="M51" s="201" t="s">
        <v>152</v>
      </c>
      <c r="N51" s="201"/>
      <c r="O51" s="201"/>
      <c r="P51" s="65"/>
      <c r="Q51" s="96"/>
      <c r="R51" s="201" t="s">
        <v>144</v>
      </c>
      <c r="S51" s="201"/>
      <c r="T51" s="88"/>
      <c r="U51" s="94"/>
    </row>
    <row r="52" spans="1:21" ht="21" customHeight="1">
      <c r="D52" s="31"/>
      <c r="E52" s="31"/>
      <c r="G52" s="98" t="s">
        <v>153</v>
      </c>
      <c r="H52" s="201" t="str">
        <f>ข้อมูล!C5</f>
        <v>นางสาวพอใจ  สุขหา</v>
      </c>
      <c r="I52" s="201"/>
      <c r="J52" s="201"/>
      <c r="K52" s="27" t="s">
        <v>154</v>
      </c>
      <c r="M52" s="98" t="s">
        <v>153</v>
      </c>
      <c r="N52" s="201" t="str">
        <f>ข้อมูล!C6</f>
        <v>นางสาวพอใจ  สุขหา</v>
      </c>
      <c r="O52" s="201"/>
      <c r="P52" s="201"/>
      <c r="Q52" s="27" t="s">
        <v>154</v>
      </c>
      <c r="R52" s="27"/>
      <c r="T52" s="88"/>
      <c r="U52" s="94"/>
    </row>
    <row r="53" spans="1:21" ht="21" customHeight="1">
      <c r="E53" s="27"/>
      <c r="G53" s="27"/>
      <c r="I53" s="27"/>
      <c r="K53" s="27"/>
      <c r="M53" s="27"/>
      <c r="O53" s="27"/>
      <c r="R53" s="27"/>
    </row>
    <row r="54" spans="1:21" ht="21" customHeight="1">
      <c r="E54" s="27"/>
      <c r="G54" s="27"/>
      <c r="I54" s="27"/>
      <c r="K54" s="27"/>
      <c r="M54" s="27"/>
      <c r="O54" s="27"/>
      <c r="R54" s="27"/>
    </row>
    <row r="55" spans="1:21" ht="21" customHeight="1">
      <c r="E55" s="27"/>
      <c r="G55" s="27"/>
      <c r="I55" s="27"/>
      <c r="K55" s="27"/>
      <c r="M55" s="27"/>
      <c r="O55" s="27"/>
      <c r="R55" s="27"/>
    </row>
    <row r="56" spans="1:21" ht="21" customHeight="1">
      <c r="E56" s="27"/>
      <c r="G56" s="27"/>
      <c r="I56" s="27"/>
      <c r="K56" s="27"/>
      <c r="M56" s="27"/>
      <c r="O56" s="27"/>
      <c r="R56" s="27"/>
    </row>
    <row r="57" spans="1:21" ht="21" customHeight="1">
      <c r="E57" s="27"/>
      <c r="G57" s="27"/>
      <c r="I57" s="27"/>
      <c r="K57" s="27"/>
      <c r="M57" s="27"/>
      <c r="O57" s="27"/>
      <c r="R57" s="27"/>
    </row>
    <row r="58" spans="1:21" ht="21" customHeight="1">
      <c r="E58" s="27"/>
      <c r="G58" s="27"/>
      <c r="I58" s="27"/>
      <c r="K58" s="27"/>
      <c r="M58" s="27"/>
      <c r="O58" s="27"/>
      <c r="R58" s="27"/>
    </row>
    <row r="59" spans="1:21" ht="21" customHeight="1">
      <c r="E59" s="27"/>
      <c r="G59" s="27"/>
      <c r="I59" s="27"/>
      <c r="K59" s="27"/>
      <c r="M59" s="27"/>
      <c r="O59" s="27"/>
      <c r="R59" s="27"/>
    </row>
    <row r="60" spans="1:21" ht="21" customHeight="1">
      <c r="E60" s="27"/>
      <c r="G60" s="27"/>
      <c r="I60" s="27"/>
      <c r="K60" s="27"/>
      <c r="M60" s="27"/>
      <c r="O60" s="27"/>
      <c r="R60" s="27"/>
    </row>
    <row r="61" spans="1:21" ht="21" customHeight="1">
      <c r="E61" s="27"/>
      <c r="G61" s="27"/>
      <c r="I61" s="27"/>
      <c r="K61" s="27"/>
      <c r="M61" s="27"/>
      <c r="O61" s="27"/>
      <c r="R61" s="27"/>
    </row>
    <row r="62" spans="1:21" ht="21" customHeight="1">
      <c r="E62" s="27"/>
      <c r="G62" s="27"/>
      <c r="I62" s="27"/>
      <c r="K62" s="27"/>
      <c r="M62" s="27"/>
      <c r="O62" s="27"/>
      <c r="R62" s="27"/>
    </row>
    <row r="63" spans="1:21" ht="21" customHeight="1">
      <c r="E63" s="27"/>
      <c r="G63" s="27"/>
      <c r="I63" s="27"/>
      <c r="K63" s="27"/>
      <c r="M63" s="27"/>
      <c r="O63" s="27"/>
      <c r="R63" s="27"/>
    </row>
    <row r="64" spans="1:21" ht="21" customHeight="1">
      <c r="E64" s="27"/>
      <c r="G64" s="27"/>
      <c r="I64" s="27"/>
      <c r="K64" s="27"/>
      <c r="M64" s="27"/>
      <c r="O64" s="27"/>
      <c r="R64" s="27"/>
    </row>
    <row r="65" spans="5:18" ht="21" customHeight="1">
      <c r="E65" s="27"/>
      <c r="G65" s="27"/>
      <c r="I65" s="27"/>
      <c r="K65" s="27"/>
      <c r="M65" s="27"/>
      <c r="O65" s="27"/>
      <c r="R65" s="27"/>
    </row>
    <row r="66" spans="5:18" ht="21" customHeight="1">
      <c r="E66" s="27"/>
      <c r="G66" s="27"/>
      <c r="I66" s="27"/>
      <c r="K66" s="27"/>
      <c r="M66" s="27"/>
      <c r="O66" s="27"/>
      <c r="R66" s="27"/>
    </row>
    <row r="67" spans="5:18" ht="21" customHeight="1">
      <c r="E67" s="27"/>
      <c r="G67" s="27"/>
      <c r="I67" s="27"/>
      <c r="K67" s="27"/>
      <c r="M67" s="27"/>
      <c r="O67" s="27"/>
      <c r="R67" s="27"/>
    </row>
    <row r="68" spans="5:18" ht="21" customHeight="1">
      <c r="E68" s="27"/>
      <c r="G68" s="27"/>
      <c r="I68" s="27"/>
      <c r="K68" s="27"/>
      <c r="M68" s="27"/>
      <c r="O68" s="27"/>
      <c r="R68" s="27"/>
    </row>
    <row r="69" spans="5:18" ht="21" customHeight="1">
      <c r="E69" s="27"/>
      <c r="G69" s="27"/>
      <c r="I69" s="27"/>
      <c r="K69" s="27"/>
      <c r="M69" s="27"/>
      <c r="O69" s="27"/>
      <c r="R69" s="27"/>
    </row>
    <row r="70" spans="5:18" ht="21" customHeight="1">
      <c r="E70" s="27"/>
      <c r="G70" s="27"/>
      <c r="I70" s="27"/>
      <c r="K70" s="27"/>
      <c r="M70" s="27"/>
      <c r="O70" s="27"/>
      <c r="R70" s="27"/>
    </row>
    <row r="71" spans="5:18" ht="21" customHeight="1">
      <c r="E71" s="27"/>
      <c r="G71" s="27"/>
      <c r="I71" s="27"/>
      <c r="K71" s="27"/>
      <c r="M71" s="27"/>
      <c r="O71" s="27"/>
      <c r="R71" s="27"/>
    </row>
    <row r="72" spans="5:18" ht="21" customHeight="1">
      <c r="E72" s="27"/>
      <c r="G72" s="27"/>
      <c r="I72" s="27"/>
      <c r="K72" s="27"/>
      <c r="M72" s="27"/>
      <c r="O72" s="27"/>
      <c r="R72" s="27"/>
    </row>
    <row r="73" spans="5:18" ht="21" customHeight="1">
      <c r="E73" s="27"/>
      <c r="G73" s="27"/>
      <c r="I73" s="27"/>
      <c r="K73" s="27"/>
      <c r="M73" s="27"/>
      <c r="O73" s="27"/>
      <c r="R73" s="27"/>
    </row>
    <row r="74" spans="5:18" ht="21" customHeight="1">
      <c r="E74" s="27"/>
      <c r="G74" s="27"/>
      <c r="I74" s="27"/>
      <c r="K74" s="27"/>
      <c r="M74" s="27"/>
      <c r="O74" s="27"/>
      <c r="R74" s="27"/>
    </row>
    <row r="75" spans="5:18" ht="21" customHeight="1">
      <c r="E75" s="27"/>
      <c r="G75" s="27"/>
      <c r="I75" s="27"/>
      <c r="K75" s="27"/>
      <c r="M75" s="27"/>
      <c r="O75" s="27"/>
      <c r="R75" s="27"/>
    </row>
    <row r="76" spans="5:18" ht="21" customHeight="1">
      <c r="E76" s="27"/>
      <c r="G76" s="27"/>
      <c r="I76" s="27"/>
      <c r="K76" s="27"/>
      <c r="M76" s="27"/>
      <c r="O76" s="27"/>
      <c r="R76" s="27"/>
    </row>
    <row r="77" spans="5:18" ht="21" customHeight="1">
      <c r="E77" s="27"/>
      <c r="G77" s="27"/>
      <c r="I77" s="27"/>
      <c r="K77" s="27"/>
      <c r="M77" s="27"/>
      <c r="O77" s="27"/>
      <c r="R77" s="27"/>
    </row>
    <row r="78" spans="5:18" ht="21" customHeight="1">
      <c r="E78" s="27"/>
      <c r="G78" s="27"/>
      <c r="I78" s="27"/>
      <c r="K78" s="27"/>
      <c r="M78" s="27"/>
      <c r="O78" s="27"/>
      <c r="R78" s="27"/>
    </row>
    <row r="79" spans="5:18" ht="21" customHeight="1">
      <c r="E79" s="27"/>
      <c r="G79" s="27"/>
      <c r="I79" s="27"/>
      <c r="K79" s="27"/>
      <c r="M79" s="27"/>
      <c r="O79" s="27"/>
      <c r="R79" s="27"/>
    </row>
    <row r="80" spans="5:18" ht="21" customHeight="1">
      <c r="E80" s="27"/>
      <c r="G80" s="27"/>
      <c r="I80" s="27"/>
      <c r="K80" s="27"/>
      <c r="M80" s="27"/>
      <c r="O80" s="27"/>
      <c r="R80" s="27"/>
    </row>
    <row r="81" spans="5:18" ht="21" customHeight="1">
      <c r="E81" s="27"/>
      <c r="G81" s="27"/>
      <c r="I81" s="27"/>
      <c r="K81" s="27"/>
      <c r="M81" s="27"/>
      <c r="O81" s="27"/>
      <c r="R81" s="27"/>
    </row>
    <row r="82" spans="5:18" ht="21" customHeight="1">
      <c r="E82" s="27"/>
      <c r="G82" s="27"/>
      <c r="I82" s="27"/>
      <c r="K82" s="27"/>
      <c r="M82" s="27"/>
      <c r="O82" s="27"/>
      <c r="R82" s="27"/>
    </row>
    <row r="83" spans="5:18" ht="21" customHeight="1">
      <c r="E83" s="27"/>
      <c r="G83" s="27"/>
      <c r="I83" s="27"/>
      <c r="K83" s="27"/>
      <c r="M83" s="27"/>
      <c r="O83" s="27"/>
      <c r="R83" s="27"/>
    </row>
    <row r="84" spans="5:18" ht="21" customHeight="1">
      <c r="E84" s="27"/>
      <c r="G84" s="27"/>
      <c r="I84" s="27"/>
      <c r="K84" s="27"/>
      <c r="M84" s="27"/>
      <c r="O84" s="27"/>
      <c r="R84" s="27"/>
    </row>
    <row r="85" spans="5:18" ht="21" customHeight="1">
      <c r="E85" s="27"/>
      <c r="G85" s="27"/>
      <c r="I85" s="27"/>
      <c r="K85" s="27"/>
      <c r="M85" s="27"/>
      <c r="O85" s="27"/>
      <c r="R85" s="27"/>
    </row>
    <row r="86" spans="5:18" ht="21" customHeight="1">
      <c r="E86" s="27"/>
      <c r="G86" s="27"/>
      <c r="I86" s="27"/>
      <c r="K86" s="27"/>
      <c r="M86" s="27"/>
      <c r="O86" s="27"/>
      <c r="R86" s="27"/>
    </row>
    <row r="87" spans="5:18" ht="21" customHeight="1">
      <c r="E87" s="27"/>
      <c r="G87" s="27"/>
      <c r="I87" s="27"/>
      <c r="K87" s="27"/>
      <c r="M87" s="27"/>
      <c r="O87" s="27"/>
      <c r="R87" s="27"/>
    </row>
    <row r="88" spans="5:18" ht="21" customHeight="1">
      <c r="E88" s="27"/>
      <c r="G88" s="27"/>
      <c r="I88" s="27"/>
      <c r="K88" s="27"/>
      <c r="M88" s="27"/>
      <c r="O88" s="27"/>
      <c r="R88" s="27"/>
    </row>
    <row r="89" spans="5:18" ht="21" customHeight="1">
      <c r="E89" s="27"/>
      <c r="G89" s="27"/>
      <c r="I89" s="27"/>
      <c r="K89" s="27"/>
      <c r="M89" s="27"/>
      <c r="O89" s="27"/>
      <c r="R89" s="27"/>
    </row>
    <row r="90" spans="5:18" ht="21" customHeight="1">
      <c r="E90" s="27"/>
      <c r="G90" s="27"/>
      <c r="I90" s="27"/>
      <c r="K90" s="27"/>
      <c r="M90" s="27"/>
      <c r="O90" s="27"/>
      <c r="R90" s="27"/>
    </row>
    <row r="91" spans="5:18" ht="21" customHeight="1">
      <c r="E91" s="27"/>
      <c r="G91" s="27"/>
      <c r="I91" s="27"/>
      <c r="K91" s="27"/>
      <c r="M91" s="27"/>
      <c r="O91" s="27"/>
      <c r="R91" s="27"/>
    </row>
    <row r="92" spans="5:18" ht="21" customHeight="1">
      <c r="E92" s="27"/>
      <c r="G92" s="27"/>
      <c r="I92" s="27"/>
      <c r="K92" s="27"/>
      <c r="M92" s="27"/>
      <c r="O92" s="27"/>
      <c r="R92" s="27"/>
    </row>
    <row r="93" spans="5:18" ht="21" customHeight="1">
      <c r="E93" s="27"/>
      <c r="G93" s="27"/>
      <c r="I93" s="27"/>
      <c r="K93" s="27"/>
      <c r="M93" s="27"/>
      <c r="O93" s="27"/>
      <c r="R93" s="27"/>
    </row>
    <row r="94" spans="5:18" ht="21" customHeight="1">
      <c r="E94" s="27"/>
      <c r="G94" s="27"/>
      <c r="I94" s="27"/>
      <c r="K94" s="27"/>
      <c r="M94" s="27"/>
      <c r="O94" s="27"/>
      <c r="R94" s="27"/>
    </row>
    <row r="95" spans="5:18" ht="21" customHeight="1">
      <c r="E95" s="27"/>
      <c r="G95" s="27"/>
      <c r="I95" s="27"/>
      <c r="K95" s="27"/>
      <c r="M95" s="27"/>
      <c r="O95" s="27"/>
      <c r="R95" s="27"/>
    </row>
    <row r="96" spans="5:18" ht="21" customHeight="1">
      <c r="E96" s="27"/>
      <c r="G96" s="27"/>
      <c r="I96" s="27"/>
      <c r="K96" s="27"/>
      <c r="M96" s="27"/>
      <c r="O96" s="27"/>
      <c r="R96" s="27"/>
    </row>
    <row r="97" spans="5:18" ht="21" customHeight="1">
      <c r="E97" s="27"/>
      <c r="G97" s="27"/>
      <c r="I97" s="27"/>
      <c r="K97" s="27"/>
      <c r="M97" s="27"/>
      <c r="O97" s="27"/>
      <c r="R97" s="27"/>
    </row>
    <row r="98" spans="5:18" ht="21" customHeight="1">
      <c r="E98" s="27"/>
      <c r="G98" s="27"/>
      <c r="I98" s="27"/>
      <c r="K98" s="27"/>
      <c r="M98" s="27"/>
      <c r="O98" s="27"/>
      <c r="R98" s="27"/>
    </row>
    <row r="99" spans="5:18" ht="21" customHeight="1">
      <c r="E99" s="27"/>
      <c r="G99" s="27"/>
      <c r="I99" s="27"/>
      <c r="K99" s="27"/>
      <c r="M99" s="27"/>
      <c r="O99" s="27"/>
      <c r="R99" s="27"/>
    </row>
    <row r="100" spans="5:18" ht="21" customHeight="1">
      <c r="E100" s="27"/>
      <c r="G100" s="27"/>
      <c r="I100" s="27"/>
      <c r="K100" s="27"/>
      <c r="M100" s="27"/>
      <c r="O100" s="27"/>
      <c r="R100" s="27"/>
    </row>
    <row r="101" spans="5:18" ht="21" customHeight="1">
      <c r="E101" s="27"/>
      <c r="G101" s="27"/>
      <c r="I101" s="27"/>
      <c r="K101" s="27"/>
      <c r="M101" s="27"/>
      <c r="O101" s="27"/>
      <c r="R101" s="27"/>
    </row>
    <row r="102" spans="5:18" ht="21" customHeight="1">
      <c r="E102" s="27"/>
      <c r="G102" s="27"/>
      <c r="I102" s="27"/>
      <c r="K102" s="27"/>
      <c r="M102" s="27"/>
      <c r="O102" s="27"/>
      <c r="R102" s="27"/>
    </row>
    <row r="103" spans="5:18" ht="21" customHeight="1">
      <c r="E103" s="27"/>
      <c r="G103" s="27"/>
      <c r="I103" s="27"/>
      <c r="K103" s="27"/>
      <c r="M103" s="27"/>
      <c r="O103" s="27"/>
      <c r="R103" s="27"/>
    </row>
    <row r="104" spans="5:18" ht="21" customHeight="1">
      <c r="E104" s="27"/>
      <c r="G104" s="27"/>
      <c r="I104" s="27"/>
      <c r="K104" s="27"/>
      <c r="M104" s="27"/>
      <c r="O104" s="27"/>
      <c r="R104" s="27"/>
    </row>
    <row r="105" spans="5:18" ht="21" customHeight="1">
      <c r="E105" s="27"/>
      <c r="G105" s="27"/>
      <c r="I105" s="27"/>
      <c r="K105" s="27"/>
      <c r="M105" s="27"/>
      <c r="O105" s="27"/>
      <c r="R105" s="27"/>
    </row>
    <row r="106" spans="5:18" ht="21" customHeight="1">
      <c r="E106" s="27"/>
      <c r="G106" s="27"/>
      <c r="I106" s="27"/>
      <c r="K106" s="27"/>
      <c r="M106" s="27"/>
      <c r="O106" s="27"/>
      <c r="R106" s="27"/>
    </row>
    <row r="107" spans="5:18" ht="21" customHeight="1">
      <c r="E107" s="27"/>
      <c r="G107" s="27"/>
      <c r="I107" s="27"/>
      <c r="K107" s="27"/>
      <c r="M107" s="27"/>
      <c r="O107" s="27"/>
      <c r="R107" s="27"/>
    </row>
    <row r="108" spans="5:18" ht="21" customHeight="1">
      <c r="E108" s="27"/>
      <c r="G108" s="27"/>
      <c r="I108" s="27"/>
      <c r="K108" s="27"/>
      <c r="M108" s="27"/>
      <c r="O108" s="27"/>
      <c r="R108" s="27"/>
    </row>
    <row r="109" spans="5:18" ht="21" customHeight="1">
      <c r="E109" s="27"/>
      <c r="G109" s="27"/>
      <c r="I109" s="27"/>
      <c r="K109" s="27"/>
      <c r="M109" s="27"/>
      <c r="O109" s="27"/>
      <c r="R109" s="27"/>
    </row>
    <row r="110" spans="5:18" ht="21" customHeight="1">
      <c r="E110" s="27"/>
      <c r="G110" s="27"/>
      <c r="I110" s="27"/>
      <c r="K110" s="27"/>
      <c r="M110" s="27"/>
      <c r="O110" s="27"/>
      <c r="R110" s="27"/>
    </row>
    <row r="111" spans="5:18" ht="21" customHeight="1">
      <c r="E111" s="27"/>
      <c r="G111" s="27"/>
      <c r="I111" s="27"/>
      <c r="K111" s="27"/>
      <c r="M111" s="27"/>
      <c r="O111" s="27"/>
      <c r="R111" s="27"/>
    </row>
    <row r="112" spans="5:18" ht="21" customHeight="1">
      <c r="E112" s="27"/>
      <c r="G112" s="27"/>
      <c r="I112" s="27"/>
      <c r="K112" s="27"/>
      <c r="M112" s="27"/>
      <c r="O112" s="27"/>
      <c r="R112" s="27"/>
    </row>
    <row r="113" spans="5:18" ht="21" customHeight="1">
      <c r="E113" s="27"/>
      <c r="G113" s="27"/>
      <c r="I113" s="27"/>
      <c r="K113" s="27"/>
      <c r="M113" s="27"/>
      <c r="O113" s="27"/>
      <c r="R113" s="27"/>
    </row>
    <row r="114" spans="5:18" ht="21" customHeight="1">
      <c r="E114" s="27"/>
      <c r="G114" s="27"/>
      <c r="I114" s="27"/>
      <c r="K114" s="27"/>
      <c r="M114" s="27"/>
      <c r="O114" s="27"/>
      <c r="R114" s="27"/>
    </row>
    <row r="115" spans="5:18" ht="21" customHeight="1">
      <c r="E115" s="27"/>
      <c r="G115" s="27"/>
      <c r="I115" s="27"/>
      <c r="K115" s="27"/>
      <c r="M115" s="27"/>
      <c r="O115" s="27"/>
      <c r="R115" s="27"/>
    </row>
    <row r="116" spans="5:18" ht="21" customHeight="1">
      <c r="E116" s="27"/>
      <c r="G116" s="27"/>
      <c r="I116" s="27"/>
      <c r="K116" s="27"/>
      <c r="M116" s="27"/>
      <c r="O116" s="27"/>
      <c r="R116" s="27"/>
    </row>
    <row r="117" spans="5:18" ht="21" customHeight="1">
      <c r="E117" s="27"/>
      <c r="G117" s="27"/>
      <c r="I117" s="27"/>
      <c r="K117" s="27"/>
      <c r="M117" s="27"/>
      <c r="O117" s="27"/>
      <c r="R117" s="27"/>
    </row>
    <row r="118" spans="5:18" ht="21" customHeight="1">
      <c r="E118" s="27"/>
      <c r="G118" s="27"/>
      <c r="I118" s="27"/>
      <c r="K118" s="27"/>
      <c r="M118" s="27"/>
      <c r="O118" s="27"/>
      <c r="R118" s="27"/>
    </row>
    <row r="119" spans="5:18" ht="21" customHeight="1">
      <c r="E119" s="27"/>
      <c r="G119" s="27"/>
      <c r="I119" s="27"/>
      <c r="K119" s="27"/>
      <c r="M119" s="27"/>
      <c r="O119" s="27"/>
      <c r="R119" s="27"/>
    </row>
    <row r="120" spans="5:18" ht="21" customHeight="1">
      <c r="E120" s="27"/>
      <c r="G120" s="27"/>
      <c r="I120" s="27"/>
      <c r="K120" s="27"/>
      <c r="M120" s="27"/>
      <c r="O120" s="27"/>
      <c r="R120" s="27"/>
    </row>
    <row r="121" spans="5:18" ht="21" customHeight="1">
      <c r="E121" s="27"/>
      <c r="G121" s="27"/>
      <c r="I121" s="27"/>
      <c r="K121" s="27"/>
      <c r="M121" s="27"/>
      <c r="O121" s="27"/>
      <c r="R121" s="27"/>
    </row>
    <row r="122" spans="5:18" ht="21" customHeight="1">
      <c r="E122" s="27"/>
      <c r="G122" s="27"/>
      <c r="I122" s="27"/>
      <c r="K122" s="27"/>
      <c r="M122" s="27"/>
      <c r="O122" s="27"/>
      <c r="R122" s="27"/>
    </row>
    <row r="123" spans="5:18" ht="21" customHeight="1">
      <c r="E123" s="27"/>
      <c r="G123" s="27"/>
      <c r="I123" s="27"/>
      <c r="K123" s="27"/>
      <c r="M123" s="27"/>
      <c r="O123" s="27"/>
      <c r="R123" s="27"/>
    </row>
    <row r="124" spans="5:18" ht="21" customHeight="1">
      <c r="E124" s="27"/>
      <c r="G124" s="27"/>
      <c r="I124" s="27"/>
      <c r="K124" s="27"/>
      <c r="M124" s="27"/>
      <c r="O124" s="27"/>
      <c r="R124" s="27"/>
    </row>
    <row r="125" spans="5:18" ht="21" customHeight="1">
      <c r="E125" s="27"/>
      <c r="G125" s="27"/>
      <c r="I125" s="27"/>
      <c r="K125" s="27"/>
      <c r="M125" s="27"/>
      <c r="O125" s="27"/>
      <c r="R125" s="27"/>
    </row>
    <row r="126" spans="5:18" ht="21" customHeight="1">
      <c r="E126" s="27"/>
      <c r="G126" s="27"/>
      <c r="I126" s="27"/>
      <c r="K126" s="27"/>
      <c r="M126" s="27"/>
      <c r="O126" s="27"/>
      <c r="R126" s="27"/>
    </row>
    <row r="127" spans="5:18" ht="21" customHeight="1">
      <c r="E127" s="27"/>
      <c r="G127" s="27"/>
      <c r="I127" s="27"/>
      <c r="K127" s="27"/>
      <c r="M127" s="27"/>
      <c r="O127" s="27"/>
      <c r="R127" s="27"/>
    </row>
    <row r="128" spans="5:18" ht="21" customHeight="1">
      <c r="E128" s="27"/>
      <c r="G128" s="27"/>
      <c r="I128" s="27"/>
      <c r="K128" s="27"/>
      <c r="M128" s="27"/>
      <c r="O128" s="27"/>
      <c r="R128" s="27"/>
    </row>
    <row r="129" spans="5:18" ht="21" customHeight="1">
      <c r="E129" s="27"/>
      <c r="G129" s="27"/>
      <c r="I129" s="27"/>
      <c r="K129" s="27"/>
      <c r="M129" s="27"/>
      <c r="O129" s="27"/>
      <c r="R129" s="27"/>
    </row>
    <row r="130" spans="5:18" ht="21" customHeight="1">
      <c r="E130" s="27"/>
      <c r="G130" s="27"/>
      <c r="I130" s="27"/>
      <c r="K130" s="27"/>
      <c r="M130" s="27"/>
      <c r="O130" s="27"/>
      <c r="R130" s="27"/>
    </row>
    <row r="131" spans="5:18" ht="21" customHeight="1">
      <c r="E131" s="27"/>
      <c r="G131" s="27"/>
      <c r="I131" s="27"/>
      <c r="K131" s="27"/>
      <c r="M131" s="27"/>
      <c r="O131" s="27"/>
      <c r="R131" s="27"/>
    </row>
    <row r="132" spans="5:18" ht="21" customHeight="1">
      <c r="E132" s="27"/>
      <c r="G132" s="27"/>
      <c r="I132" s="27"/>
      <c r="K132" s="27"/>
      <c r="M132" s="27"/>
      <c r="O132" s="27"/>
      <c r="R132" s="27"/>
    </row>
    <row r="133" spans="5:18" ht="21" customHeight="1">
      <c r="E133" s="27"/>
      <c r="G133" s="27"/>
      <c r="I133" s="27"/>
      <c r="K133" s="27"/>
      <c r="M133" s="27"/>
      <c r="O133" s="27"/>
      <c r="R133" s="27"/>
    </row>
    <row r="134" spans="5:18" ht="21" customHeight="1">
      <c r="E134" s="27"/>
      <c r="G134" s="27"/>
      <c r="I134" s="27"/>
      <c r="K134" s="27"/>
      <c r="M134" s="27"/>
      <c r="O134" s="27"/>
      <c r="R134" s="27"/>
    </row>
    <row r="135" spans="5:18" ht="21" customHeight="1">
      <c r="E135" s="27"/>
      <c r="G135" s="27"/>
      <c r="I135" s="27"/>
      <c r="K135" s="27"/>
      <c r="M135" s="27"/>
      <c r="O135" s="27"/>
      <c r="R135" s="27"/>
    </row>
    <row r="136" spans="5:18" ht="21" customHeight="1">
      <c r="E136" s="27"/>
      <c r="G136" s="27"/>
      <c r="I136" s="27"/>
      <c r="K136" s="27"/>
      <c r="M136" s="27"/>
      <c r="O136" s="27"/>
      <c r="R136" s="27"/>
    </row>
    <row r="137" spans="5:18" ht="21" customHeight="1">
      <c r="E137" s="27"/>
      <c r="G137" s="27"/>
      <c r="I137" s="27"/>
      <c r="K137" s="27"/>
      <c r="M137" s="27"/>
      <c r="O137" s="27"/>
      <c r="R137" s="27"/>
    </row>
    <row r="138" spans="5:18" ht="21" customHeight="1">
      <c r="E138" s="27"/>
      <c r="G138" s="27"/>
      <c r="I138" s="27"/>
      <c r="K138" s="27"/>
      <c r="M138" s="27"/>
      <c r="O138" s="27"/>
      <c r="R138" s="27"/>
    </row>
    <row r="139" spans="5:18" ht="21" customHeight="1">
      <c r="E139" s="27"/>
      <c r="G139" s="27"/>
      <c r="I139" s="27"/>
      <c r="K139" s="27"/>
      <c r="M139" s="27"/>
      <c r="O139" s="27"/>
      <c r="R139" s="27"/>
    </row>
    <row r="140" spans="5:18" ht="21" customHeight="1">
      <c r="E140" s="27"/>
      <c r="G140" s="27"/>
      <c r="I140" s="27"/>
      <c r="K140" s="27"/>
      <c r="M140" s="27"/>
      <c r="O140" s="27"/>
      <c r="R140" s="27"/>
    </row>
    <row r="141" spans="5:18" ht="21" customHeight="1">
      <c r="E141" s="27"/>
      <c r="G141" s="27"/>
      <c r="I141" s="27"/>
      <c r="K141" s="27"/>
      <c r="M141" s="27"/>
      <c r="O141" s="27"/>
      <c r="R141" s="27"/>
    </row>
    <row r="142" spans="5:18" ht="21" customHeight="1">
      <c r="E142" s="27"/>
      <c r="G142" s="27"/>
      <c r="I142" s="27"/>
      <c r="K142" s="27"/>
      <c r="M142" s="27"/>
      <c r="O142" s="27"/>
      <c r="R142" s="27"/>
    </row>
    <row r="143" spans="5:18" ht="21" customHeight="1">
      <c r="E143" s="27"/>
      <c r="G143" s="27"/>
      <c r="I143" s="27"/>
      <c r="K143" s="27"/>
      <c r="M143" s="27"/>
      <c r="O143" s="27"/>
      <c r="R143" s="27"/>
    </row>
    <row r="144" spans="5:18" ht="21" customHeight="1">
      <c r="E144" s="27"/>
      <c r="G144" s="27"/>
      <c r="I144" s="27"/>
      <c r="K144" s="27"/>
      <c r="M144" s="27"/>
      <c r="O144" s="27"/>
      <c r="R144" s="27"/>
    </row>
    <row r="145" spans="5:18" ht="21" customHeight="1">
      <c r="E145" s="27"/>
      <c r="G145" s="27"/>
      <c r="I145" s="27"/>
      <c r="K145" s="27"/>
      <c r="M145" s="27"/>
      <c r="O145" s="27"/>
      <c r="R145" s="27"/>
    </row>
    <row r="146" spans="5:18" ht="21" customHeight="1">
      <c r="E146" s="27"/>
      <c r="G146" s="27"/>
      <c r="I146" s="27"/>
      <c r="K146" s="27"/>
      <c r="M146" s="27"/>
      <c r="O146" s="27"/>
      <c r="R146" s="27"/>
    </row>
    <row r="147" spans="5:18" ht="21" customHeight="1">
      <c r="E147" s="27"/>
      <c r="G147" s="27"/>
      <c r="I147" s="27"/>
      <c r="K147" s="27"/>
      <c r="M147" s="27"/>
      <c r="O147" s="27"/>
      <c r="R147" s="27"/>
    </row>
    <row r="148" spans="5:18" ht="21" customHeight="1">
      <c r="E148" s="27"/>
      <c r="G148" s="27"/>
      <c r="I148" s="27"/>
      <c r="K148" s="27"/>
      <c r="M148" s="27"/>
      <c r="O148" s="27"/>
      <c r="R148" s="27"/>
    </row>
    <row r="149" spans="5:18" ht="21" customHeight="1">
      <c r="E149" s="27"/>
      <c r="G149" s="27"/>
      <c r="I149" s="27"/>
      <c r="K149" s="27"/>
      <c r="M149" s="27"/>
      <c r="O149" s="27"/>
      <c r="R149" s="27"/>
    </row>
    <row r="150" spans="5:18" ht="21" customHeight="1">
      <c r="E150" s="27"/>
      <c r="G150" s="27"/>
      <c r="I150" s="27"/>
      <c r="K150" s="27"/>
      <c r="M150" s="27"/>
      <c r="O150" s="27"/>
      <c r="R150" s="27"/>
    </row>
    <row r="151" spans="5:18" ht="21" customHeight="1">
      <c r="E151" s="27"/>
      <c r="G151" s="27"/>
      <c r="I151" s="27"/>
      <c r="K151" s="27"/>
      <c r="M151" s="27"/>
      <c r="O151" s="27"/>
      <c r="R151" s="27"/>
    </row>
    <row r="152" spans="5:18" ht="21" customHeight="1">
      <c r="E152" s="27"/>
      <c r="G152" s="27"/>
      <c r="I152" s="27"/>
      <c r="K152" s="27"/>
      <c r="M152" s="27"/>
      <c r="O152" s="27"/>
      <c r="R152" s="27"/>
    </row>
    <row r="153" spans="5:18" ht="21" customHeight="1">
      <c r="E153" s="27"/>
      <c r="G153" s="27"/>
      <c r="I153" s="27"/>
      <c r="K153" s="27"/>
      <c r="M153" s="27"/>
      <c r="O153" s="27"/>
      <c r="R153" s="27"/>
    </row>
    <row r="154" spans="5:18" ht="21" customHeight="1">
      <c r="E154" s="27"/>
      <c r="G154" s="27"/>
      <c r="I154" s="27"/>
      <c r="K154" s="27"/>
      <c r="M154" s="27"/>
      <c r="O154" s="27"/>
      <c r="R154" s="27"/>
    </row>
    <row r="155" spans="5:18" ht="21" customHeight="1">
      <c r="E155" s="27"/>
      <c r="G155" s="27"/>
      <c r="I155" s="27"/>
      <c r="K155" s="27"/>
      <c r="M155" s="27"/>
      <c r="O155" s="27"/>
      <c r="R155" s="27"/>
    </row>
    <row r="156" spans="5:18" ht="21" customHeight="1">
      <c r="E156" s="27"/>
      <c r="G156" s="27"/>
      <c r="I156" s="27"/>
      <c r="K156" s="27"/>
      <c r="M156" s="27"/>
      <c r="O156" s="27"/>
      <c r="R156" s="27"/>
    </row>
    <row r="157" spans="5:18" ht="21" customHeight="1">
      <c r="E157" s="27"/>
      <c r="G157" s="27"/>
      <c r="I157" s="27"/>
      <c r="K157" s="27"/>
      <c r="M157" s="27"/>
      <c r="O157" s="27"/>
      <c r="R157" s="27"/>
    </row>
    <row r="158" spans="5:18" ht="21" customHeight="1">
      <c r="E158" s="27"/>
      <c r="G158" s="27"/>
      <c r="I158" s="27"/>
      <c r="K158" s="27"/>
      <c r="M158" s="27"/>
      <c r="O158" s="27"/>
      <c r="R158" s="27"/>
    </row>
    <row r="159" spans="5:18" ht="21" customHeight="1">
      <c r="E159" s="27"/>
      <c r="G159" s="27"/>
      <c r="I159" s="27"/>
      <c r="K159" s="27"/>
      <c r="M159" s="27"/>
      <c r="O159" s="27"/>
      <c r="R159" s="27"/>
    </row>
    <row r="160" spans="5:18" ht="21" customHeight="1">
      <c r="E160" s="27"/>
      <c r="G160" s="27"/>
      <c r="I160" s="27"/>
      <c r="K160" s="27"/>
      <c r="M160" s="27"/>
      <c r="O160" s="27"/>
      <c r="R160" s="27"/>
    </row>
    <row r="161" spans="5:18" ht="21" customHeight="1">
      <c r="E161" s="27"/>
      <c r="G161" s="27"/>
      <c r="I161" s="27"/>
      <c r="K161" s="27"/>
      <c r="M161" s="27"/>
      <c r="O161" s="27"/>
      <c r="R161" s="27"/>
    </row>
    <row r="162" spans="5:18" ht="21" customHeight="1">
      <c r="E162" s="27"/>
      <c r="G162" s="27"/>
      <c r="I162" s="27"/>
      <c r="K162" s="27"/>
      <c r="M162" s="27"/>
      <c r="O162" s="27"/>
      <c r="R162" s="27"/>
    </row>
    <row r="163" spans="5:18" ht="21" customHeight="1">
      <c r="E163" s="27"/>
      <c r="G163" s="27"/>
      <c r="I163" s="27"/>
      <c r="K163" s="27"/>
      <c r="M163" s="27"/>
      <c r="O163" s="27"/>
      <c r="R163" s="27"/>
    </row>
    <row r="164" spans="5:18" ht="21" customHeight="1">
      <c r="E164" s="27"/>
      <c r="G164" s="27"/>
      <c r="I164" s="27"/>
      <c r="K164" s="27"/>
      <c r="M164" s="27"/>
      <c r="O164" s="27"/>
      <c r="R164" s="27"/>
    </row>
    <row r="165" spans="5:18" ht="21" customHeight="1">
      <c r="E165" s="27"/>
      <c r="G165" s="27"/>
      <c r="I165" s="27"/>
      <c r="K165" s="27"/>
      <c r="M165" s="27"/>
      <c r="O165" s="27"/>
      <c r="R165" s="27"/>
    </row>
    <row r="166" spans="5:18" ht="21" customHeight="1">
      <c r="E166" s="27"/>
      <c r="G166" s="27"/>
      <c r="I166" s="27"/>
      <c r="K166" s="27"/>
      <c r="M166" s="27"/>
      <c r="O166" s="27"/>
      <c r="R166" s="27"/>
    </row>
    <row r="167" spans="5:18" ht="21" customHeight="1">
      <c r="E167" s="27"/>
      <c r="G167" s="27"/>
      <c r="I167" s="27"/>
      <c r="K167" s="27"/>
      <c r="M167" s="27"/>
      <c r="O167" s="27"/>
      <c r="R167" s="27"/>
    </row>
    <row r="168" spans="5:18" ht="21" customHeight="1">
      <c r="E168" s="27"/>
      <c r="G168" s="27"/>
      <c r="I168" s="27"/>
      <c r="K168" s="27"/>
      <c r="M168" s="27"/>
      <c r="O168" s="27"/>
      <c r="R168" s="27"/>
    </row>
    <row r="169" spans="5:18" ht="21" customHeight="1">
      <c r="E169" s="27"/>
      <c r="G169" s="27"/>
      <c r="I169" s="27"/>
      <c r="K169" s="27"/>
      <c r="M169" s="27"/>
      <c r="O169" s="27"/>
      <c r="R169" s="27"/>
    </row>
    <row r="170" spans="5:18" ht="21" customHeight="1">
      <c r="E170" s="27"/>
      <c r="G170" s="27"/>
      <c r="I170" s="27"/>
      <c r="K170" s="27"/>
      <c r="M170" s="27"/>
      <c r="O170" s="27"/>
      <c r="R170" s="27"/>
    </row>
    <row r="171" spans="5:18" ht="21" customHeight="1">
      <c r="E171" s="27"/>
      <c r="G171" s="27"/>
      <c r="I171" s="27"/>
      <c r="K171" s="27"/>
      <c r="M171" s="27"/>
      <c r="O171" s="27"/>
      <c r="R171" s="27"/>
    </row>
    <row r="172" spans="5:18" ht="21" customHeight="1">
      <c r="E172" s="27"/>
      <c r="G172" s="27"/>
      <c r="I172" s="27"/>
      <c r="K172" s="27"/>
      <c r="M172" s="27"/>
      <c r="O172" s="27"/>
      <c r="R172" s="27"/>
    </row>
    <row r="173" spans="5:18" ht="21" customHeight="1">
      <c r="E173" s="27"/>
      <c r="G173" s="27"/>
      <c r="I173" s="27"/>
      <c r="K173" s="27"/>
      <c r="M173" s="27"/>
      <c r="O173" s="27"/>
      <c r="R173" s="27"/>
    </row>
    <row r="174" spans="5:18" ht="21" customHeight="1">
      <c r="E174" s="27"/>
      <c r="G174" s="27"/>
      <c r="I174" s="27"/>
      <c r="K174" s="27"/>
      <c r="M174" s="27"/>
      <c r="O174" s="27"/>
      <c r="R174" s="27"/>
    </row>
    <row r="175" spans="5:18" ht="21" customHeight="1">
      <c r="E175" s="27"/>
      <c r="G175" s="27"/>
      <c r="I175" s="27"/>
      <c r="K175" s="27"/>
      <c r="M175" s="27"/>
      <c r="O175" s="27"/>
      <c r="R175" s="27"/>
    </row>
    <row r="176" spans="5:18" ht="21" customHeight="1">
      <c r="E176" s="27"/>
      <c r="G176" s="27"/>
      <c r="I176" s="27"/>
      <c r="K176" s="27"/>
      <c r="M176" s="27"/>
      <c r="O176" s="27"/>
      <c r="R176" s="27"/>
    </row>
    <row r="177" spans="5:18" ht="21" customHeight="1">
      <c r="E177" s="27"/>
      <c r="G177" s="27"/>
      <c r="I177" s="27"/>
      <c r="K177" s="27"/>
      <c r="M177" s="27"/>
      <c r="O177" s="27"/>
      <c r="R177" s="27"/>
    </row>
    <row r="178" spans="5:18" ht="21" customHeight="1">
      <c r="E178" s="27"/>
      <c r="G178" s="27"/>
      <c r="I178" s="27"/>
      <c r="K178" s="27"/>
      <c r="M178" s="27"/>
      <c r="O178" s="27"/>
      <c r="R178" s="27"/>
    </row>
    <row r="179" spans="5:18" ht="21" customHeight="1">
      <c r="E179" s="27"/>
      <c r="G179" s="27"/>
      <c r="I179" s="27"/>
      <c r="K179" s="27"/>
      <c r="M179" s="27"/>
      <c r="O179" s="27"/>
      <c r="R179" s="27"/>
    </row>
    <row r="180" spans="5:18" ht="21" customHeight="1">
      <c r="E180" s="27"/>
      <c r="G180" s="27"/>
      <c r="I180" s="27"/>
      <c r="K180" s="27"/>
      <c r="M180" s="27"/>
      <c r="O180" s="27"/>
      <c r="R180" s="27"/>
    </row>
    <row r="181" spans="5:18" ht="21" customHeight="1">
      <c r="E181" s="27"/>
      <c r="G181" s="27"/>
      <c r="I181" s="27"/>
      <c r="K181" s="27"/>
      <c r="M181" s="27"/>
      <c r="O181" s="27"/>
      <c r="R181" s="27"/>
    </row>
    <row r="182" spans="5:18" ht="21" customHeight="1">
      <c r="E182" s="27"/>
      <c r="G182" s="27"/>
      <c r="I182" s="27"/>
      <c r="K182" s="27"/>
      <c r="M182" s="27"/>
      <c r="O182" s="27"/>
      <c r="R182" s="27"/>
    </row>
    <row r="183" spans="5:18" ht="21" customHeight="1">
      <c r="E183" s="27"/>
      <c r="G183" s="27"/>
      <c r="I183" s="27"/>
      <c r="K183" s="27"/>
      <c r="M183" s="27"/>
      <c r="O183" s="27"/>
      <c r="R183" s="27"/>
    </row>
    <row r="184" spans="5:18" ht="21" customHeight="1">
      <c r="E184" s="27"/>
      <c r="G184" s="27"/>
      <c r="I184" s="27"/>
      <c r="K184" s="27"/>
      <c r="M184" s="27"/>
      <c r="O184" s="27"/>
      <c r="R184" s="27"/>
    </row>
    <row r="185" spans="5:18" ht="21" customHeight="1">
      <c r="E185" s="27"/>
      <c r="G185" s="27"/>
      <c r="I185" s="27"/>
      <c r="K185" s="27"/>
      <c r="M185" s="27"/>
      <c r="O185" s="27"/>
      <c r="R185" s="27"/>
    </row>
    <row r="186" spans="5:18" ht="21" customHeight="1">
      <c r="E186" s="27"/>
      <c r="G186" s="27"/>
      <c r="I186" s="27"/>
      <c r="K186" s="27"/>
      <c r="M186" s="27"/>
      <c r="O186" s="27"/>
      <c r="R186" s="27"/>
    </row>
    <row r="187" spans="5:18" ht="21" customHeight="1">
      <c r="E187" s="27"/>
      <c r="G187" s="27"/>
      <c r="I187" s="27"/>
      <c r="K187" s="27"/>
      <c r="M187" s="27"/>
      <c r="O187" s="27"/>
      <c r="R187" s="27"/>
    </row>
    <row r="188" spans="5:18" ht="21" customHeight="1">
      <c r="E188" s="27"/>
      <c r="G188" s="27"/>
      <c r="I188" s="27"/>
      <c r="K188" s="27"/>
      <c r="M188" s="27"/>
      <c r="O188" s="27"/>
      <c r="R188" s="27"/>
    </row>
    <row r="189" spans="5:18" ht="21" customHeight="1">
      <c r="E189" s="27"/>
      <c r="G189" s="27"/>
      <c r="I189" s="27"/>
      <c r="K189" s="27"/>
      <c r="M189" s="27"/>
      <c r="O189" s="27"/>
      <c r="R189" s="27"/>
    </row>
    <row r="190" spans="5:18" ht="21" customHeight="1">
      <c r="E190" s="27"/>
      <c r="G190" s="27"/>
      <c r="I190" s="27"/>
      <c r="K190" s="27"/>
      <c r="M190" s="27"/>
      <c r="O190" s="27"/>
      <c r="R190" s="27"/>
    </row>
    <row r="191" spans="5:18" ht="21" customHeight="1">
      <c r="E191" s="27"/>
      <c r="G191" s="27"/>
      <c r="I191" s="27"/>
      <c r="K191" s="27"/>
      <c r="M191" s="27"/>
      <c r="O191" s="27"/>
      <c r="R191" s="27"/>
    </row>
    <row r="192" spans="5:18" ht="21" customHeight="1">
      <c r="E192" s="27"/>
      <c r="G192" s="27"/>
      <c r="I192" s="27"/>
      <c r="K192" s="27"/>
      <c r="M192" s="27"/>
      <c r="O192" s="27"/>
      <c r="R192" s="27"/>
    </row>
    <row r="193" spans="5:18" ht="21" customHeight="1">
      <c r="E193" s="27"/>
      <c r="G193" s="27"/>
      <c r="I193" s="27"/>
      <c r="K193" s="27"/>
      <c r="M193" s="27"/>
      <c r="O193" s="27"/>
      <c r="R193" s="27"/>
    </row>
    <row r="194" spans="5:18" ht="21" customHeight="1">
      <c r="E194" s="27"/>
      <c r="G194" s="27"/>
      <c r="I194" s="27"/>
      <c r="K194" s="27"/>
      <c r="M194" s="27"/>
      <c r="O194" s="27"/>
      <c r="R194" s="27"/>
    </row>
    <row r="195" spans="5:18" ht="21" customHeight="1">
      <c r="E195" s="27"/>
      <c r="G195" s="27"/>
      <c r="I195" s="27"/>
      <c r="K195" s="27"/>
      <c r="M195" s="27"/>
      <c r="O195" s="27"/>
      <c r="R195" s="27"/>
    </row>
    <row r="196" spans="5:18" ht="21" customHeight="1">
      <c r="E196" s="27"/>
      <c r="G196" s="27"/>
      <c r="I196" s="27"/>
      <c r="K196" s="27"/>
      <c r="M196" s="27"/>
      <c r="O196" s="27"/>
      <c r="R196" s="27"/>
    </row>
    <row r="197" spans="5:18" ht="21" customHeight="1">
      <c r="E197" s="27"/>
      <c r="G197" s="27"/>
      <c r="I197" s="27"/>
      <c r="K197" s="27"/>
      <c r="M197" s="27"/>
      <c r="O197" s="27"/>
      <c r="R197" s="27"/>
    </row>
    <row r="198" spans="5:18" ht="21" customHeight="1">
      <c r="E198" s="27"/>
      <c r="G198" s="27"/>
      <c r="I198" s="27"/>
      <c r="K198" s="27"/>
      <c r="M198" s="27"/>
      <c r="O198" s="27"/>
      <c r="R198" s="27"/>
    </row>
    <row r="199" spans="5:18" ht="21" customHeight="1">
      <c r="E199" s="27"/>
      <c r="G199" s="27"/>
      <c r="I199" s="27"/>
      <c r="K199" s="27"/>
      <c r="M199" s="27"/>
      <c r="O199" s="27"/>
      <c r="R199" s="27"/>
    </row>
    <row r="200" spans="5:18" ht="21" customHeight="1">
      <c r="E200" s="27"/>
      <c r="G200" s="27"/>
      <c r="I200" s="27"/>
      <c r="K200" s="27"/>
      <c r="M200" s="27"/>
      <c r="O200" s="27"/>
      <c r="R200" s="27"/>
    </row>
    <row r="201" spans="5:18" ht="21" customHeight="1">
      <c r="E201" s="27"/>
      <c r="G201" s="27"/>
      <c r="I201" s="27"/>
      <c r="K201" s="27"/>
      <c r="M201" s="27"/>
      <c r="O201" s="27"/>
      <c r="R201" s="27"/>
    </row>
    <row r="202" spans="5:18" ht="21" customHeight="1">
      <c r="E202" s="27"/>
      <c r="G202" s="27"/>
      <c r="I202" s="27"/>
      <c r="K202" s="27"/>
      <c r="M202" s="27"/>
      <c r="O202" s="27"/>
      <c r="R202" s="27"/>
    </row>
    <row r="203" spans="5:18" ht="21" customHeight="1">
      <c r="E203" s="27"/>
      <c r="G203" s="27"/>
      <c r="I203" s="27"/>
      <c r="K203" s="27"/>
      <c r="M203" s="27"/>
      <c r="O203" s="27"/>
      <c r="R203" s="27"/>
    </row>
    <row r="204" spans="5:18" ht="21" customHeight="1">
      <c r="E204" s="27"/>
      <c r="G204" s="27"/>
      <c r="I204" s="27"/>
      <c r="K204" s="27"/>
      <c r="M204" s="27"/>
      <c r="O204" s="27"/>
      <c r="R204" s="27"/>
    </row>
    <row r="205" spans="5:18" ht="21" customHeight="1">
      <c r="E205" s="27"/>
      <c r="G205" s="27"/>
      <c r="I205" s="27"/>
      <c r="K205" s="27"/>
      <c r="M205" s="27"/>
      <c r="O205" s="27"/>
      <c r="R205" s="27"/>
    </row>
    <row r="206" spans="5:18" ht="21" customHeight="1">
      <c r="E206" s="27"/>
      <c r="G206" s="27"/>
      <c r="I206" s="27"/>
      <c r="K206" s="27"/>
      <c r="M206" s="27"/>
      <c r="O206" s="27"/>
      <c r="R206" s="27"/>
    </row>
    <row r="207" spans="5:18" ht="21" customHeight="1">
      <c r="E207" s="27"/>
      <c r="G207" s="27"/>
      <c r="I207" s="27"/>
      <c r="K207" s="27"/>
      <c r="M207" s="27"/>
      <c r="O207" s="27"/>
      <c r="R207" s="27"/>
    </row>
    <row r="208" spans="5:18" ht="21" customHeight="1">
      <c r="E208" s="27"/>
      <c r="G208" s="27"/>
      <c r="I208" s="27"/>
      <c r="K208" s="27"/>
      <c r="M208" s="27"/>
      <c r="O208" s="27"/>
      <c r="R208" s="27"/>
    </row>
    <row r="209" spans="5:18" ht="21" customHeight="1">
      <c r="E209" s="27"/>
      <c r="G209" s="27"/>
      <c r="I209" s="27"/>
      <c r="K209" s="27"/>
      <c r="M209" s="27"/>
      <c r="O209" s="27"/>
      <c r="R209" s="27"/>
    </row>
    <row r="210" spans="5:18" ht="21" customHeight="1">
      <c r="E210" s="27"/>
      <c r="G210" s="27"/>
      <c r="I210" s="27"/>
      <c r="K210" s="27"/>
      <c r="M210" s="27"/>
      <c r="O210" s="27"/>
      <c r="R210" s="27"/>
    </row>
    <row r="211" spans="5:18" ht="21" customHeight="1">
      <c r="E211" s="27"/>
      <c r="G211" s="27"/>
      <c r="I211" s="27"/>
      <c r="K211" s="27"/>
      <c r="M211" s="27"/>
      <c r="O211" s="27"/>
      <c r="R211" s="27"/>
    </row>
    <row r="212" spans="5:18" ht="21" customHeight="1">
      <c r="E212" s="27"/>
      <c r="G212" s="27"/>
      <c r="I212" s="27"/>
      <c r="K212" s="27"/>
      <c r="M212" s="27"/>
      <c r="O212" s="27"/>
      <c r="R212" s="27"/>
    </row>
    <row r="213" spans="5:18" ht="21" customHeight="1">
      <c r="E213" s="27"/>
      <c r="G213" s="27"/>
      <c r="I213" s="27"/>
      <c r="K213" s="27"/>
      <c r="M213" s="27"/>
      <c r="O213" s="27"/>
      <c r="R213" s="27"/>
    </row>
    <row r="214" spans="5:18" ht="21" customHeight="1">
      <c r="E214" s="27"/>
      <c r="G214" s="27"/>
      <c r="I214" s="27"/>
      <c r="K214" s="27"/>
      <c r="M214" s="27"/>
      <c r="O214" s="27"/>
      <c r="R214" s="27"/>
    </row>
    <row r="215" spans="5:18" ht="21" customHeight="1">
      <c r="E215" s="27"/>
      <c r="G215" s="27"/>
      <c r="I215" s="27"/>
      <c r="K215" s="27"/>
      <c r="M215" s="27"/>
      <c r="O215" s="27"/>
      <c r="R215" s="27"/>
    </row>
    <row r="216" spans="5:18" ht="21" customHeight="1">
      <c r="E216" s="27"/>
      <c r="G216" s="27"/>
      <c r="I216" s="27"/>
      <c r="K216" s="27"/>
      <c r="M216" s="27"/>
      <c r="O216" s="27"/>
      <c r="R216" s="27"/>
    </row>
    <row r="217" spans="5:18" ht="21" customHeight="1">
      <c r="E217" s="27"/>
      <c r="G217" s="27"/>
      <c r="I217" s="27"/>
      <c r="K217" s="27"/>
      <c r="M217" s="27"/>
      <c r="O217" s="27"/>
      <c r="R217" s="27"/>
    </row>
    <row r="218" spans="5:18" ht="21" customHeight="1">
      <c r="E218" s="27"/>
      <c r="G218" s="27"/>
      <c r="I218" s="27"/>
      <c r="K218" s="27"/>
      <c r="M218" s="27"/>
      <c r="O218" s="27"/>
      <c r="R218" s="27"/>
    </row>
    <row r="219" spans="5:18" ht="21" customHeight="1">
      <c r="E219" s="27"/>
      <c r="G219" s="27"/>
      <c r="I219" s="27"/>
      <c r="K219" s="27"/>
      <c r="M219" s="27"/>
      <c r="O219" s="27"/>
      <c r="R219" s="27"/>
    </row>
    <row r="220" spans="5:18" ht="21" customHeight="1">
      <c r="E220" s="27"/>
      <c r="G220" s="27"/>
      <c r="I220" s="27"/>
      <c r="K220" s="27"/>
      <c r="M220" s="27"/>
      <c r="O220" s="27"/>
      <c r="R220" s="27"/>
    </row>
    <row r="221" spans="5:18" ht="21" customHeight="1">
      <c r="E221" s="27"/>
      <c r="G221" s="27"/>
      <c r="I221" s="27"/>
      <c r="K221" s="27"/>
      <c r="M221" s="27"/>
      <c r="O221" s="27"/>
      <c r="R221" s="27"/>
    </row>
    <row r="222" spans="5:18" ht="21" customHeight="1">
      <c r="E222" s="27"/>
      <c r="G222" s="27"/>
      <c r="I222" s="27"/>
      <c r="K222" s="27"/>
      <c r="M222" s="27"/>
      <c r="O222" s="27"/>
      <c r="R222" s="27"/>
    </row>
    <row r="223" spans="5:18" ht="21" customHeight="1">
      <c r="E223" s="27"/>
      <c r="G223" s="27"/>
      <c r="I223" s="27"/>
      <c r="K223" s="27"/>
      <c r="M223" s="27"/>
      <c r="O223" s="27"/>
      <c r="R223" s="27"/>
    </row>
    <row r="224" spans="5:18" ht="21" customHeight="1">
      <c r="E224" s="27"/>
      <c r="G224" s="27"/>
      <c r="I224" s="27"/>
      <c r="K224" s="27"/>
      <c r="M224" s="27"/>
      <c r="O224" s="27"/>
      <c r="R224" s="27"/>
    </row>
    <row r="225" spans="5:18" ht="21" customHeight="1">
      <c r="E225" s="27"/>
      <c r="G225" s="27"/>
      <c r="I225" s="27"/>
      <c r="K225" s="27"/>
      <c r="M225" s="27"/>
      <c r="O225" s="27"/>
      <c r="R225" s="27"/>
    </row>
    <row r="226" spans="5:18" ht="21" customHeight="1">
      <c r="E226" s="27"/>
      <c r="G226" s="27"/>
      <c r="I226" s="27"/>
      <c r="K226" s="27"/>
      <c r="M226" s="27"/>
      <c r="O226" s="27"/>
      <c r="R226" s="27"/>
    </row>
    <row r="227" spans="5:18" ht="21" customHeight="1">
      <c r="E227" s="27"/>
      <c r="G227" s="27"/>
      <c r="I227" s="27"/>
      <c r="K227" s="27"/>
      <c r="M227" s="27"/>
      <c r="O227" s="27"/>
      <c r="R227" s="27"/>
    </row>
    <row r="228" spans="5:18" ht="21" customHeight="1">
      <c r="E228" s="27"/>
      <c r="G228" s="27"/>
      <c r="I228" s="27"/>
      <c r="K228" s="27"/>
      <c r="M228" s="27"/>
      <c r="O228" s="27"/>
      <c r="R228" s="27"/>
    </row>
    <row r="229" spans="5:18" ht="21" customHeight="1">
      <c r="E229" s="27"/>
      <c r="G229" s="27"/>
      <c r="I229" s="27"/>
      <c r="K229" s="27"/>
      <c r="M229" s="27"/>
      <c r="O229" s="27"/>
      <c r="R229" s="27"/>
    </row>
    <row r="230" spans="5:18" ht="21" customHeight="1">
      <c r="E230" s="27"/>
      <c r="G230" s="27"/>
      <c r="I230" s="27"/>
      <c r="K230" s="27"/>
      <c r="M230" s="27"/>
      <c r="O230" s="27"/>
      <c r="R230" s="27"/>
    </row>
    <row r="231" spans="5:18" ht="21" customHeight="1">
      <c r="E231" s="27"/>
      <c r="G231" s="27"/>
      <c r="I231" s="27"/>
      <c r="K231" s="27"/>
      <c r="M231" s="27"/>
      <c r="O231" s="27"/>
      <c r="R231" s="27"/>
    </row>
    <row r="232" spans="5:18" ht="21" customHeight="1">
      <c r="E232" s="27"/>
      <c r="G232" s="27"/>
      <c r="I232" s="27"/>
      <c r="K232" s="27"/>
      <c r="M232" s="27"/>
      <c r="O232" s="27"/>
      <c r="R232" s="27"/>
    </row>
    <row r="233" spans="5:18" ht="21" customHeight="1">
      <c r="E233" s="27"/>
      <c r="G233" s="27"/>
      <c r="I233" s="27"/>
      <c r="K233" s="27"/>
      <c r="M233" s="27"/>
      <c r="O233" s="27"/>
      <c r="R233" s="27"/>
    </row>
    <row r="234" spans="5:18" ht="21" customHeight="1">
      <c r="E234" s="27"/>
      <c r="G234" s="27"/>
      <c r="I234" s="27"/>
      <c r="K234" s="27"/>
      <c r="M234" s="27"/>
      <c r="O234" s="27"/>
      <c r="R234" s="27"/>
    </row>
    <row r="235" spans="5:18" ht="21" customHeight="1">
      <c r="E235" s="27"/>
      <c r="G235" s="27"/>
      <c r="I235" s="27"/>
      <c r="K235" s="27"/>
      <c r="M235" s="27"/>
      <c r="O235" s="27"/>
      <c r="R235" s="27"/>
    </row>
    <row r="236" spans="5:18" ht="21" customHeight="1">
      <c r="E236" s="27"/>
      <c r="G236" s="27"/>
      <c r="I236" s="27"/>
      <c r="K236" s="27"/>
      <c r="M236" s="27"/>
      <c r="O236" s="27"/>
      <c r="R236" s="27"/>
    </row>
    <row r="237" spans="5:18" ht="21" customHeight="1">
      <c r="E237" s="27"/>
      <c r="G237" s="27"/>
      <c r="I237" s="27"/>
      <c r="K237" s="27"/>
      <c r="M237" s="27"/>
      <c r="O237" s="27"/>
      <c r="R237" s="27"/>
    </row>
    <row r="238" spans="5:18" ht="21" customHeight="1">
      <c r="E238" s="27"/>
      <c r="G238" s="27"/>
      <c r="I238" s="27"/>
      <c r="K238" s="27"/>
      <c r="M238" s="27"/>
      <c r="O238" s="27"/>
      <c r="R238" s="27"/>
    </row>
    <row r="239" spans="5:18" ht="21" customHeight="1">
      <c r="E239" s="27"/>
      <c r="G239" s="27"/>
      <c r="I239" s="27"/>
      <c r="K239" s="27"/>
      <c r="M239" s="27"/>
      <c r="O239" s="27"/>
      <c r="R239" s="27"/>
    </row>
    <row r="240" spans="5:18" ht="21" customHeight="1">
      <c r="E240" s="27"/>
      <c r="G240" s="27"/>
      <c r="I240" s="27"/>
      <c r="K240" s="27"/>
      <c r="M240" s="27"/>
      <c r="O240" s="27"/>
      <c r="R240" s="27"/>
    </row>
    <row r="241" spans="5:18" ht="21" customHeight="1">
      <c r="E241" s="27"/>
      <c r="G241" s="27"/>
      <c r="I241" s="27"/>
      <c r="K241" s="27"/>
      <c r="M241" s="27"/>
      <c r="O241" s="27"/>
      <c r="R241" s="27"/>
    </row>
    <row r="242" spans="5:18" ht="21" customHeight="1">
      <c r="E242" s="27"/>
      <c r="G242" s="27"/>
      <c r="I242" s="27"/>
      <c r="K242" s="27"/>
      <c r="M242" s="27"/>
      <c r="O242" s="27"/>
      <c r="R242" s="27"/>
    </row>
    <row r="243" spans="5:18" ht="21" customHeight="1">
      <c r="E243" s="27"/>
      <c r="G243" s="27"/>
      <c r="I243" s="27"/>
      <c r="K243" s="27"/>
      <c r="M243" s="27"/>
      <c r="O243" s="27"/>
      <c r="R243" s="27"/>
    </row>
    <row r="244" spans="5:18" ht="21" customHeight="1">
      <c r="E244" s="27"/>
      <c r="G244" s="27"/>
      <c r="I244" s="27"/>
      <c r="K244" s="27"/>
      <c r="M244" s="27"/>
      <c r="O244" s="27"/>
      <c r="R244" s="27"/>
    </row>
    <row r="245" spans="5:18" ht="21" customHeight="1">
      <c r="E245" s="27"/>
      <c r="G245" s="27"/>
      <c r="I245" s="27"/>
      <c r="K245" s="27"/>
      <c r="M245" s="27"/>
      <c r="O245" s="27"/>
      <c r="R245" s="27"/>
    </row>
    <row r="246" spans="5:18" ht="21" customHeight="1">
      <c r="E246" s="27"/>
      <c r="G246" s="27"/>
      <c r="I246" s="27"/>
      <c r="K246" s="27"/>
      <c r="M246" s="27"/>
      <c r="O246" s="27"/>
      <c r="R246" s="27"/>
    </row>
    <row r="247" spans="5:18" ht="21" customHeight="1">
      <c r="E247" s="27"/>
      <c r="G247" s="27"/>
      <c r="I247" s="27"/>
      <c r="K247" s="27"/>
      <c r="M247" s="27"/>
      <c r="O247" s="27"/>
      <c r="R247" s="27"/>
    </row>
    <row r="248" spans="5:18" ht="21" customHeight="1">
      <c r="E248" s="27"/>
      <c r="G248" s="27"/>
      <c r="I248" s="27"/>
      <c r="K248" s="27"/>
      <c r="M248" s="27"/>
      <c r="O248" s="27"/>
      <c r="R248" s="27"/>
    </row>
    <row r="249" spans="5:18" ht="21" customHeight="1">
      <c r="E249" s="27"/>
      <c r="G249" s="27"/>
      <c r="I249" s="27"/>
      <c r="K249" s="27"/>
      <c r="M249" s="27"/>
      <c r="O249" s="27"/>
      <c r="R249" s="27"/>
    </row>
    <row r="250" spans="5:18" ht="21" customHeight="1">
      <c r="E250" s="27"/>
      <c r="G250" s="27"/>
      <c r="I250" s="27"/>
      <c r="K250" s="27"/>
      <c r="M250" s="27"/>
      <c r="O250" s="27"/>
      <c r="R250" s="27"/>
    </row>
    <row r="251" spans="5:18" ht="21" customHeight="1">
      <c r="E251" s="27"/>
      <c r="G251" s="27"/>
      <c r="I251" s="27"/>
      <c r="K251" s="27"/>
      <c r="M251" s="27"/>
      <c r="O251" s="27"/>
      <c r="R251" s="27"/>
    </row>
    <row r="252" spans="5:18" ht="21" customHeight="1">
      <c r="E252" s="27"/>
      <c r="G252" s="27"/>
      <c r="I252" s="27"/>
      <c r="K252" s="27"/>
      <c r="M252" s="27"/>
      <c r="O252" s="27"/>
      <c r="R252" s="27"/>
    </row>
    <row r="253" spans="5:18" ht="21" customHeight="1">
      <c r="E253" s="27"/>
      <c r="G253" s="27"/>
      <c r="I253" s="27"/>
      <c r="K253" s="27"/>
      <c r="M253" s="27"/>
      <c r="O253" s="27"/>
      <c r="R253" s="27"/>
    </row>
    <row r="254" spans="5:18" ht="21" customHeight="1">
      <c r="E254" s="27"/>
      <c r="G254" s="27"/>
      <c r="I254" s="27"/>
      <c r="K254" s="27"/>
      <c r="M254" s="27"/>
      <c r="O254" s="27"/>
      <c r="R254" s="27"/>
    </row>
    <row r="255" spans="5:18" ht="21" customHeight="1">
      <c r="E255" s="27"/>
      <c r="G255" s="27"/>
      <c r="I255" s="27"/>
      <c r="K255" s="27"/>
      <c r="M255" s="27"/>
      <c r="O255" s="27"/>
      <c r="R255" s="27"/>
    </row>
    <row r="256" spans="5:18" ht="21" customHeight="1">
      <c r="E256" s="27"/>
      <c r="G256" s="27"/>
      <c r="I256" s="27"/>
      <c r="K256" s="27"/>
      <c r="M256" s="27"/>
      <c r="O256" s="27"/>
      <c r="R256" s="27"/>
    </row>
    <row r="257" spans="5:18" ht="21" customHeight="1">
      <c r="E257" s="27"/>
      <c r="G257" s="27"/>
      <c r="I257" s="27"/>
      <c r="K257" s="27"/>
      <c r="M257" s="27"/>
      <c r="O257" s="27"/>
      <c r="R257" s="27"/>
    </row>
    <row r="258" spans="5:18" ht="21" customHeight="1">
      <c r="E258" s="27"/>
      <c r="G258" s="27"/>
      <c r="I258" s="27"/>
      <c r="K258" s="27"/>
      <c r="M258" s="27"/>
      <c r="O258" s="27"/>
      <c r="R258" s="27"/>
    </row>
    <row r="259" spans="5:18" ht="21" customHeight="1">
      <c r="E259" s="27"/>
      <c r="G259" s="27"/>
      <c r="I259" s="27"/>
      <c r="K259" s="27"/>
      <c r="M259" s="27"/>
      <c r="O259" s="27"/>
      <c r="R259" s="27"/>
    </row>
    <row r="260" spans="5:18" ht="21" customHeight="1">
      <c r="E260" s="27"/>
      <c r="G260" s="27"/>
      <c r="I260" s="27"/>
      <c r="K260" s="27"/>
      <c r="M260" s="27"/>
      <c r="O260" s="27"/>
      <c r="R260" s="27"/>
    </row>
    <row r="261" spans="5:18" ht="21" customHeight="1">
      <c r="E261" s="27"/>
      <c r="G261" s="27"/>
      <c r="I261" s="27"/>
      <c r="K261" s="27"/>
      <c r="M261" s="27"/>
      <c r="O261" s="27"/>
      <c r="R261" s="27"/>
    </row>
    <row r="262" spans="5:18" ht="21" customHeight="1">
      <c r="E262" s="27"/>
      <c r="G262" s="27"/>
      <c r="I262" s="27"/>
      <c r="K262" s="27"/>
      <c r="M262" s="27"/>
      <c r="O262" s="27"/>
      <c r="R262" s="27"/>
    </row>
    <row r="263" spans="5:18" ht="21" customHeight="1">
      <c r="E263" s="27"/>
      <c r="G263" s="27"/>
      <c r="I263" s="27"/>
      <c r="K263" s="27"/>
      <c r="M263" s="27"/>
      <c r="O263" s="27"/>
      <c r="R263" s="27"/>
    </row>
    <row r="264" spans="5:18" ht="21" customHeight="1">
      <c r="E264" s="27"/>
      <c r="G264" s="27"/>
      <c r="I264" s="27"/>
      <c r="K264" s="27"/>
      <c r="M264" s="27"/>
      <c r="O264" s="27"/>
      <c r="R264" s="27"/>
    </row>
    <row r="265" spans="5:18" ht="21" customHeight="1">
      <c r="E265" s="27"/>
      <c r="G265" s="27"/>
      <c r="I265" s="27"/>
      <c r="K265" s="27"/>
      <c r="M265" s="27"/>
      <c r="O265" s="27"/>
      <c r="R265" s="27"/>
    </row>
    <row r="266" spans="5:18" ht="21" customHeight="1">
      <c r="E266" s="27"/>
      <c r="G266" s="27"/>
      <c r="I266" s="27"/>
      <c r="K266" s="27"/>
      <c r="M266" s="27"/>
      <c r="O266" s="27"/>
      <c r="R266" s="27"/>
    </row>
    <row r="267" spans="5:18" ht="21" customHeight="1">
      <c r="E267" s="27"/>
      <c r="G267" s="27"/>
      <c r="I267" s="27"/>
      <c r="K267" s="27"/>
      <c r="M267" s="27"/>
      <c r="O267" s="27"/>
      <c r="R267" s="27"/>
    </row>
    <row r="268" spans="5:18" ht="21" customHeight="1">
      <c r="E268" s="27"/>
      <c r="G268" s="27"/>
      <c r="I268" s="27"/>
      <c r="K268" s="27"/>
      <c r="M268" s="27"/>
      <c r="O268" s="27"/>
      <c r="R268" s="27"/>
    </row>
    <row r="269" spans="5:18" ht="21" customHeight="1">
      <c r="E269" s="27"/>
      <c r="G269" s="27"/>
      <c r="I269" s="27"/>
      <c r="K269" s="27"/>
      <c r="M269" s="27"/>
      <c r="O269" s="27"/>
      <c r="R269" s="27"/>
    </row>
    <row r="270" spans="5:18" ht="21" customHeight="1">
      <c r="E270" s="27"/>
      <c r="G270" s="27"/>
      <c r="I270" s="27"/>
      <c r="K270" s="27"/>
      <c r="M270" s="27"/>
      <c r="O270" s="27"/>
      <c r="R270" s="27"/>
    </row>
    <row r="271" spans="5:18" ht="21" customHeight="1">
      <c r="E271" s="27"/>
      <c r="G271" s="27"/>
      <c r="I271" s="27"/>
      <c r="K271" s="27"/>
      <c r="M271" s="27"/>
      <c r="O271" s="27"/>
      <c r="R271" s="27"/>
    </row>
    <row r="272" spans="5:18" ht="21" customHeight="1">
      <c r="E272" s="27"/>
      <c r="G272" s="27"/>
      <c r="I272" s="27"/>
      <c r="K272" s="27"/>
      <c r="M272" s="27"/>
      <c r="O272" s="27"/>
      <c r="R272" s="27"/>
    </row>
    <row r="273" spans="5:18" ht="21" customHeight="1">
      <c r="E273" s="27"/>
      <c r="G273" s="27"/>
      <c r="I273" s="27"/>
      <c r="K273" s="27"/>
      <c r="M273" s="27"/>
      <c r="O273" s="27"/>
      <c r="R273" s="27"/>
    </row>
    <row r="274" spans="5:18" ht="21" customHeight="1">
      <c r="E274" s="27"/>
      <c r="G274" s="27"/>
      <c r="I274" s="27"/>
      <c r="K274" s="27"/>
      <c r="M274" s="27"/>
      <c r="O274" s="27"/>
      <c r="R274" s="27"/>
    </row>
    <row r="275" spans="5:18" ht="21" customHeight="1">
      <c r="E275" s="27"/>
      <c r="G275" s="27"/>
      <c r="I275" s="27"/>
      <c r="K275" s="27"/>
      <c r="M275" s="27"/>
      <c r="O275" s="27"/>
      <c r="R275" s="27"/>
    </row>
    <row r="276" spans="5:18" ht="21" customHeight="1">
      <c r="E276" s="27"/>
      <c r="G276" s="27"/>
      <c r="I276" s="27"/>
      <c r="K276" s="27"/>
      <c r="M276" s="27"/>
      <c r="O276" s="27"/>
      <c r="R276" s="27"/>
    </row>
    <row r="277" spans="5:18" ht="21" customHeight="1">
      <c r="E277" s="27"/>
      <c r="G277" s="27"/>
      <c r="I277" s="27"/>
      <c r="K277" s="27"/>
      <c r="M277" s="27"/>
      <c r="O277" s="27"/>
      <c r="R277" s="27"/>
    </row>
    <row r="278" spans="5:18" ht="21" customHeight="1">
      <c r="E278" s="27"/>
      <c r="G278" s="27"/>
      <c r="I278" s="27"/>
      <c r="K278" s="27"/>
      <c r="M278" s="27"/>
      <c r="O278" s="27"/>
      <c r="R278" s="27"/>
    </row>
    <row r="279" spans="5:18" ht="21" customHeight="1">
      <c r="E279" s="27"/>
      <c r="G279" s="27"/>
      <c r="I279" s="27"/>
      <c r="K279" s="27"/>
      <c r="M279" s="27"/>
      <c r="O279" s="27"/>
      <c r="R279" s="27"/>
    </row>
    <row r="280" spans="5:18" ht="21" customHeight="1">
      <c r="E280" s="27"/>
      <c r="G280" s="27"/>
      <c r="I280" s="27"/>
      <c r="K280" s="27"/>
      <c r="M280" s="27"/>
      <c r="O280" s="27"/>
      <c r="R280" s="27"/>
    </row>
    <row r="281" spans="5:18" ht="21" customHeight="1">
      <c r="E281" s="27"/>
      <c r="G281" s="27"/>
      <c r="I281" s="27"/>
      <c r="K281" s="27"/>
      <c r="M281" s="27"/>
      <c r="O281" s="27"/>
      <c r="R281" s="27"/>
    </row>
    <row r="282" spans="5:18" ht="21" customHeight="1">
      <c r="E282" s="27"/>
      <c r="G282" s="27"/>
      <c r="I282" s="27"/>
      <c r="K282" s="27"/>
      <c r="M282" s="27"/>
      <c r="O282" s="27"/>
      <c r="R282" s="27"/>
    </row>
    <row r="283" spans="5:18" ht="21" customHeight="1">
      <c r="E283" s="27"/>
      <c r="G283" s="27"/>
      <c r="I283" s="27"/>
      <c r="K283" s="27"/>
      <c r="M283" s="27"/>
      <c r="O283" s="27"/>
      <c r="R283" s="27"/>
    </row>
    <row r="284" spans="5:18" ht="21" customHeight="1">
      <c r="E284" s="27"/>
      <c r="G284" s="27"/>
      <c r="I284" s="27"/>
      <c r="K284" s="27"/>
      <c r="M284" s="27"/>
      <c r="O284" s="27"/>
      <c r="R284" s="27"/>
    </row>
    <row r="285" spans="5:18" ht="21" customHeight="1">
      <c r="E285" s="27"/>
      <c r="G285" s="27"/>
      <c r="I285" s="27"/>
      <c r="K285" s="27"/>
      <c r="M285" s="27"/>
      <c r="O285" s="27"/>
      <c r="R285" s="27"/>
    </row>
    <row r="286" spans="5:18" ht="21" customHeight="1">
      <c r="E286" s="27"/>
      <c r="G286" s="27"/>
      <c r="I286" s="27"/>
      <c r="K286" s="27"/>
      <c r="M286" s="27"/>
      <c r="O286" s="27"/>
      <c r="R286" s="27"/>
    </row>
    <row r="287" spans="5:18" ht="21" customHeight="1">
      <c r="E287" s="27"/>
      <c r="G287" s="27"/>
      <c r="I287" s="27"/>
      <c r="K287" s="27"/>
      <c r="M287" s="27"/>
      <c r="O287" s="27"/>
      <c r="R287" s="27"/>
    </row>
    <row r="288" spans="5:18" ht="21" customHeight="1">
      <c r="E288" s="27"/>
      <c r="G288" s="27"/>
      <c r="I288" s="27"/>
      <c r="K288" s="27"/>
      <c r="M288" s="27"/>
      <c r="O288" s="27"/>
      <c r="R288" s="27"/>
    </row>
    <row r="289" spans="5:18" ht="21" customHeight="1">
      <c r="E289" s="27"/>
      <c r="G289" s="27"/>
      <c r="I289" s="27"/>
      <c r="K289" s="27"/>
      <c r="M289" s="27"/>
      <c r="O289" s="27"/>
      <c r="R289" s="27"/>
    </row>
    <row r="290" spans="5:18" ht="21" customHeight="1">
      <c r="E290" s="27"/>
      <c r="G290" s="27"/>
      <c r="I290" s="27"/>
      <c r="K290" s="27"/>
      <c r="M290" s="27"/>
      <c r="O290" s="27"/>
      <c r="R290" s="27"/>
    </row>
    <row r="291" spans="5:18" ht="21" customHeight="1">
      <c r="E291" s="27"/>
      <c r="G291" s="27"/>
      <c r="I291" s="27"/>
      <c r="K291" s="27"/>
      <c r="M291" s="27"/>
      <c r="O291" s="27"/>
      <c r="R291" s="27"/>
    </row>
    <row r="292" spans="5:18" ht="21" customHeight="1">
      <c r="E292" s="27"/>
      <c r="G292" s="27"/>
      <c r="I292" s="27"/>
      <c r="K292" s="27"/>
      <c r="M292" s="27"/>
      <c r="O292" s="27"/>
      <c r="R292" s="27"/>
    </row>
    <row r="293" spans="5:18" ht="21" customHeight="1">
      <c r="E293" s="27"/>
      <c r="G293" s="27"/>
      <c r="I293" s="27"/>
      <c r="K293" s="27"/>
      <c r="M293" s="27"/>
      <c r="O293" s="27"/>
      <c r="R293" s="27"/>
    </row>
    <row r="294" spans="5:18" ht="21" customHeight="1">
      <c r="E294" s="27"/>
      <c r="G294" s="27"/>
      <c r="I294" s="27"/>
      <c r="K294" s="27"/>
      <c r="M294" s="27"/>
      <c r="O294" s="27"/>
      <c r="R294" s="27"/>
    </row>
    <row r="295" spans="5:18" ht="21" customHeight="1">
      <c r="E295" s="27"/>
      <c r="G295" s="27"/>
      <c r="I295" s="27"/>
      <c r="K295" s="27"/>
      <c r="M295" s="27"/>
      <c r="O295" s="27"/>
      <c r="R295" s="27"/>
    </row>
    <row r="296" spans="5:18" ht="21" customHeight="1">
      <c r="E296" s="27"/>
      <c r="G296" s="27"/>
      <c r="I296" s="27"/>
      <c r="K296" s="27"/>
      <c r="M296" s="27"/>
      <c r="O296" s="27"/>
      <c r="R296" s="27"/>
    </row>
    <row r="297" spans="5:18" ht="21" customHeight="1">
      <c r="E297" s="27"/>
      <c r="G297" s="27"/>
      <c r="I297" s="27"/>
      <c r="K297" s="27"/>
      <c r="M297" s="27"/>
      <c r="O297" s="27"/>
      <c r="R297" s="27"/>
    </row>
    <row r="298" spans="5:18" ht="21" customHeight="1">
      <c r="E298" s="27"/>
      <c r="G298" s="27"/>
      <c r="I298" s="27"/>
      <c r="K298" s="27"/>
      <c r="M298" s="27"/>
      <c r="O298" s="27"/>
      <c r="R298" s="27"/>
    </row>
    <row r="299" spans="5:18" ht="21" customHeight="1">
      <c r="E299" s="27"/>
      <c r="G299" s="27"/>
      <c r="I299" s="27"/>
      <c r="K299" s="27"/>
      <c r="M299" s="27"/>
      <c r="O299" s="27"/>
      <c r="R299" s="27"/>
    </row>
    <row r="300" spans="5:18" ht="21" customHeight="1">
      <c r="E300" s="27"/>
      <c r="G300" s="27"/>
      <c r="I300" s="27"/>
      <c r="K300" s="27"/>
      <c r="M300" s="27"/>
      <c r="O300" s="27"/>
      <c r="R300" s="27"/>
    </row>
    <row r="301" spans="5:18" ht="21" customHeight="1">
      <c r="E301" s="27"/>
      <c r="G301" s="27"/>
      <c r="I301" s="27"/>
      <c r="K301" s="27"/>
      <c r="M301" s="27"/>
      <c r="O301" s="27"/>
      <c r="R301" s="27"/>
    </row>
    <row r="302" spans="5:18" ht="21" customHeight="1">
      <c r="E302" s="27"/>
      <c r="G302" s="27"/>
      <c r="I302" s="27"/>
      <c r="K302" s="27"/>
      <c r="M302" s="27"/>
      <c r="O302" s="27"/>
      <c r="R302" s="27"/>
    </row>
    <row r="303" spans="5:18" ht="21" customHeight="1">
      <c r="E303" s="27"/>
      <c r="G303" s="27"/>
      <c r="I303" s="27"/>
      <c r="K303" s="27"/>
      <c r="M303" s="27"/>
      <c r="O303" s="27"/>
      <c r="R303" s="27"/>
    </row>
    <row r="304" spans="5:18" ht="21" customHeight="1">
      <c r="E304" s="27"/>
      <c r="G304" s="27"/>
      <c r="I304" s="27"/>
      <c r="K304" s="27"/>
      <c r="M304" s="27"/>
      <c r="O304" s="27"/>
      <c r="R304" s="27"/>
    </row>
    <row r="305" spans="5:18" ht="21" customHeight="1">
      <c r="E305" s="27"/>
      <c r="G305" s="27"/>
      <c r="I305" s="27"/>
      <c r="K305" s="27"/>
      <c r="M305" s="27"/>
      <c r="O305" s="27"/>
      <c r="R305" s="27"/>
    </row>
    <row r="306" spans="5:18" ht="21" customHeight="1">
      <c r="E306" s="27"/>
      <c r="G306" s="27"/>
      <c r="I306" s="27"/>
      <c r="K306" s="27"/>
      <c r="M306" s="27"/>
      <c r="O306" s="27"/>
      <c r="R306" s="27"/>
    </row>
    <row r="307" spans="5:18" ht="21" customHeight="1">
      <c r="E307" s="27"/>
      <c r="G307" s="27"/>
      <c r="I307" s="27"/>
      <c r="K307" s="27"/>
      <c r="M307" s="27"/>
      <c r="O307" s="27"/>
      <c r="R307" s="27"/>
    </row>
    <row r="308" spans="5:18" ht="21" customHeight="1">
      <c r="E308" s="27"/>
      <c r="G308" s="27"/>
      <c r="I308" s="27"/>
      <c r="K308" s="27"/>
      <c r="M308" s="27"/>
      <c r="O308" s="27"/>
      <c r="R308" s="27"/>
    </row>
    <row r="309" spans="5:18" ht="21" customHeight="1">
      <c r="E309" s="27"/>
      <c r="G309" s="27"/>
      <c r="I309" s="27"/>
      <c r="K309" s="27"/>
      <c r="M309" s="27"/>
      <c r="O309" s="27"/>
      <c r="R309" s="27"/>
    </row>
    <row r="310" spans="5:18" ht="21" customHeight="1">
      <c r="E310" s="27"/>
      <c r="G310" s="27"/>
      <c r="I310" s="27"/>
      <c r="K310" s="27"/>
      <c r="M310" s="27"/>
      <c r="O310" s="27"/>
      <c r="R310" s="27"/>
    </row>
    <row r="311" spans="5:18" ht="21" customHeight="1">
      <c r="E311" s="27"/>
      <c r="G311" s="27"/>
      <c r="I311" s="27"/>
      <c r="K311" s="27"/>
      <c r="M311" s="27"/>
      <c r="O311" s="27"/>
      <c r="R311" s="27"/>
    </row>
    <row r="312" spans="5:18" ht="21" customHeight="1">
      <c r="E312" s="27"/>
      <c r="G312" s="27"/>
      <c r="I312" s="27"/>
      <c r="K312" s="27"/>
      <c r="M312" s="27"/>
      <c r="O312" s="27"/>
      <c r="R312" s="27"/>
    </row>
    <row r="313" spans="5:18" ht="21" customHeight="1">
      <c r="E313" s="27"/>
      <c r="G313" s="27"/>
      <c r="I313" s="27"/>
      <c r="K313" s="27"/>
      <c r="M313" s="27"/>
      <c r="O313" s="27"/>
      <c r="R313" s="27"/>
    </row>
    <row r="314" spans="5:18" ht="21" customHeight="1">
      <c r="E314" s="27"/>
      <c r="G314" s="27"/>
      <c r="I314" s="27"/>
      <c r="K314" s="27"/>
      <c r="M314" s="27"/>
      <c r="O314" s="27"/>
      <c r="R314" s="27"/>
    </row>
    <row r="315" spans="5:18" ht="21" customHeight="1">
      <c r="E315" s="27"/>
      <c r="G315" s="27"/>
      <c r="I315" s="27"/>
      <c r="K315" s="27"/>
      <c r="M315" s="27"/>
      <c r="O315" s="27"/>
      <c r="R315" s="27"/>
    </row>
    <row r="316" spans="5:18" ht="21" customHeight="1">
      <c r="E316" s="27"/>
      <c r="G316" s="27"/>
      <c r="I316" s="27"/>
      <c r="K316" s="27"/>
      <c r="M316" s="27"/>
      <c r="O316" s="27"/>
      <c r="R316" s="27"/>
    </row>
    <row r="317" spans="5:18" ht="21" customHeight="1">
      <c r="E317" s="27"/>
      <c r="G317" s="27"/>
      <c r="I317" s="27"/>
      <c r="K317" s="27"/>
      <c r="M317" s="27"/>
      <c r="O317" s="27"/>
      <c r="R317" s="27"/>
    </row>
    <row r="318" spans="5:18" ht="21" customHeight="1">
      <c r="E318" s="27"/>
      <c r="G318" s="27"/>
      <c r="I318" s="27"/>
      <c r="K318" s="27"/>
      <c r="M318" s="27"/>
      <c r="O318" s="27"/>
      <c r="R318" s="27"/>
    </row>
    <row r="319" spans="5:18" ht="21" customHeight="1">
      <c r="E319" s="27"/>
      <c r="G319" s="27"/>
      <c r="I319" s="27"/>
      <c r="K319" s="27"/>
      <c r="M319" s="27"/>
      <c r="O319" s="27"/>
      <c r="R319" s="27"/>
    </row>
    <row r="320" spans="5:18" ht="21" customHeight="1">
      <c r="E320" s="27"/>
      <c r="G320" s="27"/>
      <c r="I320" s="27"/>
      <c r="K320" s="27"/>
      <c r="M320" s="27"/>
      <c r="O320" s="27"/>
      <c r="R320" s="27"/>
    </row>
    <row r="321" spans="5:18" ht="21" customHeight="1">
      <c r="E321" s="27"/>
      <c r="G321" s="27"/>
      <c r="I321" s="27"/>
      <c r="K321" s="27"/>
      <c r="M321" s="27"/>
      <c r="O321" s="27"/>
      <c r="R321" s="27"/>
    </row>
    <row r="322" spans="5:18" ht="21" customHeight="1">
      <c r="E322" s="27"/>
      <c r="G322" s="27"/>
      <c r="I322" s="27"/>
      <c r="K322" s="27"/>
      <c r="M322" s="27"/>
      <c r="O322" s="27"/>
      <c r="R322" s="27"/>
    </row>
    <row r="323" spans="5:18" ht="21" customHeight="1">
      <c r="E323" s="27"/>
      <c r="G323" s="27"/>
      <c r="I323" s="27"/>
      <c r="K323" s="27"/>
      <c r="M323" s="27"/>
      <c r="O323" s="27"/>
      <c r="R323" s="27"/>
    </row>
    <row r="324" spans="5:18" ht="21" customHeight="1">
      <c r="E324" s="27"/>
      <c r="G324" s="27"/>
      <c r="I324" s="27"/>
      <c r="K324" s="27"/>
      <c r="M324" s="27"/>
      <c r="O324" s="27"/>
      <c r="R324" s="27"/>
    </row>
    <row r="325" spans="5:18" ht="21" customHeight="1">
      <c r="E325" s="27"/>
      <c r="G325" s="27"/>
      <c r="I325" s="27"/>
      <c r="K325" s="27"/>
      <c r="M325" s="27"/>
      <c r="O325" s="27"/>
      <c r="R325" s="27"/>
    </row>
    <row r="326" spans="5:18" ht="21" customHeight="1">
      <c r="E326" s="27"/>
      <c r="G326" s="27"/>
      <c r="I326" s="27"/>
      <c r="K326" s="27"/>
      <c r="M326" s="27"/>
      <c r="O326" s="27"/>
      <c r="R326" s="27"/>
    </row>
    <row r="327" spans="5:18" ht="21" customHeight="1">
      <c r="E327" s="27"/>
      <c r="G327" s="27"/>
      <c r="I327" s="27"/>
      <c r="K327" s="27"/>
      <c r="M327" s="27"/>
      <c r="O327" s="27"/>
      <c r="R327" s="27"/>
    </row>
    <row r="328" spans="5:18" ht="21" customHeight="1">
      <c r="E328" s="27"/>
      <c r="G328" s="27"/>
      <c r="I328" s="27"/>
      <c r="K328" s="27"/>
      <c r="M328" s="27"/>
      <c r="O328" s="27"/>
      <c r="R328" s="27"/>
    </row>
    <row r="329" spans="5:18" ht="21" customHeight="1">
      <c r="E329" s="27"/>
      <c r="G329" s="27"/>
      <c r="I329" s="27"/>
      <c r="K329" s="27"/>
      <c r="M329" s="27"/>
      <c r="O329" s="27"/>
      <c r="R329" s="27"/>
    </row>
    <row r="330" spans="5:18" ht="21" customHeight="1">
      <c r="E330" s="27"/>
      <c r="G330" s="27"/>
      <c r="I330" s="27"/>
      <c r="K330" s="27"/>
      <c r="M330" s="27"/>
      <c r="O330" s="27"/>
      <c r="R330" s="27"/>
    </row>
    <row r="331" spans="5:18" ht="21" customHeight="1">
      <c r="E331" s="27"/>
      <c r="G331" s="27"/>
      <c r="I331" s="27"/>
      <c r="K331" s="27"/>
      <c r="M331" s="27"/>
      <c r="O331" s="27"/>
      <c r="R331" s="27"/>
    </row>
    <row r="332" spans="5:18" ht="21" customHeight="1">
      <c r="E332" s="27"/>
      <c r="G332" s="27"/>
      <c r="I332" s="27"/>
      <c r="K332" s="27"/>
      <c r="M332" s="27"/>
      <c r="O332" s="27"/>
      <c r="R332" s="27"/>
    </row>
    <row r="333" spans="5:18" ht="21" customHeight="1">
      <c r="E333" s="27"/>
      <c r="G333" s="27"/>
      <c r="I333" s="27"/>
      <c r="K333" s="27"/>
      <c r="M333" s="27"/>
      <c r="O333" s="27"/>
      <c r="R333" s="27"/>
    </row>
    <row r="334" spans="5:18" ht="21" customHeight="1">
      <c r="E334" s="27"/>
      <c r="G334" s="27"/>
      <c r="I334" s="27"/>
      <c r="K334" s="27"/>
      <c r="M334" s="27"/>
      <c r="O334" s="27"/>
      <c r="R334" s="27"/>
    </row>
    <row r="335" spans="5:18" ht="21" customHeight="1">
      <c r="E335" s="27"/>
      <c r="G335" s="27"/>
      <c r="I335" s="27"/>
      <c r="K335" s="27"/>
      <c r="M335" s="27"/>
      <c r="O335" s="27"/>
      <c r="R335" s="27"/>
    </row>
    <row r="336" spans="5:18" ht="21" customHeight="1">
      <c r="E336" s="27"/>
      <c r="G336" s="27"/>
      <c r="I336" s="27"/>
      <c r="K336" s="27"/>
      <c r="M336" s="27"/>
      <c r="O336" s="27"/>
      <c r="R336" s="27"/>
    </row>
    <row r="337" spans="5:18" ht="21" customHeight="1">
      <c r="E337" s="27"/>
      <c r="G337" s="27"/>
      <c r="I337" s="27"/>
      <c r="K337" s="27"/>
      <c r="M337" s="27"/>
      <c r="O337" s="27"/>
      <c r="R337" s="27"/>
    </row>
    <row r="338" spans="5:18" ht="21" customHeight="1">
      <c r="E338" s="27"/>
      <c r="G338" s="27"/>
      <c r="I338" s="27"/>
      <c r="K338" s="27"/>
      <c r="M338" s="27"/>
      <c r="O338" s="27"/>
      <c r="R338" s="27"/>
    </row>
    <row r="339" spans="5:18" ht="21" customHeight="1">
      <c r="E339" s="27"/>
      <c r="G339" s="27"/>
      <c r="I339" s="27"/>
      <c r="K339" s="27"/>
      <c r="M339" s="27"/>
      <c r="O339" s="27"/>
      <c r="R339" s="27"/>
    </row>
    <row r="340" spans="5:18" ht="21" customHeight="1">
      <c r="E340" s="27"/>
      <c r="G340" s="27"/>
      <c r="I340" s="27"/>
      <c r="K340" s="27"/>
      <c r="M340" s="27"/>
      <c r="O340" s="27"/>
      <c r="R340" s="27"/>
    </row>
    <row r="341" spans="5:18" ht="21" customHeight="1">
      <c r="E341" s="27"/>
      <c r="G341" s="27"/>
      <c r="I341" s="27"/>
      <c r="K341" s="27"/>
      <c r="M341" s="27"/>
      <c r="O341" s="27"/>
      <c r="R341" s="27"/>
    </row>
    <row r="342" spans="5:18" ht="21" customHeight="1">
      <c r="E342" s="27"/>
      <c r="G342" s="27"/>
      <c r="I342" s="27"/>
      <c r="K342" s="27"/>
      <c r="M342" s="27"/>
      <c r="O342" s="27"/>
      <c r="R342" s="27"/>
    </row>
    <row r="343" spans="5:18" ht="21" customHeight="1">
      <c r="E343" s="27"/>
      <c r="G343" s="27"/>
      <c r="I343" s="27"/>
      <c r="K343" s="27"/>
      <c r="M343" s="27"/>
      <c r="O343" s="27"/>
      <c r="R343" s="27"/>
    </row>
    <row r="344" spans="5:18" ht="21" customHeight="1">
      <c r="E344" s="27"/>
      <c r="G344" s="27"/>
      <c r="I344" s="27"/>
      <c r="K344" s="27"/>
      <c r="M344" s="27"/>
      <c r="O344" s="27"/>
      <c r="R344" s="27"/>
    </row>
    <row r="345" spans="5:18" ht="21" customHeight="1">
      <c r="E345" s="27"/>
      <c r="G345" s="27"/>
      <c r="I345" s="27"/>
      <c r="K345" s="27"/>
      <c r="M345" s="27"/>
      <c r="O345" s="27"/>
      <c r="R345" s="27"/>
    </row>
    <row r="346" spans="5:18" ht="21" customHeight="1">
      <c r="E346" s="27"/>
      <c r="G346" s="27"/>
      <c r="I346" s="27"/>
      <c r="K346" s="27"/>
      <c r="M346" s="27"/>
      <c r="O346" s="27"/>
      <c r="R346" s="27"/>
    </row>
    <row r="347" spans="5:18" ht="21" customHeight="1">
      <c r="E347" s="27"/>
      <c r="G347" s="27"/>
      <c r="I347" s="27"/>
      <c r="K347" s="27"/>
      <c r="M347" s="27"/>
      <c r="O347" s="27"/>
      <c r="R347" s="27"/>
    </row>
    <row r="348" spans="5:18" ht="21" customHeight="1">
      <c r="E348" s="27"/>
      <c r="G348" s="27"/>
      <c r="I348" s="27"/>
      <c r="K348" s="27"/>
      <c r="M348" s="27"/>
      <c r="O348" s="27"/>
      <c r="R348" s="27"/>
    </row>
    <row r="349" spans="5:18" ht="21" customHeight="1">
      <c r="E349" s="27"/>
      <c r="G349" s="27"/>
      <c r="I349" s="27"/>
      <c r="K349" s="27"/>
      <c r="M349" s="27"/>
      <c r="O349" s="27"/>
      <c r="R349" s="27"/>
    </row>
    <row r="350" spans="5:18" ht="21" customHeight="1">
      <c r="E350" s="27"/>
      <c r="G350" s="27"/>
      <c r="I350" s="27"/>
      <c r="K350" s="27"/>
      <c r="M350" s="27"/>
      <c r="O350" s="27"/>
      <c r="R350" s="27"/>
    </row>
    <row r="351" spans="5:18" ht="21" customHeight="1">
      <c r="E351" s="27"/>
      <c r="G351" s="27"/>
      <c r="I351" s="27"/>
      <c r="K351" s="27"/>
      <c r="M351" s="27"/>
      <c r="O351" s="27"/>
      <c r="R351" s="27"/>
    </row>
    <row r="352" spans="5:18" ht="21" customHeight="1">
      <c r="E352" s="27"/>
      <c r="G352" s="27"/>
      <c r="I352" s="27"/>
      <c r="K352" s="27"/>
      <c r="M352" s="27"/>
      <c r="O352" s="27"/>
      <c r="R352" s="27"/>
    </row>
    <row r="353" spans="5:18" ht="21" customHeight="1">
      <c r="E353" s="27"/>
      <c r="G353" s="27"/>
      <c r="I353" s="27"/>
      <c r="K353" s="27"/>
      <c r="M353" s="27"/>
      <c r="O353" s="27"/>
      <c r="R353" s="27"/>
    </row>
    <row r="354" spans="5:18" ht="21" customHeight="1">
      <c r="E354" s="27"/>
      <c r="G354" s="27"/>
      <c r="I354" s="27"/>
      <c r="K354" s="27"/>
      <c r="M354" s="27"/>
      <c r="O354" s="27"/>
      <c r="R354" s="27"/>
    </row>
    <row r="355" spans="5:18" ht="21" customHeight="1">
      <c r="E355" s="27"/>
      <c r="G355" s="27"/>
      <c r="I355" s="27"/>
      <c r="K355" s="27"/>
      <c r="M355" s="27"/>
      <c r="O355" s="27"/>
      <c r="R355" s="27"/>
    </row>
    <row r="356" spans="5:18" ht="21" customHeight="1">
      <c r="E356" s="27"/>
      <c r="G356" s="27"/>
      <c r="I356" s="27"/>
      <c r="K356" s="27"/>
      <c r="M356" s="27"/>
      <c r="O356" s="27"/>
      <c r="R356" s="27"/>
    </row>
    <row r="357" spans="5:18" ht="21" customHeight="1">
      <c r="E357" s="27"/>
      <c r="G357" s="27"/>
      <c r="I357" s="27"/>
      <c r="K357" s="27"/>
      <c r="M357" s="27"/>
      <c r="O357" s="27"/>
      <c r="R357" s="27"/>
    </row>
    <row r="358" spans="5:18" ht="21" customHeight="1">
      <c r="E358" s="27"/>
      <c r="G358" s="27"/>
      <c r="I358" s="27"/>
      <c r="K358" s="27"/>
      <c r="M358" s="27"/>
      <c r="O358" s="27"/>
      <c r="R358" s="27"/>
    </row>
    <row r="359" spans="5:18" ht="21" customHeight="1">
      <c r="E359" s="27"/>
      <c r="G359" s="27"/>
      <c r="I359" s="27"/>
      <c r="K359" s="27"/>
      <c r="M359" s="27"/>
      <c r="O359" s="27"/>
      <c r="R359" s="27"/>
    </row>
    <row r="360" spans="5:18" ht="21" customHeight="1">
      <c r="E360" s="27"/>
      <c r="G360" s="27"/>
      <c r="I360" s="27"/>
      <c r="K360" s="27"/>
      <c r="M360" s="27"/>
      <c r="O360" s="27"/>
      <c r="R360" s="27"/>
    </row>
    <row r="361" spans="5:18" ht="21" customHeight="1">
      <c r="E361" s="27"/>
      <c r="G361" s="27"/>
      <c r="I361" s="27"/>
      <c r="K361" s="27"/>
      <c r="M361" s="27"/>
      <c r="O361" s="27"/>
      <c r="R361" s="27"/>
    </row>
    <row r="362" spans="5:18" ht="21" customHeight="1">
      <c r="E362" s="27"/>
      <c r="G362" s="27"/>
      <c r="I362" s="27"/>
      <c r="K362" s="27"/>
      <c r="M362" s="27"/>
      <c r="O362" s="27"/>
      <c r="R362" s="27"/>
    </row>
    <row r="363" spans="5:18" ht="21" customHeight="1">
      <c r="E363" s="27"/>
      <c r="G363" s="27"/>
      <c r="I363" s="27"/>
      <c r="K363" s="27"/>
      <c r="M363" s="27"/>
      <c r="O363" s="27"/>
      <c r="R363" s="27"/>
    </row>
    <row r="364" spans="5:18" ht="21" customHeight="1">
      <c r="E364" s="27"/>
      <c r="G364" s="27"/>
      <c r="I364" s="27"/>
      <c r="K364" s="27"/>
      <c r="M364" s="27"/>
      <c r="O364" s="27"/>
      <c r="R364" s="27"/>
    </row>
    <row r="365" spans="5:18" ht="21" customHeight="1">
      <c r="E365" s="27"/>
      <c r="G365" s="27"/>
      <c r="I365" s="27"/>
      <c r="K365" s="27"/>
      <c r="M365" s="27"/>
      <c r="O365" s="27"/>
      <c r="R365" s="27"/>
    </row>
    <row r="366" spans="5:18" ht="21" customHeight="1">
      <c r="E366" s="27"/>
      <c r="G366" s="27"/>
      <c r="I366" s="27"/>
      <c r="K366" s="27"/>
      <c r="M366" s="27"/>
      <c r="O366" s="27"/>
      <c r="R366" s="27"/>
    </row>
    <row r="367" spans="5:18" ht="21" customHeight="1">
      <c r="E367" s="27"/>
      <c r="G367" s="27"/>
      <c r="I367" s="27"/>
      <c r="K367" s="27"/>
      <c r="M367" s="27"/>
      <c r="O367" s="27"/>
      <c r="R367" s="27"/>
    </row>
    <row r="368" spans="5:18" ht="21" customHeight="1">
      <c r="E368" s="27"/>
      <c r="G368" s="27"/>
      <c r="I368" s="27"/>
      <c r="K368" s="27"/>
      <c r="M368" s="27"/>
      <c r="O368" s="27"/>
      <c r="R368" s="27"/>
    </row>
    <row r="369" spans="5:18" ht="21" customHeight="1">
      <c r="E369" s="27"/>
      <c r="G369" s="27"/>
      <c r="I369" s="27"/>
      <c r="K369" s="27"/>
      <c r="M369" s="27"/>
      <c r="O369" s="27"/>
      <c r="R369" s="27"/>
    </row>
    <row r="370" spans="5:18" ht="21" customHeight="1">
      <c r="E370" s="27"/>
      <c r="G370" s="27"/>
      <c r="I370" s="27"/>
      <c r="K370" s="27"/>
      <c r="M370" s="27"/>
      <c r="O370" s="27"/>
      <c r="R370" s="27"/>
    </row>
    <row r="371" spans="5:18" ht="21" customHeight="1">
      <c r="E371" s="27"/>
      <c r="G371" s="27"/>
      <c r="I371" s="27"/>
      <c r="K371" s="27"/>
      <c r="M371" s="27"/>
      <c r="O371" s="27"/>
      <c r="R371" s="27"/>
    </row>
    <row r="372" spans="5:18" ht="21" customHeight="1">
      <c r="E372" s="27"/>
      <c r="G372" s="27"/>
      <c r="I372" s="27"/>
      <c r="K372" s="27"/>
      <c r="M372" s="27"/>
      <c r="O372" s="27"/>
      <c r="R372" s="27"/>
    </row>
    <row r="373" spans="5:18" ht="21" customHeight="1">
      <c r="E373" s="27"/>
      <c r="G373" s="27"/>
      <c r="I373" s="27"/>
      <c r="K373" s="27"/>
      <c r="M373" s="27"/>
      <c r="O373" s="27"/>
      <c r="R373" s="27"/>
    </row>
    <row r="374" spans="5:18" ht="21" customHeight="1">
      <c r="E374" s="27"/>
      <c r="G374" s="27"/>
      <c r="I374" s="27"/>
      <c r="K374" s="27"/>
      <c r="M374" s="27"/>
      <c r="O374" s="27"/>
      <c r="R374" s="27"/>
    </row>
    <row r="375" spans="5:18" ht="21" customHeight="1">
      <c r="E375" s="27"/>
      <c r="G375" s="27"/>
      <c r="I375" s="27"/>
      <c r="K375" s="27"/>
      <c r="M375" s="27"/>
      <c r="O375" s="27"/>
      <c r="R375" s="27"/>
    </row>
    <row r="376" spans="5:18" ht="21" customHeight="1">
      <c r="E376" s="27"/>
      <c r="G376" s="27"/>
      <c r="I376" s="27"/>
      <c r="K376" s="27"/>
      <c r="M376" s="27"/>
      <c r="O376" s="27"/>
      <c r="R376" s="27"/>
    </row>
    <row r="377" spans="5:18" ht="21" customHeight="1">
      <c r="E377" s="27"/>
      <c r="G377" s="27"/>
      <c r="I377" s="27"/>
      <c r="K377" s="27"/>
      <c r="M377" s="27"/>
      <c r="O377" s="27"/>
      <c r="R377" s="27"/>
    </row>
    <row r="378" spans="5:18" ht="21" customHeight="1">
      <c r="E378" s="27"/>
      <c r="G378" s="27"/>
      <c r="I378" s="27"/>
      <c r="K378" s="27"/>
      <c r="M378" s="27"/>
      <c r="O378" s="27"/>
      <c r="R378" s="27"/>
    </row>
    <row r="379" spans="5:18" ht="21" customHeight="1">
      <c r="E379" s="27"/>
      <c r="G379" s="27"/>
      <c r="I379" s="27"/>
      <c r="K379" s="27"/>
      <c r="M379" s="27"/>
      <c r="O379" s="27"/>
      <c r="R379" s="27"/>
    </row>
    <row r="380" spans="5:18" ht="21" customHeight="1">
      <c r="E380" s="27"/>
      <c r="G380" s="27"/>
      <c r="I380" s="27"/>
      <c r="K380" s="27"/>
      <c r="M380" s="27"/>
      <c r="O380" s="27"/>
      <c r="R380" s="27"/>
    </row>
    <row r="381" spans="5:18" ht="21" customHeight="1">
      <c r="E381" s="27"/>
      <c r="G381" s="27"/>
      <c r="I381" s="27"/>
      <c r="K381" s="27"/>
      <c r="M381" s="27"/>
      <c r="O381" s="27"/>
      <c r="R381" s="27"/>
    </row>
    <row r="382" spans="5:18" ht="21" customHeight="1">
      <c r="E382" s="27"/>
      <c r="G382" s="27"/>
      <c r="I382" s="27"/>
      <c r="K382" s="27"/>
      <c r="M382" s="27"/>
      <c r="O382" s="27"/>
      <c r="R382" s="27"/>
    </row>
    <row r="383" spans="5:18" ht="21" customHeight="1">
      <c r="E383" s="27"/>
      <c r="G383" s="27"/>
      <c r="I383" s="27"/>
      <c r="K383" s="27"/>
      <c r="M383" s="27"/>
      <c r="O383" s="27"/>
      <c r="R383" s="27"/>
    </row>
    <row r="384" spans="5:18" ht="21" customHeight="1">
      <c r="E384" s="27"/>
      <c r="G384" s="27"/>
      <c r="I384" s="27"/>
      <c r="K384" s="27"/>
      <c r="M384" s="27"/>
      <c r="O384" s="27"/>
      <c r="R384" s="27"/>
    </row>
    <row r="385" spans="5:18" ht="21" customHeight="1">
      <c r="E385" s="27"/>
      <c r="G385" s="27"/>
      <c r="I385" s="27"/>
      <c r="K385" s="27"/>
      <c r="M385" s="27"/>
      <c r="O385" s="27"/>
      <c r="R385" s="27"/>
    </row>
    <row r="386" spans="5:18" ht="21" customHeight="1">
      <c r="E386" s="27"/>
      <c r="G386" s="27"/>
      <c r="I386" s="27"/>
      <c r="K386" s="27"/>
      <c r="M386" s="27"/>
      <c r="O386" s="27"/>
      <c r="R386" s="27"/>
    </row>
    <row r="387" spans="5:18" ht="21" customHeight="1">
      <c r="E387" s="27"/>
      <c r="G387" s="27"/>
      <c r="I387" s="27"/>
      <c r="K387" s="27"/>
      <c r="M387" s="27"/>
      <c r="O387" s="27"/>
      <c r="R387" s="27"/>
    </row>
    <row r="388" spans="5:18" ht="21" customHeight="1">
      <c r="E388" s="27"/>
      <c r="G388" s="27"/>
      <c r="I388" s="27"/>
      <c r="K388" s="27"/>
      <c r="M388" s="27"/>
      <c r="O388" s="27"/>
      <c r="R388" s="27"/>
    </row>
    <row r="389" spans="5:18" ht="21" customHeight="1">
      <c r="E389" s="27"/>
      <c r="G389" s="27"/>
      <c r="I389" s="27"/>
      <c r="K389" s="27"/>
      <c r="M389" s="27"/>
      <c r="O389" s="27"/>
      <c r="R389" s="27"/>
    </row>
    <row r="390" spans="5:18" ht="21" customHeight="1">
      <c r="E390" s="27"/>
      <c r="G390" s="27"/>
      <c r="I390" s="27"/>
      <c r="K390" s="27"/>
      <c r="M390" s="27"/>
      <c r="O390" s="27"/>
      <c r="R390" s="27"/>
    </row>
    <row r="391" spans="5:18" ht="21" customHeight="1">
      <c r="E391" s="27"/>
      <c r="G391" s="27"/>
      <c r="I391" s="27"/>
      <c r="K391" s="27"/>
      <c r="M391" s="27"/>
      <c r="O391" s="27"/>
      <c r="R391" s="27"/>
    </row>
    <row r="392" spans="5:18" ht="21" customHeight="1">
      <c r="E392" s="27"/>
      <c r="G392" s="27"/>
      <c r="I392" s="27"/>
      <c r="K392" s="27"/>
      <c r="M392" s="27"/>
      <c r="O392" s="27"/>
      <c r="R392" s="27"/>
    </row>
    <row r="393" spans="5:18" ht="21" customHeight="1">
      <c r="E393" s="27"/>
      <c r="G393" s="27"/>
      <c r="I393" s="27"/>
      <c r="K393" s="27"/>
      <c r="M393" s="27"/>
      <c r="O393" s="27"/>
      <c r="R393" s="27"/>
    </row>
    <row r="394" spans="5:18" ht="21" customHeight="1">
      <c r="E394" s="27"/>
      <c r="G394" s="27"/>
      <c r="I394" s="27"/>
      <c r="K394" s="27"/>
      <c r="M394" s="27"/>
      <c r="O394" s="27"/>
      <c r="R394" s="27"/>
    </row>
    <row r="395" spans="5:18" ht="21" customHeight="1">
      <c r="E395" s="27"/>
      <c r="G395" s="27"/>
      <c r="I395" s="27"/>
      <c r="K395" s="27"/>
      <c r="M395" s="27"/>
      <c r="O395" s="27"/>
      <c r="R395" s="27"/>
    </row>
    <row r="396" spans="5:18" ht="21" customHeight="1">
      <c r="E396" s="27"/>
      <c r="G396" s="27"/>
      <c r="I396" s="27"/>
      <c r="K396" s="27"/>
      <c r="M396" s="27"/>
      <c r="O396" s="27"/>
      <c r="R396" s="27"/>
    </row>
    <row r="397" spans="5:18" ht="21" customHeight="1">
      <c r="E397" s="27"/>
      <c r="G397" s="27"/>
      <c r="I397" s="27"/>
      <c r="K397" s="27"/>
      <c r="M397" s="27"/>
      <c r="O397" s="27"/>
      <c r="R397" s="27"/>
    </row>
    <row r="398" spans="5:18" ht="21" customHeight="1">
      <c r="E398" s="27"/>
      <c r="G398" s="27"/>
      <c r="I398" s="27"/>
      <c r="K398" s="27"/>
      <c r="M398" s="27"/>
      <c r="O398" s="27"/>
      <c r="R398" s="27"/>
    </row>
    <row r="399" spans="5:18" ht="21" customHeight="1">
      <c r="E399" s="27"/>
      <c r="G399" s="27"/>
      <c r="I399" s="27"/>
      <c r="K399" s="27"/>
      <c r="M399" s="27"/>
      <c r="O399" s="27"/>
      <c r="R399" s="27"/>
    </row>
    <row r="400" spans="5:18" ht="21" customHeight="1">
      <c r="E400" s="27"/>
      <c r="G400" s="27"/>
      <c r="I400" s="27"/>
      <c r="K400" s="27"/>
      <c r="M400" s="27"/>
      <c r="O400" s="27"/>
      <c r="R400" s="27"/>
    </row>
    <row r="401" spans="5:18" ht="21" customHeight="1">
      <c r="E401" s="27"/>
      <c r="G401" s="27"/>
      <c r="I401" s="27"/>
      <c r="K401" s="27"/>
      <c r="M401" s="27"/>
      <c r="O401" s="27"/>
      <c r="R401" s="27"/>
    </row>
    <row r="402" spans="5:18" ht="21" customHeight="1">
      <c r="E402" s="27"/>
      <c r="G402" s="27"/>
      <c r="I402" s="27"/>
      <c r="K402" s="27"/>
      <c r="M402" s="27"/>
      <c r="O402" s="27"/>
      <c r="R402" s="27"/>
    </row>
    <row r="403" spans="5:18" ht="21" customHeight="1">
      <c r="E403" s="27"/>
      <c r="G403" s="27"/>
      <c r="I403" s="27"/>
      <c r="K403" s="27"/>
      <c r="M403" s="27"/>
      <c r="O403" s="27"/>
      <c r="R403" s="27"/>
    </row>
    <row r="404" spans="5:18" ht="21" customHeight="1">
      <c r="E404" s="27"/>
      <c r="G404" s="27"/>
      <c r="I404" s="27"/>
      <c r="K404" s="27"/>
      <c r="M404" s="27"/>
      <c r="O404" s="27"/>
      <c r="R404" s="27"/>
    </row>
    <row r="405" spans="5:18" ht="21" customHeight="1">
      <c r="E405" s="27"/>
      <c r="G405" s="27"/>
      <c r="I405" s="27"/>
      <c r="K405" s="27"/>
      <c r="M405" s="27"/>
      <c r="O405" s="27"/>
      <c r="R405" s="27"/>
    </row>
    <row r="406" spans="5:18" ht="21" customHeight="1">
      <c r="E406" s="27"/>
      <c r="G406" s="27"/>
      <c r="I406" s="27"/>
      <c r="K406" s="27"/>
      <c r="M406" s="27"/>
      <c r="O406" s="27"/>
      <c r="R406" s="27"/>
    </row>
    <row r="407" spans="5:18" ht="21" customHeight="1">
      <c r="E407" s="27"/>
      <c r="G407" s="27"/>
      <c r="I407" s="27"/>
      <c r="K407" s="27"/>
      <c r="M407" s="27"/>
      <c r="O407" s="27"/>
      <c r="R407" s="27"/>
    </row>
    <row r="408" spans="5:18" ht="21" customHeight="1">
      <c r="E408" s="27"/>
      <c r="G408" s="27"/>
      <c r="I408" s="27"/>
      <c r="K408" s="27"/>
      <c r="M408" s="27"/>
      <c r="O408" s="27"/>
      <c r="R408" s="27"/>
    </row>
    <row r="409" spans="5:18" ht="21" customHeight="1">
      <c r="E409" s="27"/>
      <c r="G409" s="27"/>
      <c r="I409" s="27"/>
      <c r="K409" s="27"/>
      <c r="M409" s="27"/>
      <c r="O409" s="27"/>
      <c r="R409" s="27"/>
    </row>
    <row r="410" spans="5:18" ht="21" customHeight="1">
      <c r="E410" s="27"/>
      <c r="G410" s="27"/>
      <c r="I410" s="27"/>
      <c r="K410" s="27"/>
      <c r="M410" s="27"/>
      <c r="O410" s="27"/>
      <c r="R410" s="27"/>
    </row>
    <row r="411" spans="5:18" ht="21" customHeight="1">
      <c r="E411" s="27"/>
      <c r="G411" s="27"/>
      <c r="I411" s="27"/>
      <c r="K411" s="27"/>
      <c r="M411" s="27"/>
      <c r="O411" s="27"/>
      <c r="R411" s="27"/>
    </row>
    <row r="412" spans="5:18" ht="21" customHeight="1">
      <c r="E412" s="27"/>
      <c r="G412" s="27"/>
      <c r="I412" s="27"/>
      <c r="K412" s="27"/>
      <c r="M412" s="27"/>
      <c r="O412" s="27"/>
      <c r="R412" s="27"/>
    </row>
    <row r="413" spans="5:18" ht="21" customHeight="1">
      <c r="E413" s="27"/>
      <c r="G413" s="27"/>
      <c r="I413" s="27"/>
      <c r="K413" s="27"/>
      <c r="M413" s="27"/>
      <c r="O413" s="27"/>
      <c r="R413" s="27"/>
    </row>
    <row r="414" spans="5:18" ht="21" customHeight="1">
      <c r="E414" s="27"/>
      <c r="G414" s="27"/>
      <c r="I414" s="27"/>
      <c r="K414" s="27"/>
      <c r="M414" s="27"/>
      <c r="O414" s="27"/>
      <c r="R414" s="27"/>
    </row>
    <row r="415" spans="5:18" ht="21" customHeight="1">
      <c r="E415" s="27"/>
      <c r="G415" s="27"/>
      <c r="I415" s="27"/>
      <c r="K415" s="27"/>
      <c r="M415" s="27"/>
      <c r="O415" s="27"/>
      <c r="R415" s="27"/>
    </row>
    <row r="416" spans="5:18" ht="21" customHeight="1">
      <c r="E416" s="27"/>
      <c r="G416" s="27"/>
      <c r="I416" s="27"/>
      <c r="K416" s="27"/>
      <c r="M416" s="27"/>
      <c r="O416" s="27"/>
      <c r="R416" s="27"/>
    </row>
    <row r="417" spans="5:18" ht="21" customHeight="1">
      <c r="E417" s="27"/>
      <c r="G417" s="27"/>
      <c r="I417" s="27"/>
      <c r="K417" s="27"/>
      <c r="M417" s="27"/>
      <c r="O417" s="27"/>
      <c r="R417" s="27"/>
    </row>
    <row r="418" spans="5:18" ht="21" customHeight="1">
      <c r="E418" s="27"/>
      <c r="G418" s="27"/>
      <c r="I418" s="27"/>
      <c r="K418" s="27"/>
      <c r="M418" s="27"/>
      <c r="O418" s="27"/>
      <c r="R418" s="27"/>
    </row>
    <row r="419" spans="5:18" ht="21" customHeight="1">
      <c r="E419" s="27"/>
      <c r="G419" s="27"/>
      <c r="I419" s="27"/>
      <c r="K419" s="27"/>
      <c r="M419" s="27"/>
      <c r="O419" s="27"/>
      <c r="R419" s="27"/>
    </row>
    <row r="420" spans="5:18" ht="21" customHeight="1">
      <c r="E420" s="27"/>
      <c r="G420" s="27"/>
      <c r="I420" s="27"/>
      <c r="K420" s="27"/>
      <c r="M420" s="27"/>
      <c r="O420" s="27"/>
      <c r="R420" s="27"/>
    </row>
    <row r="421" spans="5:18" ht="21" customHeight="1">
      <c r="E421" s="27"/>
      <c r="G421" s="27"/>
      <c r="I421" s="27"/>
      <c r="K421" s="27"/>
      <c r="M421" s="27"/>
      <c r="O421" s="27"/>
      <c r="R421" s="27"/>
    </row>
    <row r="422" spans="5:18" ht="21" customHeight="1">
      <c r="E422" s="27"/>
      <c r="G422" s="27"/>
      <c r="I422" s="27"/>
      <c r="K422" s="27"/>
      <c r="M422" s="27"/>
      <c r="O422" s="27"/>
      <c r="R422" s="27"/>
    </row>
    <row r="423" spans="5:18" ht="21" customHeight="1">
      <c r="E423" s="27"/>
      <c r="G423" s="27"/>
      <c r="I423" s="27"/>
      <c r="K423" s="27"/>
      <c r="M423" s="27"/>
      <c r="O423" s="27"/>
      <c r="R423" s="27"/>
    </row>
    <row r="424" spans="5:18" ht="21" customHeight="1">
      <c r="E424" s="27"/>
      <c r="G424" s="27"/>
      <c r="I424" s="27"/>
      <c r="K424" s="27"/>
      <c r="M424" s="27"/>
      <c r="O424" s="27"/>
      <c r="R424" s="27"/>
    </row>
    <row r="425" spans="5:18" ht="21" customHeight="1">
      <c r="E425" s="27"/>
      <c r="G425" s="27"/>
      <c r="I425" s="27"/>
      <c r="K425" s="27"/>
      <c r="M425" s="27"/>
      <c r="O425" s="27"/>
      <c r="R425" s="27"/>
    </row>
    <row r="426" spans="5:18" ht="21" customHeight="1">
      <c r="E426" s="27"/>
      <c r="G426" s="27"/>
      <c r="I426" s="27"/>
      <c r="K426" s="27"/>
      <c r="M426" s="27"/>
      <c r="O426" s="27"/>
      <c r="R426" s="27"/>
    </row>
    <row r="427" spans="5:18" ht="21" customHeight="1">
      <c r="E427" s="27"/>
      <c r="G427" s="27"/>
      <c r="I427" s="27"/>
      <c r="K427" s="27"/>
      <c r="M427" s="27"/>
      <c r="O427" s="27"/>
      <c r="R427" s="27"/>
    </row>
    <row r="428" spans="5:18" ht="21" customHeight="1">
      <c r="E428" s="27"/>
      <c r="G428" s="27"/>
      <c r="I428" s="27"/>
      <c r="K428" s="27"/>
      <c r="M428" s="27"/>
      <c r="O428" s="27"/>
      <c r="R428" s="27"/>
    </row>
    <row r="429" spans="5:18" ht="21" customHeight="1">
      <c r="E429" s="27"/>
      <c r="G429" s="27"/>
      <c r="I429" s="27"/>
      <c r="K429" s="27"/>
      <c r="M429" s="27"/>
      <c r="O429" s="27"/>
      <c r="R429" s="27"/>
    </row>
    <row r="430" spans="5:18" ht="21" customHeight="1">
      <c r="E430" s="27"/>
      <c r="G430" s="27"/>
      <c r="I430" s="27"/>
      <c r="K430" s="27"/>
      <c r="M430" s="27"/>
      <c r="O430" s="27"/>
      <c r="R430" s="27"/>
    </row>
    <row r="431" spans="5:18" ht="21" customHeight="1">
      <c r="E431" s="27"/>
      <c r="G431" s="27"/>
      <c r="I431" s="27"/>
      <c r="K431" s="27"/>
      <c r="M431" s="27"/>
      <c r="O431" s="27"/>
      <c r="R431" s="27"/>
    </row>
    <row r="432" spans="5:18" ht="21" customHeight="1">
      <c r="E432" s="27"/>
      <c r="G432" s="27"/>
      <c r="I432" s="27"/>
      <c r="K432" s="27"/>
      <c r="M432" s="27"/>
      <c r="O432" s="27"/>
      <c r="R432" s="27"/>
    </row>
    <row r="433" spans="5:18" ht="21" customHeight="1">
      <c r="E433" s="27"/>
      <c r="G433" s="27"/>
      <c r="I433" s="27"/>
      <c r="K433" s="27"/>
      <c r="M433" s="27"/>
      <c r="O433" s="27"/>
      <c r="R433" s="27"/>
    </row>
    <row r="434" spans="5:18" ht="21" customHeight="1">
      <c r="E434" s="27"/>
      <c r="G434" s="27"/>
      <c r="I434" s="27"/>
      <c r="K434" s="27"/>
      <c r="M434" s="27"/>
      <c r="O434" s="27"/>
      <c r="R434" s="27"/>
    </row>
    <row r="435" spans="5:18" ht="21" customHeight="1">
      <c r="E435" s="27"/>
      <c r="G435" s="27"/>
      <c r="I435" s="27"/>
      <c r="K435" s="27"/>
      <c r="M435" s="27"/>
      <c r="O435" s="27"/>
      <c r="R435" s="27"/>
    </row>
    <row r="436" spans="5:18" ht="21" customHeight="1">
      <c r="E436" s="27"/>
      <c r="G436" s="27"/>
      <c r="I436" s="27"/>
      <c r="K436" s="27"/>
      <c r="M436" s="27"/>
      <c r="O436" s="27"/>
      <c r="R436" s="27"/>
    </row>
    <row r="437" spans="5:18" ht="21" customHeight="1">
      <c r="E437" s="27"/>
      <c r="G437" s="27"/>
      <c r="I437" s="27"/>
      <c r="K437" s="27"/>
      <c r="M437" s="27"/>
      <c r="O437" s="27"/>
      <c r="R437" s="27"/>
    </row>
    <row r="438" spans="5:18" ht="21" customHeight="1">
      <c r="E438" s="27"/>
      <c r="G438" s="27"/>
      <c r="I438" s="27"/>
      <c r="K438" s="27"/>
      <c r="M438" s="27"/>
      <c r="O438" s="27"/>
      <c r="R438" s="27"/>
    </row>
    <row r="439" spans="5:18" ht="21" customHeight="1">
      <c r="E439" s="27"/>
      <c r="G439" s="27"/>
      <c r="I439" s="27"/>
      <c r="K439" s="27"/>
      <c r="M439" s="27"/>
      <c r="O439" s="27"/>
      <c r="R439" s="27"/>
    </row>
    <row r="440" spans="5:18" ht="21" customHeight="1">
      <c r="E440" s="27"/>
      <c r="G440" s="27"/>
      <c r="I440" s="27"/>
      <c r="K440" s="27"/>
      <c r="M440" s="27"/>
      <c r="O440" s="27"/>
      <c r="R440" s="27"/>
    </row>
    <row r="441" spans="5:18" ht="21" customHeight="1">
      <c r="E441" s="27"/>
      <c r="G441" s="27"/>
      <c r="I441" s="27"/>
      <c r="K441" s="27"/>
      <c r="M441" s="27"/>
      <c r="O441" s="27"/>
      <c r="R441" s="27"/>
    </row>
    <row r="442" spans="5:18" ht="21" customHeight="1">
      <c r="E442" s="27"/>
      <c r="G442" s="27"/>
      <c r="I442" s="27"/>
      <c r="K442" s="27"/>
      <c r="M442" s="27"/>
      <c r="O442" s="27"/>
      <c r="R442" s="27"/>
    </row>
    <row r="443" spans="5:18" ht="21" customHeight="1">
      <c r="E443" s="27"/>
      <c r="G443" s="27"/>
      <c r="I443" s="27"/>
      <c r="K443" s="27"/>
      <c r="M443" s="27"/>
      <c r="O443" s="27"/>
      <c r="R443" s="27"/>
    </row>
    <row r="444" spans="5:18" ht="21" customHeight="1">
      <c r="E444" s="27"/>
      <c r="G444" s="27"/>
      <c r="I444" s="27"/>
      <c r="K444" s="27"/>
      <c r="M444" s="27"/>
      <c r="O444" s="27"/>
      <c r="R444" s="27"/>
    </row>
    <row r="445" spans="5:18" ht="21" customHeight="1">
      <c r="E445" s="27"/>
      <c r="G445" s="27"/>
      <c r="I445" s="27"/>
      <c r="K445" s="27"/>
      <c r="M445" s="27"/>
      <c r="O445" s="27"/>
      <c r="R445" s="27"/>
    </row>
    <row r="446" spans="5:18" ht="21" customHeight="1">
      <c r="E446" s="27"/>
      <c r="G446" s="27"/>
      <c r="I446" s="27"/>
      <c r="K446" s="27"/>
      <c r="M446" s="27"/>
      <c r="O446" s="27"/>
      <c r="R446" s="27"/>
    </row>
    <row r="447" spans="5:18" ht="21" customHeight="1">
      <c r="E447" s="27"/>
      <c r="G447" s="27"/>
      <c r="I447" s="27"/>
      <c r="K447" s="27"/>
      <c r="M447" s="27"/>
      <c r="O447" s="27"/>
      <c r="R447" s="27"/>
    </row>
    <row r="448" spans="5:18" ht="21" customHeight="1">
      <c r="E448" s="27"/>
      <c r="G448" s="27"/>
      <c r="I448" s="27"/>
      <c r="K448" s="27"/>
      <c r="M448" s="27"/>
      <c r="O448" s="27"/>
      <c r="R448" s="27"/>
    </row>
    <row r="449" spans="5:18" ht="21" customHeight="1">
      <c r="E449" s="27"/>
      <c r="G449" s="27"/>
      <c r="I449" s="27"/>
      <c r="K449" s="27"/>
      <c r="M449" s="27"/>
      <c r="O449" s="27"/>
      <c r="R449" s="27"/>
    </row>
    <row r="450" spans="5:18" ht="21" customHeight="1">
      <c r="E450" s="27"/>
      <c r="G450" s="27"/>
      <c r="I450" s="27"/>
      <c r="K450" s="27"/>
      <c r="M450" s="27"/>
      <c r="O450" s="27"/>
      <c r="R450" s="27"/>
    </row>
    <row r="451" spans="5:18" ht="21" customHeight="1">
      <c r="E451" s="27"/>
      <c r="G451" s="27"/>
      <c r="I451" s="27"/>
      <c r="K451" s="27"/>
      <c r="M451" s="27"/>
      <c r="O451" s="27"/>
      <c r="R451" s="27"/>
    </row>
    <row r="452" spans="5:18" ht="21" customHeight="1">
      <c r="E452" s="27"/>
      <c r="G452" s="27"/>
      <c r="I452" s="27"/>
      <c r="K452" s="27"/>
      <c r="M452" s="27"/>
      <c r="O452" s="27"/>
      <c r="R452" s="27"/>
    </row>
    <row r="453" spans="5:18" ht="21" customHeight="1">
      <c r="E453" s="27"/>
      <c r="G453" s="27"/>
      <c r="I453" s="27"/>
      <c r="K453" s="27"/>
      <c r="M453" s="27"/>
      <c r="O453" s="27"/>
      <c r="R453" s="27"/>
    </row>
    <row r="454" spans="5:18" ht="21" customHeight="1">
      <c r="E454" s="27"/>
      <c r="G454" s="27"/>
      <c r="I454" s="27"/>
      <c r="K454" s="27"/>
      <c r="M454" s="27"/>
      <c r="O454" s="27"/>
      <c r="R454" s="27"/>
    </row>
    <row r="455" spans="5:18" ht="21" customHeight="1">
      <c r="E455" s="27"/>
      <c r="G455" s="27"/>
      <c r="I455" s="27"/>
      <c r="K455" s="27"/>
      <c r="M455" s="27"/>
      <c r="O455" s="27"/>
      <c r="R455" s="27"/>
    </row>
    <row r="456" spans="5:18" ht="21" customHeight="1">
      <c r="E456" s="27"/>
      <c r="G456" s="27"/>
      <c r="I456" s="27"/>
      <c r="K456" s="27"/>
      <c r="M456" s="27"/>
      <c r="O456" s="27"/>
      <c r="R456" s="27"/>
    </row>
    <row r="457" spans="5:18" ht="21" customHeight="1">
      <c r="E457" s="27"/>
      <c r="G457" s="27"/>
      <c r="I457" s="27"/>
      <c r="K457" s="27"/>
      <c r="M457" s="27"/>
      <c r="O457" s="27"/>
      <c r="R457" s="27"/>
    </row>
    <row r="458" spans="5:18" ht="21" customHeight="1">
      <c r="E458" s="27"/>
      <c r="G458" s="27"/>
      <c r="I458" s="27"/>
      <c r="K458" s="27"/>
      <c r="M458" s="27"/>
      <c r="O458" s="27"/>
      <c r="R458" s="27"/>
    </row>
    <row r="459" spans="5:18" ht="21" customHeight="1">
      <c r="E459" s="27"/>
      <c r="G459" s="27"/>
      <c r="I459" s="27"/>
      <c r="K459" s="27"/>
      <c r="M459" s="27"/>
      <c r="O459" s="27"/>
      <c r="R459" s="27"/>
    </row>
    <row r="460" spans="5:18" ht="21" customHeight="1">
      <c r="E460" s="27"/>
      <c r="G460" s="27"/>
      <c r="I460" s="27"/>
      <c r="K460" s="27"/>
      <c r="M460" s="27"/>
      <c r="O460" s="27"/>
      <c r="R460" s="27"/>
    </row>
    <row r="461" spans="5:18" ht="21" customHeight="1">
      <c r="E461" s="27"/>
      <c r="G461" s="27"/>
      <c r="I461" s="27"/>
      <c r="K461" s="27"/>
      <c r="M461" s="27"/>
      <c r="O461" s="27"/>
      <c r="R461" s="27"/>
    </row>
    <row r="462" spans="5:18" ht="21" customHeight="1">
      <c r="E462" s="27"/>
      <c r="G462" s="27"/>
      <c r="I462" s="27"/>
      <c r="K462" s="27"/>
      <c r="M462" s="27"/>
      <c r="O462" s="27"/>
      <c r="R462" s="27"/>
    </row>
    <row r="463" spans="5:18" ht="21" customHeight="1">
      <c r="E463" s="27"/>
      <c r="G463" s="27"/>
      <c r="I463" s="27"/>
      <c r="K463" s="27"/>
      <c r="M463" s="27"/>
      <c r="O463" s="27"/>
      <c r="R463" s="27"/>
    </row>
    <row r="464" spans="5:18" ht="21" customHeight="1">
      <c r="E464" s="27"/>
      <c r="G464" s="27"/>
      <c r="I464" s="27"/>
      <c r="K464" s="27"/>
      <c r="M464" s="27"/>
      <c r="O464" s="27"/>
      <c r="R464" s="27"/>
    </row>
    <row r="465" spans="5:18" ht="21" customHeight="1">
      <c r="E465" s="27"/>
      <c r="G465" s="27"/>
      <c r="I465" s="27"/>
      <c r="K465" s="27"/>
      <c r="M465" s="27"/>
      <c r="O465" s="27"/>
      <c r="R465" s="27"/>
    </row>
    <row r="466" spans="5:18" ht="21" customHeight="1">
      <c r="E466" s="27"/>
      <c r="G466" s="27"/>
      <c r="I466" s="27"/>
      <c r="K466" s="27"/>
      <c r="M466" s="27"/>
      <c r="O466" s="27"/>
      <c r="R466" s="27"/>
    </row>
    <row r="467" spans="5:18" ht="21" customHeight="1">
      <c r="E467" s="27"/>
      <c r="G467" s="27"/>
      <c r="I467" s="27"/>
      <c r="K467" s="27"/>
      <c r="M467" s="27"/>
      <c r="O467" s="27"/>
      <c r="R467" s="27"/>
    </row>
    <row r="468" spans="5:18" ht="21" customHeight="1">
      <c r="E468" s="27"/>
      <c r="G468" s="27"/>
      <c r="I468" s="27"/>
      <c r="K468" s="27"/>
      <c r="M468" s="27"/>
      <c r="O468" s="27"/>
      <c r="R468" s="27"/>
    </row>
    <row r="469" spans="5:18" ht="21" customHeight="1">
      <c r="E469" s="27"/>
      <c r="G469" s="27"/>
      <c r="I469" s="27"/>
      <c r="K469" s="27"/>
      <c r="M469" s="27"/>
      <c r="O469" s="27"/>
      <c r="R469" s="27"/>
    </row>
    <row r="470" spans="5:18" ht="21" customHeight="1">
      <c r="E470" s="27"/>
      <c r="G470" s="27"/>
      <c r="I470" s="27"/>
      <c r="K470" s="27"/>
      <c r="M470" s="27"/>
      <c r="O470" s="27"/>
      <c r="R470" s="27"/>
    </row>
    <row r="471" spans="5:18" ht="21" customHeight="1">
      <c r="E471" s="27"/>
      <c r="G471" s="27"/>
      <c r="I471" s="27"/>
      <c r="K471" s="27"/>
      <c r="M471" s="27"/>
      <c r="O471" s="27"/>
      <c r="R471" s="27"/>
    </row>
    <row r="472" spans="5:18" ht="21" customHeight="1">
      <c r="E472" s="27"/>
      <c r="G472" s="27"/>
      <c r="I472" s="27"/>
      <c r="K472" s="27"/>
      <c r="M472" s="27"/>
      <c r="O472" s="27"/>
      <c r="R472" s="27"/>
    </row>
    <row r="473" spans="5:18" ht="21" customHeight="1">
      <c r="E473" s="27"/>
      <c r="G473" s="27"/>
      <c r="I473" s="27"/>
      <c r="K473" s="27"/>
      <c r="M473" s="27"/>
      <c r="O473" s="27"/>
      <c r="R473" s="27"/>
    </row>
    <row r="474" spans="5:18" ht="21" customHeight="1">
      <c r="E474" s="27"/>
      <c r="G474" s="27"/>
      <c r="I474" s="27"/>
      <c r="K474" s="27"/>
      <c r="M474" s="27"/>
      <c r="O474" s="27"/>
      <c r="R474" s="27"/>
    </row>
    <row r="475" spans="5:18" ht="21" customHeight="1">
      <c r="E475" s="27"/>
      <c r="G475" s="27"/>
      <c r="I475" s="27"/>
      <c r="K475" s="27"/>
      <c r="M475" s="27"/>
      <c r="O475" s="27"/>
      <c r="R475" s="27"/>
    </row>
    <row r="476" spans="5:18" ht="21" customHeight="1">
      <c r="E476" s="27"/>
      <c r="G476" s="27"/>
      <c r="I476" s="27"/>
      <c r="K476" s="27"/>
      <c r="M476" s="27"/>
      <c r="O476" s="27"/>
      <c r="R476" s="27"/>
    </row>
    <row r="477" spans="5:18" ht="21" customHeight="1">
      <c r="E477" s="27"/>
      <c r="G477" s="27"/>
      <c r="I477" s="27"/>
      <c r="K477" s="27"/>
      <c r="M477" s="27"/>
      <c r="O477" s="27"/>
      <c r="R477" s="27"/>
    </row>
    <row r="478" spans="5:18" ht="21" customHeight="1">
      <c r="E478" s="27"/>
      <c r="G478" s="27"/>
      <c r="I478" s="27"/>
      <c r="K478" s="27"/>
      <c r="M478" s="27"/>
      <c r="O478" s="27"/>
      <c r="R478" s="27"/>
    </row>
    <row r="479" spans="5:18" ht="21" customHeight="1">
      <c r="E479" s="27"/>
      <c r="G479" s="27"/>
      <c r="I479" s="27"/>
      <c r="K479" s="27"/>
      <c r="M479" s="27"/>
      <c r="O479" s="27"/>
      <c r="R479" s="27"/>
    </row>
    <row r="480" spans="5:18" ht="21" customHeight="1">
      <c r="E480" s="27"/>
      <c r="G480" s="27"/>
      <c r="I480" s="27"/>
      <c r="K480" s="27"/>
      <c r="M480" s="27"/>
      <c r="O480" s="27"/>
      <c r="R480" s="27"/>
    </row>
    <row r="481" spans="5:18" ht="21" customHeight="1">
      <c r="E481" s="27"/>
      <c r="G481" s="27"/>
      <c r="I481" s="27"/>
      <c r="K481" s="27"/>
      <c r="M481" s="27"/>
      <c r="O481" s="27"/>
      <c r="R481" s="27"/>
    </row>
    <row r="482" spans="5:18" ht="21" customHeight="1">
      <c r="E482" s="27"/>
      <c r="G482" s="27"/>
      <c r="I482" s="27"/>
      <c r="K482" s="27"/>
      <c r="M482" s="27"/>
      <c r="O482" s="27"/>
      <c r="R482" s="27"/>
    </row>
    <row r="483" spans="5:18" ht="21" customHeight="1">
      <c r="E483" s="27"/>
      <c r="G483" s="27"/>
      <c r="I483" s="27"/>
      <c r="K483" s="27"/>
      <c r="M483" s="27"/>
      <c r="O483" s="27"/>
      <c r="R483" s="27"/>
    </row>
    <row r="484" spans="5:18" ht="21" customHeight="1">
      <c r="E484" s="27"/>
      <c r="G484" s="27"/>
      <c r="I484" s="27"/>
      <c r="K484" s="27"/>
      <c r="M484" s="27"/>
      <c r="O484" s="27"/>
      <c r="R484" s="27"/>
    </row>
    <row r="485" spans="5:18" ht="21" customHeight="1">
      <c r="E485" s="27"/>
      <c r="G485" s="27"/>
      <c r="I485" s="27"/>
      <c r="K485" s="27"/>
      <c r="M485" s="27"/>
      <c r="O485" s="27"/>
      <c r="R485" s="27"/>
    </row>
    <row r="486" spans="5:18" ht="21" customHeight="1">
      <c r="E486" s="27"/>
      <c r="G486" s="27"/>
      <c r="I486" s="27"/>
      <c r="K486" s="27"/>
      <c r="M486" s="27"/>
      <c r="O486" s="27"/>
      <c r="R486" s="27"/>
    </row>
    <row r="487" spans="5:18" ht="21" customHeight="1">
      <c r="E487" s="27"/>
      <c r="G487" s="27"/>
      <c r="I487" s="27"/>
      <c r="K487" s="27"/>
      <c r="M487" s="27"/>
      <c r="O487" s="27"/>
      <c r="R487" s="27"/>
    </row>
    <row r="488" spans="5:18" ht="21" customHeight="1">
      <c r="E488" s="27"/>
      <c r="G488" s="27"/>
      <c r="I488" s="27"/>
      <c r="K488" s="27"/>
      <c r="M488" s="27"/>
      <c r="O488" s="27"/>
      <c r="R488" s="27"/>
    </row>
    <row r="489" spans="5:18" ht="21" customHeight="1">
      <c r="E489" s="27"/>
      <c r="G489" s="27"/>
      <c r="I489" s="27"/>
      <c r="K489" s="27"/>
      <c r="M489" s="27"/>
      <c r="O489" s="27"/>
      <c r="R489" s="27"/>
    </row>
    <row r="490" spans="5:18" ht="21" customHeight="1">
      <c r="E490" s="27"/>
      <c r="G490" s="27"/>
      <c r="I490" s="27"/>
      <c r="K490" s="27"/>
      <c r="M490" s="27"/>
      <c r="O490" s="27"/>
      <c r="R490" s="27"/>
    </row>
    <row r="491" spans="5:18" ht="21" customHeight="1">
      <c r="E491" s="27"/>
      <c r="G491" s="27"/>
      <c r="I491" s="27"/>
      <c r="K491" s="27"/>
      <c r="M491" s="27"/>
      <c r="O491" s="27"/>
      <c r="R491" s="27"/>
    </row>
    <row r="492" spans="5:18" ht="21" customHeight="1">
      <c r="E492" s="27"/>
      <c r="G492" s="27"/>
      <c r="I492" s="27"/>
      <c r="K492" s="27"/>
      <c r="M492" s="27"/>
      <c r="O492" s="27"/>
      <c r="R492" s="27"/>
    </row>
    <row r="493" spans="5:18" ht="21" customHeight="1">
      <c r="E493" s="27"/>
      <c r="G493" s="27"/>
      <c r="I493" s="27"/>
      <c r="K493" s="27"/>
      <c r="M493" s="27"/>
      <c r="O493" s="27"/>
      <c r="R493" s="27"/>
    </row>
    <row r="494" spans="5:18" ht="21" customHeight="1">
      <c r="E494" s="27"/>
      <c r="G494" s="27"/>
      <c r="I494" s="27"/>
      <c r="K494" s="27"/>
      <c r="M494" s="27"/>
      <c r="O494" s="27"/>
      <c r="R494" s="27"/>
    </row>
    <row r="495" spans="5:18" ht="21" customHeight="1">
      <c r="E495" s="27"/>
      <c r="G495" s="27"/>
      <c r="I495" s="27"/>
      <c r="K495" s="27"/>
      <c r="M495" s="27"/>
      <c r="O495" s="27"/>
      <c r="R495" s="27"/>
    </row>
    <row r="496" spans="5:18" ht="21" customHeight="1">
      <c r="E496" s="27"/>
      <c r="G496" s="27"/>
      <c r="I496" s="27"/>
      <c r="K496" s="27"/>
      <c r="M496" s="27"/>
      <c r="O496" s="27"/>
      <c r="R496" s="27"/>
    </row>
    <row r="497" spans="5:18" ht="21" customHeight="1">
      <c r="E497" s="27"/>
      <c r="G497" s="27"/>
      <c r="I497" s="27"/>
      <c r="K497" s="27"/>
      <c r="M497" s="27"/>
      <c r="O497" s="27"/>
      <c r="R497" s="27"/>
    </row>
    <row r="498" spans="5:18" ht="21" customHeight="1">
      <c r="E498" s="27"/>
      <c r="G498" s="27"/>
      <c r="I498" s="27"/>
      <c r="K498" s="27"/>
      <c r="M498" s="27"/>
      <c r="O498" s="27"/>
      <c r="R498" s="27"/>
    </row>
    <row r="499" spans="5:18" ht="21" customHeight="1">
      <c r="E499" s="27"/>
      <c r="G499" s="27"/>
      <c r="I499" s="27"/>
      <c r="K499" s="27"/>
      <c r="M499" s="27"/>
      <c r="O499" s="27"/>
      <c r="R499" s="27"/>
    </row>
    <row r="500" spans="5:18" ht="21" customHeight="1">
      <c r="E500" s="27"/>
      <c r="G500" s="27"/>
      <c r="I500" s="27"/>
      <c r="K500" s="27"/>
      <c r="M500" s="27"/>
      <c r="O500" s="27"/>
      <c r="R500" s="27"/>
    </row>
    <row r="501" spans="5:18" ht="21" customHeight="1">
      <c r="E501" s="27"/>
      <c r="G501" s="27"/>
      <c r="I501" s="27"/>
      <c r="K501" s="27"/>
      <c r="M501" s="27"/>
      <c r="O501" s="27"/>
      <c r="R501" s="27"/>
    </row>
    <row r="502" spans="5:18" ht="21" customHeight="1">
      <c r="E502" s="27"/>
      <c r="G502" s="27"/>
      <c r="I502" s="27"/>
      <c r="K502" s="27"/>
      <c r="M502" s="27"/>
      <c r="O502" s="27"/>
      <c r="R502" s="27"/>
    </row>
    <row r="503" spans="5:18" ht="21" customHeight="1">
      <c r="E503" s="27"/>
      <c r="G503" s="27"/>
      <c r="I503" s="27"/>
      <c r="K503" s="27"/>
      <c r="M503" s="27"/>
      <c r="O503" s="27"/>
      <c r="R503" s="27"/>
    </row>
    <row r="504" spans="5:18" ht="21" customHeight="1">
      <c r="E504" s="27"/>
      <c r="G504" s="27"/>
      <c r="I504" s="27"/>
      <c r="K504" s="27"/>
      <c r="M504" s="27"/>
      <c r="O504" s="27"/>
      <c r="R504" s="27"/>
    </row>
    <row r="505" spans="5:18" ht="21" customHeight="1">
      <c r="E505" s="27"/>
      <c r="G505" s="27"/>
      <c r="I505" s="27"/>
      <c r="K505" s="27"/>
      <c r="M505" s="27"/>
      <c r="O505" s="27"/>
      <c r="R505" s="27"/>
    </row>
    <row r="506" spans="5:18" ht="21" customHeight="1">
      <c r="E506" s="27"/>
      <c r="G506" s="27"/>
      <c r="I506" s="27"/>
      <c r="K506" s="27"/>
      <c r="M506" s="27"/>
      <c r="O506" s="27"/>
      <c r="R506" s="27"/>
    </row>
    <row r="507" spans="5:18" ht="21" customHeight="1">
      <c r="E507" s="27"/>
      <c r="G507" s="27"/>
      <c r="I507" s="27"/>
      <c r="K507" s="27"/>
      <c r="M507" s="27"/>
      <c r="O507" s="27"/>
      <c r="R507" s="27"/>
    </row>
    <row r="508" spans="5:18" ht="21" customHeight="1">
      <c r="E508" s="27"/>
      <c r="G508" s="27"/>
      <c r="I508" s="27"/>
      <c r="K508" s="27"/>
      <c r="M508" s="27"/>
      <c r="O508" s="27"/>
      <c r="R508" s="27"/>
    </row>
    <row r="509" spans="5:18" ht="21" customHeight="1">
      <c r="E509" s="27"/>
      <c r="G509" s="27"/>
      <c r="I509" s="27"/>
      <c r="K509" s="27"/>
      <c r="M509" s="27"/>
      <c r="O509" s="27"/>
      <c r="R509" s="27"/>
    </row>
    <row r="510" spans="5:18" ht="21" customHeight="1">
      <c r="E510" s="27"/>
      <c r="G510" s="27"/>
      <c r="I510" s="27"/>
      <c r="K510" s="27"/>
      <c r="M510" s="27"/>
      <c r="O510" s="27"/>
      <c r="R510" s="27"/>
    </row>
    <row r="511" spans="5:18" ht="21" customHeight="1">
      <c r="E511" s="27"/>
      <c r="G511" s="27"/>
      <c r="I511" s="27"/>
      <c r="K511" s="27"/>
      <c r="M511" s="27"/>
      <c r="O511" s="27"/>
      <c r="R511" s="27"/>
    </row>
    <row r="512" spans="5:18" ht="21" customHeight="1">
      <c r="E512" s="27"/>
      <c r="G512" s="27"/>
      <c r="I512" s="27"/>
      <c r="K512" s="27"/>
      <c r="M512" s="27"/>
      <c r="O512" s="27"/>
      <c r="R512" s="27"/>
    </row>
    <row r="513" spans="5:18" ht="21" customHeight="1">
      <c r="E513" s="27"/>
      <c r="G513" s="27"/>
      <c r="I513" s="27"/>
      <c r="K513" s="27"/>
      <c r="M513" s="27"/>
      <c r="O513" s="27"/>
      <c r="R513" s="27"/>
    </row>
    <row r="514" spans="5:18" ht="21" customHeight="1">
      <c r="E514" s="27"/>
      <c r="G514" s="27"/>
      <c r="I514" s="27"/>
      <c r="K514" s="27"/>
      <c r="M514" s="27"/>
      <c r="O514" s="27"/>
      <c r="R514" s="27"/>
    </row>
    <row r="515" spans="5:18" ht="21" customHeight="1">
      <c r="E515" s="27"/>
      <c r="G515" s="27"/>
      <c r="I515" s="27"/>
      <c r="K515" s="27"/>
      <c r="M515" s="27"/>
      <c r="O515" s="27"/>
      <c r="R515" s="27"/>
    </row>
    <row r="516" spans="5:18" ht="21" customHeight="1">
      <c r="E516" s="27"/>
      <c r="G516" s="27"/>
      <c r="I516" s="27"/>
      <c r="K516" s="27"/>
      <c r="M516" s="27"/>
      <c r="O516" s="27"/>
      <c r="R516" s="27"/>
    </row>
    <row r="517" spans="5:18" ht="21" customHeight="1">
      <c r="E517" s="27"/>
      <c r="G517" s="27"/>
      <c r="I517" s="27"/>
      <c r="K517" s="27"/>
      <c r="M517" s="27"/>
      <c r="O517" s="27"/>
      <c r="R517" s="27"/>
    </row>
    <row r="518" spans="5:18" ht="21" customHeight="1">
      <c r="E518" s="27"/>
      <c r="G518" s="27"/>
      <c r="I518" s="27"/>
      <c r="K518" s="27"/>
      <c r="M518" s="27"/>
      <c r="O518" s="27"/>
      <c r="R518" s="27"/>
    </row>
    <row r="519" spans="5:18" ht="21" customHeight="1">
      <c r="E519" s="27"/>
      <c r="G519" s="27"/>
      <c r="I519" s="27"/>
      <c r="K519" s="27"/>
      <c r="M519" s="27"/>
      <c r="O519" s="27"/>
      <c r="R519" s="27"/>
    </row>
    <row r="520" spans="5:18" ht="21" customHeight="1">
      <c r="E520" s="27"/>
      <c r="G520" s="27"/>
      <c r="I520" s="27"/>
      <c r="K520" s="27"/>
      <c r="M520" s="27"/>
      <c r="O520" s="27"/>
      <c r="R520" s="27"/>
    </row>
    <row r="521" spans="5:18" ht="21" customHeight="1">
      <c r="E521" s="27"/>
      <c r="G521" s="27"/>
      <c r="I521" s="27"/>
      <c r="K521" s="27"/>
      <c r="M521" s="27"/>
      <c r="O521" s="27"/>
      <c r="R521" s="27"/>
    </row>
    <row r="522" spans="5:18" ht="21" customHeight="1">
      <c r="E522" s="27"/>
      <c r="G522" s="27"/>
      <c r="I522" s="27"/>
      <c r="K522" s="27"/>
      <c r="M522" s="27"/>
      <c r="O522" s="27"/>
      <c r="R522" s="27"/>
    </row>
    <row r="523" spans="5:18" ht="21" customHeight="1">
      <c r="E523" s="27"/>
      <c r="G523" s="27"/>
      <c r="I523" s="27"/>
      <c r="K523" s="27"/>
      <c r="M523" s="27"/>
      <c r="O523" s="27"/>
      <c r="R523" s="27"/>
    </row>
    <row r="524" spans="5:18" ht="21" customHeight="1">
      <c r="E524" s="27"/>
      <c r="G524" s="27"/>
      <c r="I524" s="27"/>
      <c r="K524" s="27"/>
      <c r="M524" s="27"/>
      <c r="O524" s="27"/>
      <c r="R524" s="27"/>
    </row>
    <row r="525" spans="5:18" ht="21" customHeight="1">
      <c r="E525" s="27"/>
      <c r="G525" s="27"/>
      <c r="I525" s="27"/>
      <c r="K525" s="27"/>
      <c r="M525" s="27"/>
      <c r="O525" s="27"/>
      <c r="R525" s="27"/>
    </row>
    <row r="526" spans="5:18" ht="21" customHeight="1">
      <c r="E526" s="27"/>
      <c r="G526" s="27"/>
      <c r="I526" s="27"/>
      <c r="K526" s="27"/>
      <c r="M526" s="27"/>
      <c r="O526" s="27"/>
      <c r="R526" s="27"/>
    </row>
    <row r="527" spans="5:18" ht="21" customHeight="1">
      <c r="E527" s="27"/>
      <c r="G527" s="27"/>
      <c r="I527" s="27"/>
      <c r="K527" s="27"/>
      <c r="M527" s="27"/>
      <c r="O527" s="27"/>
      <c r="R527" s="27"/>
    </row>
    <row r="528" spans="5:18" ht="21" customHeight="1">
      <c r="E528" s="27"/>
      <c r="G528" s="27"/>
      <c r="I528" s="27"/>
      <c r="K528" s="27"/>
      <c r="M528" s="27"/>
      <c r="O528" s="27"/>
      <c r="R528" s="27"/>
    </row>
    <row r="529" spans="5:18" ht="21" customHeight="1">
      <c r="E529" s="27"/>
      <c r="G529" s="27"/>
      <c r="I529" s="27"/>
      <c r="K529" s="27"/>
      <c r="M529" s="27"/>
      <c r="O529" s="27"/>
      <c r="R529" s="27"/>
    </row>
    <row r="530" spans="5:18" ht="21" customHeight="1">
      <c r="E530" s="27"/>
      <c r="G530" s="27"/>
      <c r="I530" s="27"/>
      <c r="K530" s="27"/>
      <c r="M530" s="27"/>
      <c r="O530" s="27"/>
      <c r="R530" s="27"/>
    </row>
    <row r="531" spans="5:18" ht="21" customHeight="1">
      <c r="E531" s="27"/>
      <c r="G531" s="27"/>
      <c r="I531" s="27"/>
      <c r="K531" s="27"/>
      <c r="M531" s="27"/>
      <c r="O531" s="27"/>
      <c r="R531" s="27"/>
    </row>
    <row r="532" spans="5:18" ht="21" customHeight="1">
      <c r="E532" s="27"/>
      <c r="G532" s="27"/>
      <c r="I532" s="27"/>
      <c r="K532" s="27"/>
      <c r="M532" s="27"/>
      <c r="O532" s="27"/>
      <c r="R532" s="27"/>
    </row>
    <row r="533" spans="5:18" ht="21" customHeight="1">
      <c r="E533" s="27"/>
      <c r="G533" s="27"/>
      <c r="I533" s="27"/>
      <c r="K533" s="27"/>
      <c r="M533" s="27"/>
      <c r="O533" s="27"/>
      <c r="R533" s="27"/>
    </row>
    <row r="534" spans="5:18" ht="21" customHeight="1">
      <c r="E534" s="27"/>
      <c r="G534" s="27"/>
      <c r="I534" s="27"/>
      <c r="K534" s="27"/>
      <c r="M534" s="27"/>
      <c r="O534" s="27"/>
      <c r="R534" s="27"/>
    </row>
    <row r="535" spans="5:18" ht="21" customHeight="1">
      <c r="E535" s="27"/>
      <c r="G535" s="27"/>
      <c r="I535" s="27"/>
      <c r="K535" s="27"/>
      <c r="M535" s="27"/>
      <c r="O535" s="27"/>
      <c r="R535" s="27"/>
    </row>
    <row r="536" spans="5:18" ht="21" customHeight="1">
      <c r="E536" s="27"/>
      <c r="G536" s="27"/>
      <c r="I536" s="27"/>
      <c r="K536" s="27"/>
      <c r="M536" s="27"/>
      <c r="O536" s="27"/>
      <c r="R536" s="27"/>
    </row>
    <row r="537" spans="5:18" ht="21" customHeight="1">
      <c r="E537" s="27"/>
      <c r="G537" s="27"/>
      <c r="I537" s="27"/>
      <c r="K537" s="27"/>
      <c r="M537" s="27"/>
      <c r="O537" s="27"/>
      <c r="R537" s="27"/>
    </row>
    <row r="538" spans="5:18" ht="21" customHeight="1">
      <c r="E538" s="27"/>
      <c r="G538" s="27"/>
      <c r="I538" s="27"/>
      <c r="K538" s="27"/>
      <c r="M538" s="27"/>
      <c r="O538" s="27"/>
      <c r="R538" s="27"/>
    </row>
    <row r="539" spans="5:18" ht="21" customHeight="1">
      <c r="E539" s="27"/>
      <c r="G539" s="27"/>
      <c r="I539" s="27"/>
      <c r="K539" s="27"/>
      <c r="M539" s="27"/>
      <c r="O539" s="27"/>
      <c r="R539" s="27"/>
    </row>
    <row r="540" spans="5:18" ht="21" customHeight="1">
      <c r="E540" s="27"/>
      <c r="G540" s="27"/>
      <c r="I540" s="27"/>
      <c r="K540" s="27"/>
      <c r="M540" s="27"/>
      <c r="O540" s="27"/>
      <c r="R540" s="27"/>
    </row>
    <row r="541" spans="5:18" ht="21" customHeight="1">
      <c r="E541" s="27"/>
      <c r="G541" s="27"/>
      <c r="I541" s="27"/>
      <c r="K541" s="27"/>
      <c r="M541" s="27"/>
      <c r="O541" s="27"/>
      <c r="R541" s="27"/>
    </row>
    <row r="542" spans="5:18" ht="21" customHeight="1">
      <c r="E542" s="27"/>
      <c r="G542" s="27"/>
      <c r="I542" s="27"/>
      <c r="K542" s="27"/>
      <c r="M542" s="27"/>
      <c r="O542" s="27"/>
      <c r="R542" s="27"/>
    </row>
    <row r="543" spans="5:18" ht="21" customHeight="1">
      <c r="E543" s="27"/>
      <c r="G543" s="27"/>
      <c r="I543" s="27"/>
      <c r="K543" s="27"/>
      <c r="M543" s="27"/>
      <c r="O543" s="27"/>
      <c r="R543" s="27"/>
    </row>
    <row r="544" spans="5:18" ht="21" customHeight="1">
      <c r="E544" s="27"/>
      <c r="G544" s="27"/>
      <c r="I544" s="27"/>
      <c r="K544" s="27"/>
      <c r="M544" s="27"/>
      <c r="O544" s="27"/>
      <c r="R544" s="27"/>
    </row>
    <row r="545" spans="5:18" ht="21" customHeight="1">
      <c r="E545" s="27"/>
      <c r="G545" s="27"/>
      <c r="I545" s="27"/>
      <c r="K545" s="27"/>
      <c r="M545" s="27"/>
      <c r="O545" s="27"/>
      <c r="R545" s="27"/>
    </row>
    <row r="546" spans="5:18" ht="21" customHeight="1">
      <c r="E546" s="27"/>
      <c r="G546" s="27"/>
      <c r="I546" s="27"/>
      <c r="K546" s="27"/>
      <c r="M546" s="27"/>
      <c r="O546" s="27"/>
      <c r="R546" s="27"/>
    </row>
    <row r="547" spans="5:18" ht="21" customHeight="1">
      <c r="E547" s="27"/>
      <c r="G547" s="27"/>
      <c r="I547" s="27"/>
      <c r="K547" s="27"/>
      <c r="M547" s="27"/>
      <c r="O547" s="27"/>
      <c r="R547" s="27"/>
    </row>
    <row r="548" spans="5:18" ht="21" customHeight="1">
      <c r="E548" s="27"/>
      <c r="G548" s="27"/>
      <c r="I548" s="27"/>
      <c r="K548" s="27"/>
      <c r="M548" s="27"/>
      <c r="O548" s="27"/>
      <c r="R548" s="27"/>
    </row>
    <row r="549" spans="5:18" ht="21" customHeight="1">
      <c r="E549" s="27"/>
      <c r="G549" s="27"/>
      <c r="I549" s="27"/>
      <c r="K549" s="27"/>
      <c r="M549" s="27"/>
      <c r="O549" s="27"/>
      <c r="R549" s="27"/>
    </row>
    <row r="550" spans="5:18" ht="21" customHeight="1">
      <c r="E550" s="27"/>
      <c r="G550" s="27"/>
      <c r="I550" s="27"/>
      <c r="K550" s="27"/>
      <c r="M550" s="27"/>
      <c r="O550" s="27"/>
      <c r="R550" s="27"/>
    </row>
    <row r="551" spans="5:18" ht="21" customHeight="1">
      <c r="E551" s="27"/>
      <c r="G551" s="27"/>
      <c r="I551" s="27"/>
      <c r="K551" s="27"/>
      <c r="M551" s="27"/>
      <c r="O551" s="27"/>
      <c r="R551" s="27"/>
    </row>
    <row r="552" spans="5:18" ht="21" customHeight="1">
      <c r="E552" s="27"/>
      <c r="G552" s="27"/>
      <c r="I552" s="27"/>
      <c r="K552" s="27"/>
      <c r="M552" s="27"/>
      <c r="O552" s="27"/>
      <c r="R552" s="27"/>
    </row>
    <row r="553" spans="5:18" ht="21" customHeight="1">
      <c r="E553" s="27"/>
      <c r="G553" s="27"/>
      <c r="I553" s="27"/>
      <c r="K553" s="27"/>
      <c r="M553" s="27"/>
      <c r="O553" s="27"/>
      <c r="R553" s="27"/>
    </row>
    <row r="554" spans="5:18" ht="21" customHeight="1">
      <c r="E554" s="27"/>
      <c r="G554" s="27"/>
      <c r="I554" s="27"/>
      <c r="K554" s="27"/>
      <c r="M554" s="27"/>
      <c r="O554" s="27"/>
      <c r="R554" s="27"/>
    </row>
    <row r="555" spans="5:18" ht="21" customHeight="1">
      <c r="E555" s="27"/>
      <c r="G555" s="27"/>
      <c r="I555" s="27"/>
      <c r="K555" s="27"/>
      <c r="M555" s="27"/>
      <c r="O555" s="27"/>
      <c r="R555" s="27"/>
    </row>
    <row r="556" spans="5:18" ht="21" customHeight="1">
      <c r="E556" s="27"/>
      <c r="G556" s="27"/>
      <c r="I556" s="27"/>
      <c r="K556" s="27"/>
      <c r="M556" s="27"/>
      <c r="O556" s="27"/>
      <c r="R556" s="27"/>
    </row>
    <row r="557" spans="5:18" ht="21" customHeight="1">
      <c r="E557" s="27"/>
      <c r="G557" s="27"/>
      <c r="I557" s="27"/>
      <c r="K557" s="27"/>
      <c r="M557" s="27"/>
      <c r="O557" s="27"/>
      <c r="R557" s="27"/>
    </row>
    <row r="558" spans="5:18" ht="21" customHeight="1">
      <c r="E558" s="27"/>
      <c r="G558" s="27"/>
      <c r="I558" s="27"/>
      <c r="K558" s="27"/>
      <c r="M558" s="27"/>
      <c r="O558" s="27"/>
      <c r="R558" s="27"/>
    </row>
    <row r="559" spans="5:18" ht="21" customHeight="1">
      <c r="E559" s="27"/>
      <c r="G559" s="27"/>
      <c r="I559" s="27"/>
      <c r="K559" s="27"/>
      <c r="M559" s="27"/>
      <c r="O559" s="27"/>
      <c r="R559" s="27"/>
    </row>
    <row r="560" spans="5:18" ht="21" customHeight="1">
      <c r="E560" s="27"/>
      <c r="G560" s="27"/>
      <c r="I560" s="27"/>
      <c r="K560" s="27"/>
      <c r="M560" s="27"/>
      <c r="O560" s="27"/>
      <c r="R560" s="27"/>
    </row>
    <row r="561" spans="5:18" ht="21" customHeight="1">
      <c r="E561" s="27"/>
      <c r="G561" s="27"/>
      <c r="I561" s="27"/>
      <c r="K561" s="27"/>
      <c r="M561" s="27"/>
      <c r="O561" s="27"/>
      <c r="R561" s="27"/>
    </row>
    <row r="562" spans="5:18" ht="21" customHeight="1">
      <c r="E562" s="27"/>
      <c r="G562" s="27"/>
      <c r="I562" s="27"/>
      <c r="K562" s="27"/>
      <c r="M562" s="27"/>
      <c r="O562" s="27"/>
      <c r="R562" s="27"/>
    </row>
    <row r="563" spans="5:18" ht="21" customHeight="1">
      <c r="E563" s="27"/>
      <c r="G563" s="27"/>
      <c r="I563" s="27"/>
      <c r="K563" s="27"/>
      <c r="M563" s="27"/>
      <c r="O563" s="27"/>
      <c r="R563" s="27"/>
    </row>
    <row r="564" spans="5:18" ht="21" customHeight="1">
      <c r="E564" s="27"/>
      <c r="G564" s="27"/>
      <c r="I564" s="27"/>
      <c r="K564" s="27"/>
      <c r="M564" s="27"/>
      <c r="O564" s="27"/>
      <c r="R564" s="27"/>
    </row>
    <row r="565" spans="5:18" ht="21" customHeight="1">
      <c r="E565" s="27"/>
      <c r="G565" s="27"/>
      <c r="I565" s="27"/>
      <c r="K565" s="27"/>
      <c r="M565" s="27"/>
      <c r="O565" s="27"/>
      <c r="R565" s="27"/>
    </row>
    <row r="566" spans="5:18" ht="21" customHeight="1">
      <c r="E566" s="27"/>
      <c r="G566" s="27"/>
      <c r="I566" s="27"/>
      <c r="K566" s="27"/>
      <c r="M566" s="27"/>
      <c r="O566" s="27"/>
      <c r="R566" s="27"/>
    </row>
    <row r="567" spans="5:18" ht="21" customHeight="1">
      <c r="E567" s="27"/>
      <c r="G567" s="27"/>
      <c r="I567" s="27"/>
      <c r="K567" s="27"/>
      <c r="M567" s="27"/>
      <c r="O567" s="27"/>
      <c r="R567" s="27"/>
    </row>
    <row r="568" spans="5:18" ht="21" customHeight="1">
      <c r="E568" s="27"/>
      <c r="G568" s="27"/>
      <c r="I568" s="27"/>
      <c r="K568" s="27"/>
      <c r="M568" s="27"/>
      <c r="O568" s="27"/>
      <c r="R568" s="27"/>
    </row>
    <row r="569" spans="5:18" ht="21" customHeight="1">
      <c r="E569" s="27"/>
      <c r="G569" s="27"/>
      <c r="I569" s="27"/>
      <c r="K569" s="27"/>
      <c r="M569" s="27"/>
      <c r="O569" s="27"/>
      <c r="R569" s="27"/>
    </row>
    <row r="570" spans="5:18" ht="21" customHeight="1">
      <c r="E570" s="27"/>
      <c r="G570" s="27"/>
      <c r="I570" s="27"/>
      <c r="K570" s="27"/>
      <c r="M570" s="27"/>
      <c r="O570" s="27"/>
      <c r="R570" s="27"/>
    </row>
    <row r="571" spans="5:18" ht="21" customHeight="1">
      <c r="E571" s="27"/>
      <c r="G571" s="27"/>
      <c r="I571" s="27"/>
      <c r="K571" s="27"/>
      <c r="M571" s="27"/>
      <c r="O571" s="27"/>
      <c r="R571" s="27"/>
    </row>
    <row r="572" spans="5:18" ht="21" customHeight="1">
      <c r="E572" s="27"/>
      <c r="G572" s="27"/>
      <c r="I572" s="27"/>
      <c r="K572" s="27"/>
      <c r="M572" s="27"/>
      <c r="O572" s="27"/>
      <c r="R572" s="27"/>
    </row>
    <row r="573" spans="5:18" ht="21" customHeight="1">
      <c r="E573" s="27"/>
      <c r="G573" s="27"/>
      <c r="I573" s="27"/>
      <c r="K573" s="27"/>
      <c r="M573" s="27"/>
      <c r="O573" s="27"/>
      <c r="R573" s="27"/>
    </row>
    <row r="574" spans="5:18" ht="21" customHeight="1">
      <c r="E574" s="27"/>
      <c r="G574" s="27"/>
      <c r="I574" s="27"/>
      <c r="K574" s="27"/>
      <c r="M574" s="27"/>
      <c r="O574" s="27"/>
      <c r="R574" s="27"/>
    </row>
    <row r="575" spans="5:18" ht="21" customHeight="1">
      <c r="E575" s="27"/>
      <c r="G575" s="27"/>
      <c r="I575" s="27"/>
      <c r="K575" s="27"/>
      <c r="M575" s="27"/>
      <c r="O575" s="27"/>
      <c r="R575" s="27"/>
    </row>
    <row r="576" spans="5:18" ht="21" customHeight="1">
      <c r="E576" s="27"/>
      <c r="G576" s="27"/>
      <c r="I576" s="27"/>
      <c r="K576" s="27"/>
      <c r="M576" s="27"/>
      <c r="O576" s="27"/>
      <c r="R576" s="27"/>
    </row>
    <row r="577" spans="5:18" ht="21" customHeight="1">
      <c r="E577" s="27"/>
      <c r="G577" s="27"/>
      <c r="I577" s="27"/>
      <c r="K577" s="27"/>
      <c r="M577" s="27"/>
      <c r="O577" s="27"/>
      <c r="R577" s="27"/>
    </row>
    <row r="578" spans="5:18" ht="21" customHeight="1">
      <c r="E578" s="27"/>
      <c r="G578" s="27"/>
      <c r="I578" s="27"/>
      <c r="K578" s="27"/>
      <c r="M578" s="27"/>
      <c r="O578" s="27"/>
      <c r="R578" s="27"/>
    </row>
    <row r="579" spans="5:18" ht="21" customHeight="1">
      <c r="E579" s="27"/>
      <c r="G579" s="27"/>
      <c r="I579" s="27"/>
      <c r="K579" s="27"/>
      <c r="M579" s="27"/>
      <c r="O579" s="27"/>
      <c r="R579" s="27"/>
    </row>
    <row r="580" spans="5:18" ht="21" customHeight="1">
      <c r="E580" s="27"/>
      <c r="G580" s="27"/>
      <c r="I580" s="27"/>
      <c r="K580" s="27"/>
      <c r="M580" s="27"/>
      <c r="O580" s="27"/>
      <c r="R580" s="27"/>
    </row>
    <row r="581" spans="5:18" ht="21" customHeight="1">
      <c r="E581" s="27"/>
      <c r="G581" s="27"/>
      <c r="I581" s="27"/>
      <c r="K581" s="27"/>
      <c r="M581" s="27"/>
      <c r="O581" s="27"/>
      <c r="R581" s="27"/>
    </row>
    <row r="582" spans="5:18" ht="21" customHeight="1">
      <c r="E582" s="27"/>
      <c r="G582" s="27"/>
      <c r="I582" s="27"/>
      <c r="K582" s="27"/>
      <c r="M582" s="27"/>
      <c r="O582" s="27"/>
      <c r="R582" s="27"/>
    </row>
    <row r="583" spans="5:18" ht="21" customHeight="1">
      <c r="E583" s="27"/>
      <c r="G583" s="27"/>
      <c r="I583" s="27"/>
      <c r="K583" s="27"/>
      <c r="M583" s="27"/>
      <c r="O583" s="27"/>
      <c r="R583" s="27"/>
    </row>
    <row r="584" spans="5:18" ht="21" customHeight="1">
      <c r="E584" s="27"/>
      <c r="G584" s="27"/>
      <c r="I584" s="27"/>
      <c r="K584" s="27"/>
      <c r="M584" s="27"/>
      <c r="O584" s="27"/>
      <c r="R584" s="27"/>
    </row>
    <row r="585" spans="5:18" ht="21" customHeight="1">
      <c r="E585" s="27"/>
      <c r="G585" s="27"/>
      <c r="I585" s="27"/>
      <c r="K585" s="27"/>
      <c r="M585" s="27"/>
      <c r="O585" s="27"/>
      <c r="R585" s="27"/>
    </row>
    <row r="586" spans="5:18" ht="21" customHeight="1">
      <c r="E586" s="27"/>
      <c r="G586" s="27"/>
      <c r="I586" s="27"/>
      <c r="K586" s="27"/>
      <c r="M586" s="27"/>
      <c r="O586" s="27"/>
      <c r="R586" s="27"/>
    </row>
    <row r="587" spans="5:18" ht="21" customHeight="1">
      <c r="E587" s="27"/>
      <c r="G587" s="27"/>
      <c r="I587" s="27"/>
      <c r="K587" s="27"/>
      <c r="M587" s="27"/>
      <c r="O587" s="27"/>
      <c r="R587" s="27"/>
    </row>
    <row r="588" spans="5:18" ht="21" customHeight="1">
      <c r="E588" s="27"/>
      <c r="G588" s="27"/>
      <c r="I588" s="27"/>
      <c r="K588" s="27"/>
      <c r="M588" s="27"/>
      <c r="O588" s="27"/>
      <c r="R588" s="27"/>
    </row>
    <row r="589" spans="5:18" ht="21" customHeight="1">
      <c r="E589" s="27"/>
      <c r="G589" s="27"/>
      <c r="I589" s="27"/>
      <c r="K589" s="27"/>
      <c r="M589" s="27"/>
      <c r="O589" s="27"/>
      <c r="R589" s="27"/>
    </row>
    <row r="590" spans="5:18" ht="21" customHeight="1">
      <c r="E590" s="27"/>
      <c r="G590" s="27"/>
      <c r="I590" s="27"/>
      <c r="K590" s="27"/>
      <c r="M590" s="27"/>
      <c r="O590" s="27"/>
      <c r="R590" s="27"/>
    </row>
    <row r="591" spans="5:18" ht="21" customHeight="1">
      <c r="E591" s="27"/>
      <c r="G591" s="27"/>
      <c r="I591" s="27"/>
      <c r="K591" s="27"/>
      <c r="M591" s="27"/>
      <c r="O591" s="27"/>
      <c r="R591" s="27"/>
    </row>
    <row r="592" spans="5:18" ht="21" customHeight="1">
      <c r="E592" s="27"/>
      <c r="G592" s="27"/>
      <c r="I592" s="27"/>
      <c r="K592" s="27"/>
      <c r="M592" s="27"/>
      <c r="O592" s="27"/>
      <c r="R592" s="27"/>
    </row>
    <row r="593" spans="5:18" ht="21" customHeight="1">
      <c r="E593" s="27"/>
      <c r="G593" s="27"/>
      <c r="I593" s="27"/>
      <c r="K593" s="27"/>
      <c r="M593" s="27"/>
      <c r="O593" s="27"/>
      <c r="R593" s="27"/>
    </row>
    <row r="594" spans="5:18" ht="21" customHeight="1">
      <c r="E594" s="27"/>
      <c r="G594" s="27"/>
      <c r="I594" s="27"/>
      <c r="K594" s="27"/>
      <c r="M594" s="27"/>
      <c r="O594" s="27"/>
      <c r="R594" s="27"/>
    </row>
    <row r="595" spans="5:18" ht="21" customHeight="1">
      <c r="E595" s="27"/>
      <c r="G595" s="27"/>
      <c r="I595" s="27"/>
      <c r="K595" s="27"/>
      <c r="M595" s="27"/>
      <c r="O595" s="27"/>
      <c r="R595" s="27"/>
    </row>
    <row r="596" spans="5:18" ht="21" customHeight="1">
      <c r="E596" s="27"/>
      <c r="G596" s="27"/>
      <c r="I596" s="27"/>
      <c r="K596" s="27"/>
      <c r="M596" s="27"/>
      <c r="O596" s="27"/>
      <c r="R596" s="27"/>
    </row>
    <row r="597" spans="5:18" ht="21" customHeight="1">
      <c r="E597" s="27"/>
      <c r="G597" s="27"/>
      <c r="I597" s="27"/>
      <c r="K597" s="27"/>
      <c r="M597" s="27"/>
      <c r="O597" s="27"/>
      <c r="R597" s="27"/>
    </row>
    <row r="598" spans="5:18" ht="21" customHeight="1">
      <c r="E598" s="27"/>
      <c r="G598" s="27"/>
      <c r="I598" s="27"/>
      <c r="K598" s="27"/>
      <c r="M598" s="27"/>
      <c r="O598" s="27"/>
      <c r="R598" s="27"/>
    </row>
    <row r="599" spans="5:18" ht="21" customHeight="1">
      <c r="E599" s="27"/>
      <c r="G599" s="27"/>
      <c r="I599" s="27"/>
      <c r="K599" s="27"/>
      <c r="M599" s="27"/>
      <c r="O599" s="27"/>
      <c r="R599" s="27"/>
    </row>
    <row r="600" spans="5:18" ht="21" customHeight="1">
      <c r="E600" s="27"/>
      <c r="G600" s="27"/>
      <c r="I600" s="27"/>
      <c r="K600" s="27"/>
      <c r="M600" s="27"/>
      <c r="O600" s="27"/>
      <c r="R600" s="27"/>
    </row>
    <row r="601" spans="5:18" ht="21" customHeight="1">
      <c r="E601" s="27"/>
      <c r="G601" s="27"/>
      <c r="I601" s="27"/>
      <c r="K601" s="27"/>
      <c r="M601" s="27"/>
      <c r="O601" s="27"/>
      <c r="R601" s="27"/>
    </row>
    <row r="602" spans="5:18" ht="21" customHeight="1">
      <c r="E602" s="27"/>
      <c r="G602" s="27"/>
      <c r="I602" s="27"/>
      <c r="K602" s="27"/>
      <c r="M602" s="27"/>
      <c r="O602" s="27"/>
      <c r="R602" s="27"/>
    </row>
    <row r="603" spans="5:18" ht="21" customHeight="1">
      <c r="E603" s="27"/>
      <c r="G603" s="27"/>
      <c r="I603" s="27"/>
      <c r="K603" s="27"/>
      <c r="M603" s="27"/>
      <c r="O603" s="27"/>
      <c r="R603" s="27"/>
    </row>
    <row r="604" spans="5:18" ht="21" customHeight="1">
      <c r="E604" s="27"/>
      <c r="G604" s="27"/>
      <c r="I604" s="27"/>
      <c r="K604" s="27"/>
      <c r="M604" s="27"/>
      <c r="O604" s="27"/>
      <c r="R604" s="27"/>
    </row>
    <row r="605" spans="5:18" ht="21" customHeight="1">
      <c r="E605" s="27"/>
      <c r="G605" s="27"/>
      <c r="I605" s="27"/>
      <c r="K605" s="27"/>
      <c r="M605" s="27"/>
      <c r="O605" s="27"/>
      <c r="R605" s="27"/>
    </row>
    <row r="606" spans="5:18" ht="21" customHeight="1">
      <c r="E606" s="27"/>
      <c r="G606" s="27"/>
      <c r="I606" s="27"/>
      <c r="K606" s="27"/>
      <c r="M606" s="27"/>
      <c r="O606" s="27"/>
      <c r="R606" s="27"/>
    </row>
    <row r="607" spans="5:18" ht="21" customHeight="1">
      <c r="E607" s="27"/>
      <c r="G607" s="27"/>
      <c r="I607" s="27"/>
      <c r="K607" s="27"/>
      <c r="M607" s="27"/>
      <c r="O607" s="27"/>
      <c r="R607" s="27"/>
    </row>
    <row r="608" spans="5:18" ht="21" customHeight="1">
      <c r="E608" s="27"/>
      <c r="G608" s="27"/>
      <c r="I608" s="27"/>
      <c r="K608" s="27"/>
      <c r="M608" s="27"/>
      <c r="O608" s="27"/>
      <c r="R608" s="27"/>
    </row>
    <row r="609" spans="5:18" ht="21" customHeight="1">
      <c r="E609" s="27"/>
      <c r="G609" s="27"/>
      <c r="I609" s="27"/>
      <c r="K609" s="27"/>
      <c r="M609" s="27"/>
      <c r="O609" s="27"/>
      <c r="R609" s="27"/>
    </row>
    <row r="610" spans="5:18" ht="21" customHeight="1">
      <c r="E610" s="27"/>
      <c r="G610" s="27"/>
      <c r="I610" s="27"/>
      <c r="K610" s="27"/>
      <c r="M610" s="27"/>
      <c r="O610" s="27"/>
      <c r="R610" s="27"/>
    </row>
    <row r="611" spans="5:18" ht="21" customHeight="1">
      <c r="E611" s="27"/>
      <c r="G611" s="27"/>
      <c r="I611" s="27"/>
      <c r="K611" s="27"/>
      <c r="M611" s="27"/>
      <c r="O611" s="27"/>
      <c r="R611" s="27"/>
    </row>
    <row r="612" spans="5:18" ht="21" customHeight="1">
      <c r="E612" s="27"/>
      <c r="G612" s="27"/>
      <c r="I612" s="27"/>
      <c r="K612" s="27"/>
      <c r="M612" s="27"/>
      <c r="O612" s="27"/>
      <c r="R612" s="27"/>
    </row>
    <row r="613" spans="5:18" ht="21" customHeight="1">
      <c r="E613" s="27"/>
      <c r="G613" s="27"/>
      <c r="I613" s="27"/>
      <c r="K613" s="27"/>
      <c r="M613" s="27"/>
      <c r="O613" s="27"/>
      <c r="R613" s="27"/>
    </row>
    <row r="614" spans="5:18" ht="21" customHeight="1">
      <c r="E614" s="27"/>
      <c r="G614" s="27"/>
      <c r="I614" s="27"/>
      <c r="K614" s="27"/>
      <c r="M614" s="27"/>
      <c r="O614" s="27"/>
      <c r="R614" s="27"/>
    </row>
    <row r="615" spans="5:18" ht="21" customHeight="1">
      <c r="E615" s="27"/>
      <c r="G615" s="27"/>
      <c r="I615" s="27"/>
      <c r="K615" s="27"/>
      <c r="M615" s="27"/>
      <c r="O615" s="27"/>
      <c r="R615" s="27"/>
    </row>
    <row r="616" spans="5:18" ht="21" customHeight="1">
      <c r="E616" s="27"/>
      <c r="G616" s="27"/>
      <c r="I616" s="27"/>
      <c r="K616" s="27"/>
      <c r="M616" s="27"/>
      <c r="O616" s="27"/>
      <c r="R616" s="27"/>
    </row>
    <row r="617" spans="5:18" ht="21" customHeight="1">
      <c r="E617" s="27"/>
      <c r="G617" s="27"/>
      <c r="I617" s="27"/>
      <c r="K617" s="27"/>
      <c r="M617" s="27"/>
      <c r="O617" s="27"/>
      <c r="R617" s="27"/>
    </row>
    <row r="618" spans="5:18" ht="21" customHeight="1">
      <c r="E618" s="27"/>
      <c r="G618" s="27"/>
      <c r="I618" s="27"/>
      <c r="K618" s="27"/>
      <c r="M618" s="27"/>
      <c r="O618" s="27"/>
      <c r="R618" s="27"/>
    </row>
    <row r="619" spans="5:18" ht="21" customHeight="1">
      <c r="E619" s="27"/>
      <c r="G619" s="27"/>
      <c r="I619" s="27"/>
      <c r="K619" s="27"/>
      <c r="M619" s="27"/>
      <c r="O619" s="27"/>
      <c r="R619" s="27"/>
    </row>
    <row r="620" spans="5:18" ht="21" customHeight="1">
      <c r="E620" s="27"/>
      <c r="G620" s="27"/>
      <c r="I620" s="27"/>
      <c r="K620" s="27"/>
      <c r="M620" s="27"/>
      <c r="O620" s="27"/>
      <c r="R620" s="27"/>
    </row>
    <row r="621" spans="5:18" ht="21" customHeight="1">
      <c r="E621" s="27"/>
      <c r="G621" s="27"/>
      <c r="I621" s="27"/>
      <c r="K621" s="27"/>
      <c r="M621" s="27"/>
      <c r="O621" s="27"/>
      <c r="R621" s="27"/>
    </row>
    <row r="622" spans="5:18" ht="21" customHeight="1">
      <c r="E622" s="27"/>
      <c r="G622" s="27"/>
      <c r="I622" s="27"/>
      <c r="K622" s="27"/>
      <c r="M622" s="27"/>
      <c r="O622" s="27"/>
      <c r="R622" s="27"/>
    </row>
    <row r="623" spans="5:18" ht="21" customHeight="1">
      <c r="E623" s="27"/>
      <c r="G623" s="27"/>
      <c r="I623" s="27"/>
      <c r="K623" s="27"/>
      <c r="M623" s="27"/>
      <c r="O623" s="27"/>
      <c r="R623" s="27"/>
    </row>
    <row r="624" spans="5:18" ht="21" customHeight="1">
      <c r="E624" s="27"/>
      <c r="G624" s="27"/>
      <c r="I624" s="27"/>
      <c r="K624" s="27"/>
      <c r="M624" s="27"/>
      <c r="O624" s="27"/>
      <c r="R624" s="27"/>
    </row>
    <row r="625" spans="5:18" ht="21" customHeight="1">
      <c r="E625" s="27"/>
      <c r="G625" s="27"/>
      <c r="I625" s="27"/>
      <c r="K625" s="27"/>
      <c r="M625" s="27"/>
      <c r="O625" s="27"/>
      <c r="R625" s="27"/>
    </row>
    <row r="626" spans="5:18" ht="21" customHeight="1">
      <c r="E626" s="27"/>
      <c r="G626" s="27"/>
      <c r="I626" s="27"/>
      <c r="K626" s="27"/>
      <c r="M626" s="27"/>
      <c r="O626" s="27"/>
      <c r="R626" s="27"/>
    </row>
    <row r="627" spans="5:18" ht="21" customHeight="1">
      <c r="E627" s="27"/>
      <c r="G627" s="27"/>
      <c r="I627" s="27"/>
      <c r="K627" s="27"/>
      <c r="M627" s="27"/>
      <c r="O627" s="27"/>
      <c r="R627" s="27"/>
    </row>
    <row r="628" spans="5:18" ht="21" customHeight="1">
      <c r="E628" s="27"/>
      <c r="G628" s="27"/>
      <c r="I628" s="27"/>
      <c r="K628" s="27"/>
      <c r="M628" s="27"/>
      <c r="O628" s="27"/>
      <c r="R628" s="27"/>
    </row>
    <row r="629" spans="5:18" ht="21" customHeight="1">
      <c r="E629" s="27"/>
      <c r="G629" s="27"/>
      <c r="I629" s="27"/>
      <c r="K629" s="27"/>
      <c r="M629" s="27"/>
      <c r="O629" s="27"/>
      <c r="R629" s="27"/>
    </row>
    <row r="630" spans="5:18" ht="21" customHeight="1">
      <c r="E630" s="27"/>
      <c r="G630" s="27"/>
      <c r="I630" s="27"/>
      <c r="K630" s="27"/>
      <c r="M630" s="27"/>
      <c r="O630" s="27"/>
      <c r="R630" s="27"/>
    </row>
    <row r="631" spans="5:18" ht="21" customHeight="1">
      <c r="E631" s="27"/>
      <c r="G631" s="27"/>
      <c r="I631" s="27"/>
      <c r="K631" s="27"/>
      <c r="M631" s="27"/>
      <c r="O631" s="27"/>
      <c r="R631" s="27"/>
    </row>
    <row r="632" spans="5:18" ht="21" customHeight="1">
      <c r="E632" s="27"/>
      <c r="G632" s="27"/>
      <c r="I632" s="27"/>
      <c r="K632" s="27"/>
      <c r="M632" s="27"/>
      <c r="O632" s="27"/>
      <c r="R632" s="27"/>
    </row>
    <row r="633" spans="5:18" ht="21" customHeight="1">
      <c r="E633" s="27"/>
      <c r="G633" s="27"/>
      <c r="I633" s="27"/>
      <c r="K633" s="27"/>
      <c r="M633" s="27"/>
      <c r="O633" s="27"/>
      <c r="R633" s="27"/>
    </row>
    <row r="634" spans="5:18" ht="21" customHeight="1">
      <c r="E634" s="27"/>
      <c r="G634" s="27"/>
      <c r="I634" s="27"/>
      <c r="K634" s="27"/>
      <c r="M634" s="27"/>
      <c r="O634" s="27"/>
      <c r="R634" s="27"/>
    </row>
    <row r="635" spans="5:18" ht="21" customHeight="1">
      <c r="E635" s="27"/>
      <c r="G635" s="27"/>
      <c r="I635" s="27"/>
      <c r="K635" s="27"/>
      <c r="M635" s="27"/>
      <c r="O635" s="27"/>
      <c r="R635" s="27"/>
    </row>
    <row r="636" spans="5:18" ht="21" customHeight="1">
      <c r="E636" s="27"/>
      <c r="G636" s="27"/>
      <c r="I636" s="27"/>
      <c r="K636" s="27"/>
      <c r="M636" s="27"/>
      <c r="O636" s="27"/>
      <c r="R636" s="27"/>
    </row>
    <row r="637" spans="5:18" ht="21" customHeight="1">
      <c r="E637" s="27"/>
      <c r="G637" s="27"/>
      <c r="I637" s="27"/>
      <c r="K637" s="27"/>
      <c r="M637" s="27"/>
      <c r="O637" s="27"/>
      <c r="R637" s="27"/>
    </row>
    <row r="638" spans="5:18" ht="21" customHeight="1">
      <c r="E638" s="27"/>
      <c r="G638" s="27"/>
      <c r="I638" s="27"/>
      <c r="K638" s="27"/>
      <c r="M638" s="27"/>
      <c r="O638" s="27"/>
      <c r="R638" s="27"/>
    </row>
    <row r="639" spans="5:18" ht="21" customHeight="1">
      <c r="E639" s="27"/>
      <c r="G639" s="27"/>
      <c r="I639" s="27"/>
      <c r="K639" s="27"/>
      <c r="M639" s="27"/>
      <c r="O639" s="27"/>
      <c r="R639" s="27"/>
    </row>
    <row r="640" spans="5:18" ht="21" customHeight="1">
      <c r="E640" s="27"/>
      <c r="G640" s="27"/>
      <c r="I640" s="27"/>
      <c r="K640" s="27"/>
      <c r="M640" s="27"/>
      <c r="O640" s="27"/>
      <c r="R640" s="27"/>
    </row>
    <row r="641" spans="5:18" ht="21" customHeight="1">
      <c r="E641" s="27"/>
      <c r="G641" s="27"/>
      <c r="I641" s="27"/>
      <c r="K641" s="27"/>
      <c r="M641" s="27"/>
      <c r="O641" s="27"/>
      <c r="R641" s="27"/>
    </row>
    <row r="642" spans="5:18" ht="21" customHeight="1">
      <c r="E642" s="27"/>
      <c r="G642" s="27"/>
      <c r="I642" s="27"/>
      <c r="K642" s="27"/>
      <c r="M642" s="27"/>
      <c r="O642" s="27"/>
      <c r="R642" s="27"/>
    </row>
    <row r="643" spans="5:18" ht="21" customHeight="1">
      <c r="E643" s="27"/>
      <c r="G643" s="27"/>
      <c r="I643" s="27"/>
      <c r="K643" s="27"/>
      <c r="M643" s="27"/>
      <c r="O643" s="27"/>
      <c r="R643" s="27"/>
    </row>
    <row r="644" spans="5:18" ht="21" customHeight="1">
      <c r="E644" s="27"/>
      <c r="G644" s="27"/>
      <c r="I644" s="27"/>
      <c r="K644" s="27"/>
      <c r="M644" s="27"/>
      <c r="O644" s="27"/>
      <c r="R644" s="27"/>
    </row>
    <row r="645" spans="5:18" ht="21" customHeight="1">
      <c r="E645" s="27"/>
      <c r="G645" s="27"/>
      <c r="I645" s="27"/>
      <c r="K645" s="27"/>
      <c r="M645" s="27"/>
      <c r="O645" s="27"/>
      <c r="R645" s="27"/>
    </row>
    <row r="646" spans="5:18" ht="21" customHeight="1">
      <c r="E646" s="27"/>
      <c r="G646" s="27"/>
      <c r="I646" s="27"/>
      <c r="K646" s="27"/>
      <c r="M646" s="27"/>
      <c r="O646" s="27"/>
      <c r="R646" s="27"/>
    </row>
    <row r="647" spans="5:18" ht="21" customHeight="1">
      <c r="E647" s="27"/>
      <c r="G647" s="27"/>
      <c r="I647" s="27"/>
      <c r="K647" s="27"/>
      <c r="M647" s="27"/>
      <c r="O647" s="27"/>
      <c r="R647" s="27"/>
    </row>
    <row r="648" spans="5:18" ht="21" customHeight="1">
      <c r="E648" s="27"/>
      <c r="G648" s="27"/>
      <c r="I648" s="27"/>
      <c r="K648" s="27"/>
      <c r="M648" s="27"/>
      <c r="O648" s="27"/>
      <c r="R648" s="27"/>
    </row>
    <row r="649" spans="5:18" ht="21" customHeight="1">
      <c r="E649" s="27"/>
      <c r="G649" s="27"/>
      <c r="I649" s="27"/>
      <c r="K649" s="27"/>
      <c r="M649" s="27"/>
      <c r="O649" s="27"/>
      <c r="R649" s="27"/>
    </row>
    <row r="650" spans="5:18" ht="21" customHeight="1">
      <c r="E650" s="27"/>
      <c r="G650" s="27"/>
      <c r="I650" s="27"/>
      <c r="K650" s="27"/>
      <c r="M650" s="27"/>
      <c r="O650" s="27"/>
      <c r="R650" s="27"/>
    </row>
    <row r="651" spans="5:18" ht="21" customHeight="1">
      <c r="E651" s="27"/>
      <c r="G651" s="27"/>
      <c r="I651" s="27"/>
      <c r="K651" s="27"/>
      <c r="M651" s="27"/>
      <c r="O651" s="27"/>
      <c r="R651" s="27"/>
    </row>
    <row r="652" spans="5:18" ht="21" customHeight="1">
      <c r="E652" s="27"/>
      <c r="G652" s="27"/>
      <c r="I652" s="27"/>
      <c r="K652" s="27"/>
      <c r="M652" s="27"/>
      <c r="O652" s="27"/>
      <c r="R652" s="27"/>
    </row>
    <row r="653" spans="5:18" ht="21" customHeight="1">
      <c r="E653" s="27"/>
      <c r="G653" s="27"/>
      <c r="I653" s="27"/>
      <c r="K653" s="27"/>
      <c r="M653" s="27"/>
      <c r="O653" s="27"/>
      <c r="R653" s="27"/>
    </row>
    <row r="654" spans="5:18" ht="21" customHeight="1">
      <c r="E654" s="27"/>
      <c r="G654" s="27"/>
      <c r="I654" s="27"/>
      <c r="K654" s="27"/>
      <c r="M654" s="27"/>
      <c r="O654" s="27"/>
      <c r="R654" s="27"/>
    </row>
    <row r="655" spans="5:18" ht="21" customHeight="1">
      <c r="E655" s="27"/>
      <c r="G655" s="27"/>
      <c r="I655" s="27"/>
      <c r="K655" s="27"/>
      <c r="M655" s="27"/>
      <c r="O655" s="27"/>
      <c r="R655" s="27"/>
    </row>
    <row r="656" spans="5:18" ht="21" customHeight="1">
      <c r="E656" s="27"/>
      <c r="G656" s="27"/>
      <c r="I656" s="27"/>
      <c r="K656" s="27"/>
      <c r="M656" s="27"/>
      <c r="O656" s="27"/>
      <c r="R656" s="27"/>
    </row>
    <row r="657" spans="5:18" ht="21" customHeight="1">
      <c r="E657" s="27"/>
      <c r="G657" s="27"/>
      <c r="I657" s="27"/>
      <c r="K657" s="27"/>
      <c r="M657" s="27"/>
      <c r="O657" s="27"/>
      <c r="R657" s="27"/>
    </row>
    <row r="658" spans="5:18" ht="21" customHeight="1">
      <c r="E658" s="27"/>
      <c r="G658" s="27"/>
      <c r="I658" s="27"/>
      <c r="K658" s="27"/>
      <c r="M658" s="27"/>
      <c r="O658" s="27"/>
      <c r="R658" s="27"/>
    </row>
    <row r="659" spans="5:18" ht="21" customHeight="1">
      <c r="E659" s="27"/>
      <c r="G659" s="27"/>
      <c r="I659" s="27"/>
      <c r="K659" s="27"/>
      <c r="M659" s="27"/>
      <c r="O659" s="27"/>
      <c r="R659" s="27"/>
    </row>
    <row r="660" spans="5:18" ht="21" customHeight="1">
      <c r="E660" s="27"/>
      <c r="G660" s="27"/>
      <c r="I660" s="27"/>
      <c r="K660" s="27"/>
      <c r="M660" s="27"/>
      <c r="O660" s="27"/>
      <c r="R660" s="27"/>
    </row>
    <row r="661" spans="5:18" ht="21" customHeight="1">
      <c r="E661" s="27"/>
      <c r="G661" s="27"/>
      <c r="I661" s="27"/>
      <c r="K661" s="27"/>
      <c r="M661" s="27"/>
      <c r="O661" s="27"/>
      <c r="R661" s="27"/>
    </row>
    <row r="662" spans="5:18" ht="21" customHeight="1">
      <c r="E662" s="27"/>
      <c r="G662" s="27"/>
      <c r="I662" s="27"/>
      <c r="K662" s="27"/>
      <c r="M662" s="27"/>
      <c r="O662" s="27"/>
      <c r="R662" s="27"/>
    </row>
    <row r="663" spans="5:18" ht="21" customHeight="1">
      <c r="E663" s="27"/>
      <c r="G663" s="27"/>
      <c r="I663" s="27"/>
      <c r="K663" s="27"/>
      <c r="M663" s="27"/>
      <c r="O663" s="27"/>
      <c r="R663" s="27"/>
    </row>
    <row r="664" spans="5:18" ht="21" customHeight="1">
      <c r="E664" s="27"/>
      <c r="G664" s="27"/>
      <c r="I664" s="27"/>
      <c r="K664" s="27"/>
      <c r="M664" s="27"/>
      <c r="O664" s="27"/>
      <c r="R664" s="27"/>
    </row>
    <row r="665" spans="5:18" ht="21" customHeight="1">
      <c r="E665" s="27"/>
      <c r="G665" s="27"/>
      <c r="I665" s="27"/>
      <c r="K665" s="27"/>
      <c r="M665" s="27"/>
      <c r="O665" s="27"/>
      <c r="R665" s="27"/>
    </row>
    <row r="666" spans="5:18" ht="21" customHeight="1">
      <c r="E666" s="27"/>
      <c r="G666" s="27"/>
      <c r="I666" s="27"/>
      <c r="K666" s="27"/>
      <c r="M666" s="27"/>
      <c r="O666" s="27"/>
      <c r="R666" s="27"/>
    </row>
    <row r="667" spans="5:18" ht="21" customHeight="1">
      <c r="E667" s="27"/>
      <c r="G667" s="27"/>
      <c r="I667" s="27"/>
      <c r="K667" s="27"/>
      <c r="M667" s="27"/>
      <c r="O667" s="27"/>
      <c r="R667" s="27"/>
    </row>
    <row r="668" spans="5:18" ht="21" customHeight="1">
      <c r="E668" s="27"/>
      <c r="G668" s="27"/>
      <c r="I668" s="27"/>
      <c r="K668" s="27"/>
      <c r="M668" s="27"/>
      <c r="O668" s="27"/>
      <c r="R668" s="27"/>
    </row>
    <row r="669" spans="5:18" ht="21" customHeight="1">
      <c r="E669" s="27"/>
      <c r="G669" s="27"/>
      <c r="I669" s="27"/>
      <c r="K669" s="27"/>
      <c r="M669" s="27"/>
      <c r="O669" s="27"/>
      <c r="R669" s="27"/>
    </row>
    <row r="670" spans="5:18" ht="21" customHeight="1">
      <c r="E670" s="27"/>
      <c r="G670" s="27"/>
      <c r="I670" s="27"/>
      <c r="K670" s="27"/>
      <c r="M670" s="27"/>
      <c r="O670" s="27"/>
      <c r="R670" s="27"/>
    </row>
    <row r="671" spans="5:18" ht="21" customHeight="1">
      <c r="E671" s="27"/>
      <c r="G671" s="27"/>
      <c r="I671" s="27"/>
      <c r="K671" s="27"/>
      <c r="M671" s="27"/>
      <c r="O671" s="27"/>
      <c r="R671" s="27"/>
    </row>
    <row r="672" spans="5:18" ht="21" customHeight="1">
      <c r="E672" s="27"/>
      <c r="G672" s="27"/>
      <c r="I672" s="27"/>
      <c r="K672" s="27"/>
      <c r="M672" s="27"/>
      <c r="O672" s="27"/>
      <c r="R672" s="27"/>
    </row>
    <row r="673" spans="5:18" ht="21" customHeight="1">
      <c r="E673" s="27"/>
      <c r="G673" s="27"/>
      <c r="I673" s="27"/>
      <c r="K673" s="27"/>
      <c r="M673" s="27"/>
      <c r="O673" s="27"/>
      <c r="R673" s="27"/>
    </row>
    <row r="674" spans="5:18" ht="21" customHeight="1">
      <c r="E674" s="27"/>
      <c r="G674" s="27"/>
      <c r="I674" s="27"/>
      <c r="K674" s="27"/>
      <c r="M674" s="27"/>
      <c r="O674" s="27"/>
      <c r="R674" s="27"/>
    </row>
    <row r="675" spans="5:18" ht="21" customHeight="1">
      <c r="E675" s="27"/>
      <c r="G675" s="27"/>
      <c r="I675" s="27"/>
      <c r="K675" s="27"/>
      <c r="M675" s="27"/>
      <c r="O675" s="27"/>
      <c r="R675" s="27"/>
    </row>
    <row r="676" spans="5:18" ht="21" customHeight="1">
      <c r="E676" s="27"/>
      <c r="G676" s="27"/>
      <c r="I676" s="27"/>
      <c r="K676" s="27"/>
      <c r="M676" s="27"/>
      <c r="O676" s="27"/>
      <c r="R676" s="27"/>
    </row>
    <row r="677" spans="5:18" ht="21" customHeight="1">
      <c r="E677" s="27"/>
      <c r="G677" s="27"/>
      <c r="I677" s="27"/>
      <c r="K677" s="27"/>
      <c r="M677" s="27"/>
      <c r="O677" s="27"/>
      <c r="R677" s="27"/>
    </row>
    <row r="678" spans="5:18" ht="21" customHeight="1">
      <c r="E678" s="27"/>
      <c r="G678" s="27"/>
      <c r="I678" s="27"/>
      <c r="K678" s="27"/>
      <c r="M678" s="27"/>
      <c r="O678" s="27"/>
      <c r="R678" s="27"/>
    </row>
    <row r="679" spans="5:18" ht="21" customHeight="1">
      <c r="E679" s="27"/>
      <c r="G679" s="27"/>
      <c r="I679" s="27"/>
      <c r="K679" s="27"/>
      <c r="M679" s="27"/>
      <c r="O679" s="27"/>
      <c r="R679" s="27"/>
    </row>
    <row r="680" spans="5:18" ht="21" customHeight="1">
      <c r="E680" s="27"/>
      <c r="G680" s="27"/>
      <c r="I680" s="27"/>
      <c r="K680" s="27"/>
      <c r="M680" s="27"/>
      <c r="O680" s="27"/>
      <c r="R680" s="27"/>
    </row>
    <row r="681" spans="5:18" ht="21" customHeight="1">
      <c r="E681" s="27"/>
      <c r="G681" s="27"/>
      <c r="I681" s="27"/>
      <c r="K681" s="27"/>
      <c r="M681" s="27"/>
      <c r="O681" s="27"/>
      <c r="R681" s="27"/>
    </row>
    <row r="682" spans="5:18" ht="21" customHeight="1">
      <c r="E682" s="27"/>
      <c r="G682" s="27"/>
      <c r="I682" s="27"/>
      <c r="K682" s="27"/>
      <c r="M682" s="27"/>
      <c r="O682" s="27"/>
      <c r="R682" s="27"/>
    </row>
    <row r="683" spans="5:18" ht="21" customHeight="1">
      <c r="E683" s="27"/>
      <c r="G683" s="27"/>
      <c r="I683" s="27"/>
      <c r="K683" s="27"/>
      <c r="M683" s="27"/>
      <c r="O683" s="27"/>
      <c r="R683" s="27"/>
    </row>
    <row r="684" spans="5:18" ht="21" customHeight="1">
      <c r="E684" s="27"/>
      <c r="G684" s="27"/>
      <c r="I684" s="27"/>
      <c r="K684" s="27"/>
      <c r="M684" s="27"/>
      <c r="O684" s="27"/>
      <c r="R684" s="27"/>
    </row>
    <row r="685" spans="5:18" ht="21" customHeight="1">
      <c r="E685" s="27"/>
      <c r="G685" s="27"/>
      <c r="I685" s="27"/>
      <c r="K685" s="27"/>
      <c r="M685" s="27"/>
      <c r="O685" s="27"/>
      <c r="R685" s="27"/>
    </row>
    <row r="686" spans="5:18" ht="21" customHeight="1">
      <c r="E686" s="27"/>
      <c r="G686" s="27"/>
      <c r="I686" s="27"/>
      <c r="K686" s="27"/>
      <c r="M686" s="27"/>
      <c r="O686" s="27"/>
      <c r="R686" s="27"/>
    </row>
    <row r="687" spans="5:18" ht="21" customHeight="1">
      <c r="E687" s="27"/>
      <c r="G687" s="27"/>
      <c r="I687" s="27"/>
      <c r="K687" s="27"/>
      <c r="M687" s="27"/>
      <c r="O687" s="27"/>
      <c r="R687" s="27"/>
    </row>
    <row r="688" spans="5:18" ht="21" customHeight="1">
      <c r="E688" s="27"/>
      <c r="G688" s="27"/>
      <c r="I688" s="27"/>
      <c r="K688" s="27"/>
      <c r="M688" s="27"/>
      <c r="O688" s="27"/>
      <c r="R688" s="27"/>
    </row>
    <row r="689" spans="5:18" ht="21" customHeight="1">
      <c r="E689" s="27"/>
      <c r="G689" s="27"/>
      <c r="I689" s="27"/>
      <c r="K689" s="27"/>
      <c r="M689" s="27"/>
      <c r="O689" s="27"/>
      <c r="R689" s="27"/>
    </row>
    <row r="690" spans="5:18" ht="21" customHeight="1">
      <c r="E690" s="27"/>
      <c r="G690" s="27"/>
      <c r="I690" s="27"/>
      <c r="K690" s="27"/>
      <c r="M690" s="27"/>
      <c r="O690" s="27"/>
      <c r="R690" s="27"/>
    </row>
    <row r="691" spans="5:18" ht="21" customHeight="1">
      <c r="E691" s="27"/>
      <c r="G691" s="27"/>
      <c r="I691" s="27"/>
      <c r="K691" s="27"/>
      <c r="M691" s="27"/>
      <c r="O691" s="27"/>
      <c r="R691" s="27"/>
    </row>
    <row r="692" spans="5:18" ht="21" customHeight="1">
      <c r="E692" s="27"/>
      <c r="G692" s="27"/>
      <c r="I692" s="27"/>
      <c r="K692" s="27"/>
      <c r="M692" s="27"/>
      <c r="O692" s="27"/>
      <c r="R692" s="27"/>
    </row>
    <row r="693" spans="5:18" ht="21" customHeight="1">
      <c r="E693" s="27"/>
      <c r="G693" s="27"/>
      <c r="I693" s="27"/>
      <c r="K693" s="27"/>
      <c r="M693" s="27"/>
      <c r="O693" s="27"/>
      <c r="R693" s="27"/>
    </row>
    <row r="694" spans="5:18" ht="21" customHeight="1">
      <c r="E694" s="27"/>
      <c r="G694" s="27"/>
      <c r="I694" s="27"/>
      <c r="K694" s="27"/>
      <c r="M694" s="27"/>
      <c r="O694" s="27"/>
      <c r="R694" s="27"/>
    </row>
    <row r="695" spans="5:18" ht="21" customHeight="1">
      <c r="E695" s="27"/>
      <c r="G695" s="27"/>
      <c r="I695" s="27"/>
      <c r="K695" s="27"/>
      <c r="M695" s="27"/>
      <c r="O695" s="27"/>
      <c r="R695" s="27"/>
    </row>
    <row r="696" spans="5:18" ht="21" customHeight="1">
      <c r="E696" s="27"/>
      <c r="G696" s="27"/>
      <c r="I696" s="27"/>
      <c r="K696" s="27"/>
      <c r="M696" s="27"/>
      <c r="O696" s="27"/>
      <c r="R696" s="27"/>
    </row>
    <row r="697" spans="5:18" ht="21" customHeight="1">
      <c r="E697" s="27"/>
      <c r="G697" s="27"/>
      <c r="I697" s="27"/>
      <c r="K697" s="27"/>
      <c r="M697" s="27"/>
      <c r="O697" s="27"/>
      <c r="R697" s="27"/>
    </row>
    <row r="698" spans="5:18" ht="21" customHeight="1">
      <c r="E698" s="27"/>
      <c r="G698" s="27"/>
      <c r="I698" s="27"/>
      <c r="K698" s="27"/>
      <c r="M698" s="27"/>
      <c r="O698" s="27"/>
      <c r="R698" s="27"/>
    </row>
    <row r="699" spans="5:18" ht="21" customHeight="1">
      <c r="E699" s="27"/>
      <c r="G699" s="27"/>
      <c r="I699" s="27"/>
      <c r="K699" s="27"/>
      <c r="M699" s="27"/>
      <c r="O699" s="27"/>
      <c r="R699" s="27"/>
    </row>
    <row r="700" spans="5:18" ht="21" customHeight="1">
      <c r="E700" s="27"/>
      <c r="G700" s="27"/>
      <c r="I700" s="27"/>
      <c r="K700" s="27"/>
      <c r="M700" s="27"/>
      <c r="O700" s="27"/>
      <c r="R700" s="27"/>
    </row>
    <row r="701" spans="5:18" ht="21" customHeight="1">
      <c r="E701" s="27"/>
      <c r="G701" s="27"/>
      <c r="I701" s="27"/>
      <c r="K701" s="27"/>
      <c r="M701" s="27"/>
      <c r="O701" s="27"/>
      <c r="R701" s="27"/>
    </row>
    <row r="702" spans="5:18" ht="21" customHeight="1">
      <c r="E702" s="27"/>
      <c r="G702" s="27"/>
      <c r="I702" s="27"/>
      <c r="K702" s="27"/>
      <c r="M702" s="27"/>
      <c r="O702" s="27"/>
      <c r="R702" s="27"/>
    </row>
    <row r="703" spans="5:18" ht="21" customHeight="1">
      <c r="E703" s="27"/>
      <c r="G703" s="27"/>
      <c r="I703" s="27"/>
      <c r="K703" s="27"/>
      <c r="M703" s="27"/>
      <c r="O703" s="27"/>
      <c r="R703" s="27"/>
    </row>
    <row r="704" spans="5:18" ht="21" customHeight="1">
      <c r="E704" s="27"/>
      <c r="G704" s="27"/>
      <c r="I704" s="27"/>
      <c r="K704" s="27"/>
      <c r="M704" s="27"/>
      <c r="O704" s="27"/>
      <c r="R704" s="27"/>
    </row>
    <row r="705" spans="5:18" ht="21" customHeight="1">
      <c r="E705" s="27"/>
      <c r="G705" s="27"/>
      <c r="I705" s="27"/>
      <c r="K705" s="27"/>
      <c r="M705" s="27"/>
      <c r="O705" s="27"/>
      <c r="R705" s="27"/>
    </row>
    <row r="706" spans="5:18" ht="21" customHeight="1">
      <c r="E706" s="27"/>
      <c r="G706" s="27"/>
      <c r="I706" s="27"/>
      <c r="K706" s="27"/>
      <c r="M706" s="27"/>
      <c r="O706" s="27"/>
      <c r="R706" s="27"/>
    </row>
    <row r="707" spans="5:18" ht="21" customHeight="1">
      <c r="E707" s="27"/>
      <c r="G707" s="27"/>
      <c r="I707" s="27"/>
      <c r="K707" s="27"/>
      <c r="M707" s="27"/>
      <c r="O707" s="27"/>
      <c r="R707" s="27"/>
    </row>
    <row r="708" spans="5:18" ht="21" customHeight="1">
      <c r="E708" s="27"/>
      <c r="G708" s="27"/>
      <c r="I708" s="27"/>
      <c r="K708" s="27"/>
      <c r="M708" s="27"/>
      <c r="O708" s="27"/>
      <c r="R708" s="27"/>
    </row>
    <row r="709" spans="5:18" ht="21" customHeight="1">
      <c r="E709" s="27"/>
      <c r="G709" s="27"/>
      <c r="I709" s="27"/>
      <c r="K709" s="27"/>
      <c r="M709" s="27"/>
      <c r="O709" s="27"/>
      <c r="R709" s="27"/>
    </row>
    <row r="710" spans="5:18" ht="21" customHeight="1">
      <c r="E710" s="27"/>
      <c r="G710" s="27"/>
      <c r="I710" s="27"/>
      <c r="K710" s="27"/>
      <c r="M710" s="27"/>
      <c r="O710" s="27"/>
      <c r="R710" s="27"/>
    </row>
    <row r="711" spans="5:18" ht="21" customHeight="1">
      <c r="E711" s="27"/>
      <c r="G711" s="27"/>
      <c r="I711" s="27"/>
      <c r="K711" s="27"/>
      <c r="M711" s="27"/>
      <c r="O711" s="27"/>
      <c r="R711" s="27"/>
    </row>
    <row r="712" spans="5:18" ht="21" customHeight="1">
      <c r="E712" s="27"/>
      <c r="G712" s="27"/>
      <c r="I712" s="27"/>
      <c r="K712" s="27"/>
      <c r="M712" s="27"/>
      <c r="O712" s="27"/>
      <c r="R712" s="27"/>
    </row>
    <row r="713" spans="5:18" ht="21" customHeight="1">
      <c r="E713" s="27"/>
      <c r="G713" s="27"/>
      <c r="I713" s="27"/>
      <c r="K713" s="27"/>
      <c r="M713" s="27"/>
      <c r="O713" s="27"/>
      <c r="R713" s="27"/>
    </row>
    <row r="714" spans="5:18" ht="21" customHeight="1">
      <c r="E714" s="27"/>
      <c r="G714" s="27"/>
      <c r="I714" s="27"/>
      <c r="K714" s="27"/>
      <c r="M714" s="27"/>
      <c r="O714" s="27"/>
      <c r="R714" s="27"/>
    </row>
    <row r="715" spans="5:18" ht="21" customHeight="1">
      <c r="E715" s="27"/>
      <c r="G715" s="27"/>
      <c r="I715" s="27"/>
      <c r="K715" s="27"/>
      <c r="M715" s="27"/>
      <c r="O715" s="27"/>
      <c r="R715" s="27"/>
    </row>
    <row r="716" spans="5:18" ht="21" customHeight="1">
      <c r="E716" s="27"/>
      <c r="G716" s="27"/>
      <c r="I716" s="27"/>
      <c r="K716" s="27"/>
      <c r="M716" s="27"/>
      <c r="O716" s="27"/>
      <c r="R716" s="27"/>
    </row>
    <row r="717" spans="5:18" ht="21" customHeight="1">
      <c r="E717" s="27"/>
      <c r="G717" s="27"/>
      <c r="I717" s="27"/>
      <c r="K717" s="27"/>
      <c r="M717" s="27"/>
      <c r="O717" s="27"/>
      <c r="R717" s="27"/>
    </row>
    <row r="718" spans="5:18" ht="21" customHeight="1">
      <c r="E718" s="27"/>
      <c r="G718" s="27"/>
      <c r="I718" s="27"/>
      <c r="K718" s="27"/>
      <c r="M718" s="27"/>
      <c r="O718" s="27"/>
      <c r="R718" s="27"/>
    </row>
    <row r="719" spans="5:18" ht="21" customHeight="1">
      <c r="E719" s="27"/>
      <c r="G719" s="27"/>
      <c r="I719" s="27"/>
      <c r="K719" s="27"/>
      <c r="M719" s="27"/>
      <c r="O719" s="27"/>
      <c r="R719" s="27"/>
    </row>
    <row r="720" spans="5:18" ht="21" customHeight="1">
      <c r="E720" s="27"/>
      <c r="G720" s="27"/>
      <c r="I720" s="27"/>
      <c r="K720" s="27"/>
      <c r="M720" s="27"/>
      <c r="O720" s="27"/>
      <c r="R720" s="27"/>
    </row>
    <row r="721" spans="5:18" ht="21" customHeight="1">
      <c r="E721" s="27"/>
      <c r="G721" s="27"/>
      <c r="I721" s="27"/>
      <c r="K721" s="27"/>
      <c r="M721" s="27"/>
      <c r="O721" s="27"/>
      <c r="R721" s="27"/>
    </row>
    <row r="722" spans="5:18" ht="21" customHeight="1">
      <c r="E722" s="27"/>
      <c r="G722" s="27"/>
      <c r="I722" s="27"/>
      <c r="K722" s="27"/>
      <c r="M722" s="27"/>
      <c r="O722" s="27"/>
      <c r="R722" s="27"/>
    </row>
    <row r="723" spans="5:18" ht="21" customHeight="1">
      <c r="E723" s="27"/>
      <c r="G723" s="27"/>
      <c r="I723" s="27"/>
      <c r="K723" s="27"/>
      <c r="M723" s="27"/>
      <c r="O723" s="27"/>
      <c r="R723" s="27"/>
    </row>
    <row r="724" spans="5:18" ht="21" customHeight="1">
      <c r="E724" s="27"/>
      <c r="G724" s="27"/>
      <c r="I724" s="27"/>
      <c r="K724" s="27"/>
      <c r="M724" s="27"/>
      <c r="O724" s="27"/>
      <c r="R724" s="27"/>
    </row>
    <row r="725" spans="5:18" ht="21" customHeight="1">
      <c r="E725" s="27"/>
      <c r="G725" s="27"/>
      <c r="I725" s="27"/>
      <c r="K725" s="27"/>
      <c r="M725" s="27"/>
      <c r="O725" s="27"/>
      <c r="R725" s="27"/>
    </row>
    <row r="726" spans="5:18" ht="21" customHeight="1">
      <c r="E726" s="27"/>
      <c r="G726" s="27"/>
      <c r="I726" s="27"/>
      <c r="K726" s="27"/>
      <c r="M726" s="27"/>
      <c r="O726" s="27"/>
      <c r="R726" s="27"/>
    </row>
    <row r="727" spans="5:18" ht="21" customHeight="1">
      <c r="E727" s="27"/>
      <c r="G727" s="27"/>
      <c r="I727" s="27"/>
      <c r="K727" s="27"/>
      <c r="M727" s="27"/>
      <c r="O727" s="27"/>
      <c r="R727" s="27"/>
    </row>
    <row r="728" spans="5:18" ht="21" customHeight="1">
      <c r="E728" s="27"/>
      <c r="G728" s="27"/>
      <c r="I728" s="27"/>
      <c r="K728" s="27"/>
      <c r="M728" s="27"/>
      <c r="O728" s="27"/>
      <c r="R728" s="27"/>
    </row>
    <row r="729" spans="5:18" ht="21" customHeight="1">
      <c r="E729" s="27"/>
      <c r="G729" s="27"/>
      <c r="I729" s="27"/>
      <c r="K729" s="27"/>
      <c r="M729" s="27"/>
      <c r="O729" s="27"/>
      <c r="R729" s="27"/>
    </row>
    <row r="730" spans="5:18" ht="21" customHeight="1">
      <c r="E730" s="27"/>
      <c r="G730" s="27"/>
      <c r="I730" s="27"/>
      <c r="K730" s="27"/>
      <c r="M730" s="27"/>
      <c r="O730" s="27"/>
      <c r="R730" s="27"/>
    </row>
    <row r="731" spans="5:18" ht="21" customHeight="1">
      <c r="E731" s="27"/>
      <c r="G731" s="27"/>
      <c r="I731" s="27"/>
      <c r="K731" s="27"/>
      <c r="M731" s="27"/>
      <c r="O731" s="27"/>
      <c r="R731" s="27"/>
    </row>
    <row r="732" spans="5:18" ht="21" customHeight="1">
      <c r="E732" s="27"/>
      <c r="G732" s="27"/>
      <c r="I732" s="27"/>
      <c r="K732" s="27"/>
      <c r="M732" s="27"/>
      <c r="O732" s="27"/>
      <c r="R732" s="27"/>
    </row>
    <row r="733" spans="5:18" ht="21" customHeight="1">
      <c r="E733" s="27"/>
      <c r="G733" s="27"/>
      <c r="I733" s="27"/>
      <c r="K733" s="27"/>
      <c r="M733" s="27"/>
      <c r="O733" s="27"/>
      <c r="R733" s="27"/>
    </row>
    <row r="734" spans="5:18" ht="21" customHeight="1">
      <c r="E734" s="27"/>
      <c r="G734" s="27"/>
      <c r="I734" s="27"/>
      <c r="K734" s="27"/>
      <c r="M734" s="27"/>
      <c r="O734" s="27"/>
      <c r="R734" s="27"/>
    </row>
    <row r="735" spans="5:18" ht="21" customHeight="1">
      <c r="E735" s="27"/>
      <c r="G735" s="27"/>
      <c r="I735" s="27"/>
      <c r="K735" s="27"/>
      <c r="M735" s="27"/>
      <c r="O735" s="27"/>
      <c r="R735" s="27"/>
    </row>
    <row r="736" spans="5:18" ht="21" customHeight="1">
      <c r="E736" s="27"/>
      <c r="G736" s="27"/>
      <c r="I736" s="27"/>
      <c r="K736" s="27"/>
      <c r="M736" s="27"/>
      <c r="O736" s="27"/>
      <c r="R736" s="27"/>
    </row>
    <row r="737" spans="5:18" ht="21" customHeight="1">
      <c r="E737" s="27"/>
      <c r="G737" s="27"/>
      <c r="I737" s="27"/>
      <c r="K737" s="27"/>
      <c r="M737" s="27"/>
      <c r="O737" s="27"/>
      <c r="R737" s="27"/>
    </row>
    <row r="738" spans="5:18" ht="21" customHeight="1">
      <c r="E738" s="27"/>
      <c r="G738" s="27"/>
      <c r="I738" s="27"/>
      <c r="K738" s="27"/>
      <c r="M738" s="27"/>
      <c r="O738" s="27"/>
      <c r="R738" s="27"/>
    </row>
    <row r="739" spans="5:18" ht="21" customHeight="1">
      <c r="E739" s="27"/>
      <c r="G739" s="27"/>
      <c r="I739" s="27"/>
      <c r="K739" s="27"/>
      <c r="M739" s="27"/>
      <c r="O739" s="27"/>
      <c r="R739" s="27"/>
    </row>
    <row r="740" spans="5:18" ht="21" customHeight="1">
      <c r="E740" s="27"/>
      <c r="G740" s="27"/>
      <c r="I740" s="27"/>
      <c r="K740" s="27"/>
      <c r="M740" s="27"/>
      <c r="O740" s="27"/>
      <c r="R740" s="27"/>
    </row>
    <row r="741" spans="5:18" ht="21" customHeight="1">
      <c r="E741" s="27"/>
      <c r="G741" s="27"/>
      <c r="I741" s="27"/>
      <c r="K741" s="27"/>
      <c r="M741" s="27"/>
      <c r="O741" s="27"/>
      <c r="R741" s="27"/>
    </row>
    <row r="742" spans="5:18" ht="21" customHeight="1">
      <c r="E742" s="27"/>
      <c r="G742" s="27"/>
      <c r="I742" s="27"/>
      <c r="K742" s="27"/>
      <c r="M742" s="27"/>
      <c r="O742" s="27"/>
      <c r="R742" s="27"/>
    </row>
    <row r="743" spans="5:18" ht="21" customHeight="1">
      <c r="E743" s="27"/>
      <c r="G743" s="27"/>
      <c r="I743" s="27"/>
      <c r="K743" s="27"/>
      <c r="M743" s="27"/>
      <c r="O743" s="27"/>
      <c r="R743" s="27"/>
    </row>
    <row r="744" spans="5:18" ht="21" customHeight="1">
      <c r="E744" s="27"/>
      <c r="G744" s="27"/>
      <c r="I744" s="27"/>
      <c r="K744" s="27"/>
      <c r="M744" s="27"/>
      <c r="O744" s="27"/>
      <c r="R744" s="27"/>
    </row>
    <row r="745" spans="5:18" ht="21" customHeight="1">
      <c r="E745" s="27"/>
      <c r="G745" s="27"/>
      <c r="I745" s="27"/>
      <c r="K745" s="27"/>
      <c r="M745" s="27"/>
      <c r="O745" s="27"/>
      <c r="R745" s="27"/>
    </row>
    <row r="746" spans="5:18" ht="21" customHeight="1">
      <c r="E746" s="27"/>
      <c r="G746" s="27"/>
      <c r="I746" s="27"/>
      <c r="K746" s="27"/>
      <c r="M746" s="27"/>
      <c r="O746" s="27"/>
      <c r="R746" s="27"/>
    </row>
    <row r="747" spans="5:18" ht="21" customHeight="1">
      <c r="E747" s="27"/>
      <c r="G747" s="27"/>
      <c r="I747" s="27"/>
      <c r="K747" s="27"/>
      <c r="M747" s="27"/>
      <c r="O747" s="27"/>
      <c r="R747" s="27"/>
    </row>
    <row r="748" spans="5:18" ht="21" customHeight="1">
      <c r="E748" s="27"/>
      <c r="G748" s="27"/>
      <c r="I748" s="27"/>
      <c r="K748" s="27"/>
      <c r="M748" s="27"/>
      <c r="O748" s="27"/>
      <c r="R748" s="27"/>
    </row>
    <row r="749" spans="5:18" ht="21" customHeight="1">
      <c r="E749" s="27"/>
      <c r="G749" s="27"/>
      <c r="I749" s="27"/>
      <c r="K749" s="27"/>
      <c r="M749" s="27"/>
      <c r="O749" s="27"/>
      <c r="R749" s="27"/>
    </row>
    <row r="750" spans="5:18" ht="21" customHeight="1">
      <c r="E750" s="27"/>
      <c r="G750" s="27"/>
      <c r="I750" s="27"/>
      <c r="K750" s="27"/>
      <c r="M750" s="27"/>
      <c r="O750" s="27"/>
      <c r="R750" s="27"/>
    </row>
    <row r="751" spans="5:18" ht="21" customHeight="1">
      <c r="E751" s="27"/>
      <c r="G751" s="27"/>
      <c r="I751" s="27"/>
      <c r="K751" s="27"/>
      <c r="M751" s="27"/>
      <c r="O751" s="27"/>
      <c r="R751" s="27"/>
    </row>
    <row r="752" spans="5:18" ht="21" customHeight="1">
      <c r="E752" s="27"/>
      <c r="G752" s="27"/>
      <c r="I752" s="27"/>
      <c r="K752" s="27"/>
      <c r="M752" s="27"/>
      <c r="O752" s="27"/>
      <c r="R752" s="27"/>
    </row>
    <row r="753" spans="5:18" ht="21" customHeight="1">
      <c r="E753" s="27"/>
      <c r="G753" s="27"/>
      <c r="I753" s="27"/>
      <c r="K753" s="27"/>
      <c r="M753" s="27"/>
      <c r="O753" s="27"/>
      <c r="R753" s="27"/>
    </row>
    <row r="754" spans="5:18" ht="21" customHeight="1">
      <c r="E754" s="27"/>
      <c r="G754" s="27"/>
      <c r="I754" s="27"/>
      <c r="K754" s="27"/>
      <c r="M754" s="27"/>
      <c r="O754" s="27"/>
      <c r="R754" s="27"/>
    </row>
    <row r="755" spans="5:18" ht="21" customHeight="1">
      <c r="E755" s="27"/>
      <c r="G755" s="27"/>
      <c r="I755" s="27"/>
      <c r="K755" s="27"/>
      <c r="M755" s="27"/>
      <c r="O755" s="27"/>
      <c r="R755" s="27"/>
    </row>
    <row r="756" spans="5:18" ht="21" customHeight="1">
      <c r="E756" s="27"/>
      <c r="G756" s="27"/>
      <c r="I756" s="27"/>
      <c r="K756" s="27"/>
      <c r="M756" s="27"/>
      <c r="O756" s="27"/>
      <c r="R756" s="27"/>
    </row>
    <row r="757" spans="5:18" ht="21" customHeight="1">
      <c r="E757" s="27"/>
      <c r="G757" s="27"/>
      <c r="I757" s="27"/>
      <c r="K757" s="27"/>
      <c r="M757" s="27"/>
      <c r="O757" s="27"/>
      <c r="R757" s="27"/>
    </row>
    <row r="758" spans="5:18" ht="21" customHeight="1">
      <c r="E758" s="27"/>
      <c r="G758" s="27"/>
      <c r="I758" s="27"/>
      <c r="K758" s="27"/>
      <c r="M758" s="27"/>
      <c r="O758" s="27"/>
      <c r="R758" s="27"/>
    </row>
    <row r="759" spans="5:18" ht="21" customHeight="1">
      <c r="E759" s="27"/>
      <c r="G759" s="27"/>
      <c r="I759" s="27"/>
      <c r="K759" s="27"/>
      <c r="M759" s="27"/>
      <c r="O759" s="27"/>
      <c r="R759" s="27"/>
    </row>
    <row r="760" spans="5:18" ht="21" customHeight="1">
      <c r="E760" s="27"/>
      <c r="G760" s="27"/>
      <c r="I760" s="27"/>
      <c r="K760" s="27"/>
      <c r="M760" s="27"/>
      <c r="O760" s="27"/>
      <c r="R760" s="27"/>
    </row>
    <row r="761" spans="5:18" ht="21" customHeight="1">
      <c r="E761" s="27"/>
      <c r="G761" s="27"/>
      <c r="I761" s="27"/>
      <c r="K761" s="27"/>
      <c r="M761" s="27"/>
      <c r="O761" s="27"/>
      <c r="R761" s="27"/>
    </row>
    <row r="762" spans="5:18" ht="21" customHeight="1">
      <c r="E762" s="27"/>
      <c r="G762" s="27"/>
      <c r="I762" s="27"/>
      <c r="K762" s="27"/>
      <c r="M762" s="27"/>
      <c r="O762" s="27"/>
      <c r="R762" s="27"/>
    </row>
    <row r="763" spans="5:18" ht="21" customHeight="1">
      <c r="E763" s="27"/>
      <c r="G763" s="27"/>
      <c r="I763" s="27"/>
      <c r="K763" s="27"/>
      <c r="M763" s="27"/>
      <c r="O763" s="27"/>
      <c r="R763" s="27"/>
    </row>
    <row r="764" spans="5:18" ht="21" customHeight="1">
      <c r="E764" s="27"/>
      <c r="G764" s="27"/>
      <c r="I764" s="27"/>
      <c r="K764" s="27"/>
      <c r="M764" s="27"/>
      <c r="O764" s="27"/>
      <c r="R764" s="27"/>
    </row>
    <row r="765" spans="5:18" ht="21" customHeight="1">
      <c r="E765" s="27"/>
      <c r="G765" s="27"/>
      <c r="I765" s="27"/>
      <c r="K765" s="27"/>
      <c r="M765" s="27"/>
      <c r="O765" s="27"/>
      <c r="R765" s="27"/>
    </row>
    <row r="766" spans="5:18" ht="21" customHeight="1">
      <c r="E766" s="27"/>
      <c r="G766" s="27"/>
      <c r="I766" s="27"/>
      <c r="K766" s="27"/>
      <c r="M766" s="27"/>
      <c r="O766" s="27"/>
      <c r="R766" s="27"/>
    </row>
    <row r="767" spans="5:18" ht="21" customHeight="1">
      <c r="E767" s="27"/>
      <c r="G767" s="27"/>
      <c r="I767" s="27"/>
      <c r="K767" s="27"/>
      <c r="M767" s="27"/>
      <c r="O767" s="27"/>
      <c r="R767" s="27"/>
    </row>
    <row r="768" spans="5:18" ht="21" customHeight="1">
      <c r="E768" s="27"/>
      <c r="G768" s="27"/>
      <c r="I768" s="27"/>
      <c r="K768" s="27"/>
      <c r="M768" s="27"/>
      <c r="O768" s="27"/>
      <c r="R768" s="27"/>
    </row>
    <row r="769" spans="5:18" ht="21" customHeight="1">
      <c r="E769" s="27"/>
      <c r="G769" s="27"/>
      <c r="I769" s="27"/>
      <c r="K769" s="27"/>
      <c r="M769" s="27"/>
      <c r="O769" s="27"/>
      <c r="R769" s="27"/>
    </row>
    <row r="770" spans="5:18" ht="21" customHeight="1">
      <c r="E770" s="27"/>
      <c r="G770" s="27"/>
      <c r="I770" s="27"/>
      <c r="K770" s="27"/>
      <c r="M770" s="27"/>
      <c r="O770" s="27"/>
      <c r="R770" s="27"/>
    </row>
    <row r="771" spans="5:18" ht="21" customHeight="1">
      <c r="E771" s="27"/>
      <c r="G771" s="27"/>
      <c r="I771" s="27"/>
      <c r="K771" s="27"/>
      <c r="M771" s="27"/>
      <c r="O771" s="27"/>
      <c r="R771" s="27"/>
    </row>
    <row r="772" spans="5:18" ht="21" customHeight="1">
      <c r="E772" s="27"/>
      <c r="G772" s="27"/>
      <c r="I772" s="27"/>
      <c r="K772" s="27"/>
      <c r="M772" s="27"/>
      <c r="O772" s="27"/>
      <c r="R772" s="27"/>
    </row>
    <row r="773" spans="5:18" ht="21" customHeight="1">
      <c r="E773" s="27"/>
      <c r="G773" s="27"/>
      <c r="I773" s="27"/>
      <c r="K773" s="27"/>
      <c r="M773" s="27"/>
      <c r="O773" s="27"/>
      <c r="R773" s="27"/>
    </row>
    <row r="774" spans="5:18" ht="21" customHeight="1">
      <c r="E774" s="27"/>
      <c r="G774" s="27"/>
      <c r="I774" s="27"/>
      <c r="K774" s="27"/>
      <c r="M774" s="27"/>
      <c r="O774" s="27"/>
      <c r="R774" s="27"/>
    </row>
    <row r="775" spans="5:18" ht="21" customHeight="1">
      <c r="E775" s="27"/>
      <c r="G775" s="27"/>
      <c r="I775" s="27"/>
      <c r="K775" s="27"/>
      <c r="M775" s="27"/>
      <c r="O775" s="27"/>
      <c r="R775" s="27"/>
    </row>
    <row r="776" spans="5:18" ht="21" customHeight="1">
      <c r="E776" s="27"/>
      <c r="G776" s="27"/>
      <c r="I776" s="27"/>
      <c r="K776" s="27"/>
      <c r="M776" s="27"/>
      <c r="O776" s="27"/>
      <c r="R776" s="27"/>
    </row>
    <row r="777" spans="5:18" ht="21" customHeight="1">
      <c r="E777" s="27"/>
      <c r="G777" s="27"/>
      <c r="I777" s="27"/>
      <c r="K777" s="27"/>
      <c r="M777" s="27"/>
      <c r="O777" s="27"/>
      <c r="R777" s="27"/>
    </row>
    <row r="778" spans="5:18" ht="21" customHeight="1">
      <c r="E778" s="27"/>
      <c r="G778" s="27"/>
      <c r="I778" s="27"/>
      <c r="K778" s="27"/>
      <c r="M778" s="27"/>
      <c r="O778" s="27"/>
      <c r="R778" s="27"/>
    </row>
    <row r="779" spans="5:18" ht="21" customHeight="1">
      <c r="E779" s="27"/>
      <c r="G779" s="27"/>
      <c r="I779" s="27"/>
      <c r="K779" s="27"/>
      <c r="M779" s="27"/>
      <c r="O779" s="27"/>
      <c r="R779" s="27"/>
    </row>
    <row r="780" spans="5:18" ht="21" customHeight="1">
      <c r="E780" s="27"/>
      <c r="G780" s="27"/>
      <c r="I780" s="27"/>
      <c r="K780" s="27"/>
      <c r="M780" s="27"/>
      <c r="O780" s="27"/>
      <c r="R780" s="27"/>
    </row>
    <row r="781" spans="5:18" ht="21" customHeight="1">
      <c r="E781" s="27"/>
      <c r="G781" s="27"/>
      <c r="I781" s="27"/>
      <c r="K781" s="27"/>
      <c r="M781" s="27"/>
      <c r="O781" s="27"/>
      <c r="R781" s="27"/>
    </row>
    <row r="782" spans="5:18" ht="21" customHeight="1">
      <c r="E782" s="27"/>
      <c r="G782" s="27"/>
      <c r="I782" s="27"/>
      <c r="K782" s="27"/>
      <c r="M782" s="27"/>
      <c r="O782" s="27"/>
      <c r="R782" s="27"/>
    </row>
    <row r="783" spans="5:18" ht="21" customHeight="1">
      <c r="E783" s="27"/>
      <c r="G783" s="27"/>
      <c r="I783" s="27"/>
      <c r="K783" s="27"/>
      <c r="M783" s="27"/>
      <c r="O783" s="27"/>
      <c r="R783" s="27"/>
    </row>
    <row r="784" spans="5:18" ht="21" customHeight="1">
      <c r="E784" s="27"/>
      <c r="G784" s="27"/>
      <c r="I784" s="27"/>
      <c r="K784" s="27"/>
      <c r="M784" s="27"/>
      <c r="O784" s="27"/>
      <c r="R784" s="27"/>
    </row>
    <row r="785" spans="5:18" ht="21" customHeight="1">
      <c r="E785" s="27"/>
      <c r="G785" s="27"/>
      <c r="I785" s="27"/>
      <c r="K785" s="27"/>
      <c r="M785" s="27"/>
      <c r="O785" s="27"/>
      <c r="R785" s="27"/>
    </row>
    <row r="786" spans="5:18" ht="21" customHeight="1">
      <c r="E786" s="27"/>
      <c r="G786" s="27"/>
      <c r="I786" s="27"/>
      <c r="K786" s="27"/>
      <c r="M786" s="27"/>
      <c r="O786" s="27"/>
      <c r="R786" s="27"/>
    </row>
    <row r="787" spans="5:18" ht="21" customHeight="1">
      <c r="E787" s="27"/>
      <c r="G787" s="27"/>
      <c r="I787" s="27"/>
      <c r="K787" s="27"/>
      <c r="M787" s="27"/>
      <c r="O787" s="27"/>
      <c r="R787" s="27"/>
    </row>
    <row r="788" spans="5:18" ht="21" customHeight="1">
      <c r="E788" s="27"/>
      <c r="G788" s="27"/>
      <c r="I788" s="27"/>
      <c r="K788" s="27"/>
      <c r="M788" s="27"/>
      <c r="O788" s="27"/>
      <c r="R788" s="27"/>
    </row>
    <row r="789" spans="5:18" ht="21" customHeight="1">
      <c r="E789" s="27"/>
      <c r="G789" s="27"/>
      <c r="I789" s="27"/>
      <c r="K789" s="27"/>
      <c r="M789" s="27"/>
      <c r="O789" s="27"/>
      <c r="R789" s="27"/>
    </row>
    <row r="790" spans="5:18" ht="21" customHeight="1">
      <c r="E790" s="27"/>
      <c r="G790" s="27"/>
      <c r="I790" s="27"/>
      <c r="K790" s="27"/>
      <c r="M790" s="27"/>
      <c r="O790" s="27"/>
      <c r="R790" s="27"/>
    </row>
    <row r="791" spans="5:18" ht="21" customHeight="1">
      <c r="E791" s="27"/>
      <c r="G791" s="27"/>
      <c r="I791" s="27"/>
      <c r="K791" s="27"/>
      <c r="M791" s="27"/>
      <c r="O791" s="27"/>
      <c r="R791" s="27"/>
    </row>
    <row r="792" spans="5:18" ht="21" customHeight="1">
      <c r="E792" s="27"/>
      <c r="G792" s="27"/>
      <c r="I792" s="27"/>
      <c r="K792" s="27"/>
      <c r="M792" s="27"/>
      <c r="O792" s="27"/>
      <c r="R792" s="27"/>
    </row>
    <row r="793" spans="5:18" ht="21" customHeight="1">
      <c r="E793" s="27"/>
      <c r="G793" s="27"/>
      <c r="I793" s="27"/>
      <c r="K793" s="27"/>
      <c r="M793" s="27"/>
      <c r="O793" s="27"/>
      <c r="R793" s="27"/>
    </row>
    <row r="794" spans="5:18" ht="21" customHeight="1">
      <c r="E794" s="27"/>
      <c r="G794" s="27"/>
      <c r="I794" s="27"/>
      <c r="K794" s="27"/>
      <c r="M794" s="27"/>
      <c r="O794" s="27"/>
      <c r="R794" s="27"/>
    </row>
    <row r="795" spans="5:18" ht="21" customHeight="1">
      <c r="E795" s="27"/>
      <c r="G795" s="27"/>
      <c r="I795" s="27"/>
      <c r="K795" s="27"/>
      <c r="M795" s="27"/>
      <c r="O795" s="27"/>
      <c r="R795" s="27"/>
    </row>
    <row r="796" spans="5:18" ht="21" customHeight="1">
      <c r="E796" s="27"/>
      <c r="G796" s="27"/>
      <c r="I796" s="27"/>
      <c r="K796" s="27"/>
      <c r="M796" s="27"/>
      <c r="O796" s="27"/>
      <c r="R796" s="27"/>
    </row>
    <row r="797" spans="5:18" ht="21" customHeight="1">
      <c r="E797" s="27"/>
      <c r="G797" s="27"/>
      <c r="I797" s="27"/>
      <c r="K797" s="27"/>
      <c r="M797" s="27"/>
      <c r="O797" s="27"/>
      <c r="R797" s="27"/>
    </row>
    <row r="798" spans="5:18" ht="21" customHeight="1">
      <c r="E798" s="27"/>
      <c r="G798" s="27"/>
      <c r="I798" s="27"/>
      <c r="K798" s="27"/>
      <c r="M798" s="27"/>
      <c r="O798" s="27"/>
      <c r="R798" s="27"/>
    </row>
    <row r="799" spans="5:18" ht="21" customHeight="1">
      <c r="E799" s="27"/>
      <c r="G799" s="27"/>
      <c r="I799" s="27"/>
      <c r="K799" s="27"/>
      <c r="M799" s="27"/>
      <c r="O799" s="27"/>
      <c r="R799" s="27"/>
    </row>
    <row r="800" spans="5:18" ht="21" customHeight="1">
      <c r="E800" s="27"/>
      <c r="G800" s="27"/>
      <c r="I800" s="27"/>
      <c r="K800" s="27"/>
      <c r="M800" s="27"/>
      <c r="O800" s="27"/>
      <c r="R800" s="27"/>
    </row>
    <row r="801" spans="5:18" ht="21" customHeight="1">
      <c r="E801" s="27"/>
      <c r="G801" s="27"/>
      <c r="I801" s="27"/>
      <c r="K801" s="27"/>
      <c r="M801" s="27"/>
      <c r="O801" s="27"/>
      <c r="R801" s="27"/>
    </row>
    <row r="802" spans="5:18" ht="21" customHeight="1">
      <c r="E802" s="27"/>
      <c r="G802" s="27"/>
      <c r="I802" s="27"/>
      <c r="K802" s="27"/>
      <c r="M802" s="27"/>
      <c r="O802" s="27"/>
      <c r="R802" s="27"/>
    </row>
    <row r="803" spans="5:18" ht="21" customHeight="1">
      <c r="E803" s="27"/>
      <c r="G803" s="27"/>
      <c r="I803" s="27"/>
      <c r="K803" s="27"/>
      <c r="M803" s="27"/>
      <c r="O803" s="27"/>
      <c r="R803" s="27"/>
    </row>
    <row r="804" spans="5:18" ht="21" customHeight="1">
      <c r="E804" s="27"/>
      <c r="G804" s="27"/>
      <c r="I804" s="27"/>
      <c r="K804" s="27"/>
      <c r="M804" s="27"/>
      <c r="O804" s="27"/>
      <c r="R804" s="27"/>
    </row>
    <row r="805" spans="5:18" ht="21" customHeight="1">
      <c r="E805" s="27"/>
      <c r="G805" s="27"/>
      <c r="I805" s="27"/>
      <c r="K805" s="27"/>
      <c r="M805" s="27"/>
      <c r="O805" s="27"/>
      <c r="R805" s="27"/>
    </row>
    <row r="806" spans="5:18" ht="21" customHeight="1">
      <c r="E806" s="27"/>
      <c r="G806" s="27"/>
      <c r="I806" s="27"/>
      <c r="K806" s="27"/>
      <c r="M806" s="27"/>
      <c r="O806" s="27"/>
      <c r="R806" s="27"/>
    </row>
    <row r="807" spans="5:18" ht="21" customHeight="1">
      <c r="E807" s="27"/>
      <c r="G807" s="27"/>
      <c r="I807" s="27"/>
      <c r="K807" s="27"/>
      <c r="M807" s="27"/>
      <c r="O807" s="27"/>
      <c r="R807" s="27"/>
    </row>
    <row r="808" spans="5:18" ht="21" customHeight="1">
      <c r="E808" s="27"/>
      <c r="G808" s="27"/>
      <c r="I808" s="27"/>
      <c r="K808" s="27"/>
      <c r="M808" s="27"/>
      <c r="O808" s="27"/>
      <c r="R808" s="27"/>
    </row>
    <row r="809" spans="5:18" ht="21" customHeight="1">
      <c r="E809" s="27"/>
      <c r="G809" s="27"/>
      <c r="I809" s="27"/>
      <c r="K809" s="27"/>
      <c r="M809" s="27"/>
      <c r="O809" s="27"/>
      <c r="R809" s="27"/>
    </row>
    <row r="810" spans="5:18" ht="21" customHeight="1">
      <c r="E810" s="27"/>
      <c r="G810" s="27"/>
      <c r="I810" s="27"/>
      <c r="K810" s="27"/>
      <c r="M810" s="27"/>
      <c r="O810" s="27"/>
      <c r="R810" s="27"/>
    </row>
    <row r="811" spans="5:18" ht="21" customHeight="1">
      <c r="E811" s="27"/>
      <c r="G811" s="27"/>
      <c r="I811" s="27"/>
      <c r="K811" s="27"/>
      <c r="M811" s="27"/>
      <c r="O811" s="27"/>
      <c r="R811" s="27"/>
    </row>
    <row r="812" spans="5:18" ht="21" customHeight="1">
      <c r="E812" s="27"/>
      <c r="G812" s="27"/>
      <c r="I812" s="27"/>
      <c r="K812" s="27"/>
      <c r="M812" s="27"/>
      <c r="O812" s="27"/>
      <c r="R812" s="27"/>
    </row>
    <row r="813" spans="5:18" ht="21" customHeight="1">
      <c r="E813" s="27"/>
      <c r="G813" s="27"/>
      <c r="I813" s="27"/>
      <c r="K813" s="27"/>
      <c r="M813" s="27"/>
      <c r="O813" s="27"/>
      <c r="R813" s="27"/>
    </row>
    <row r="814" spans="5:18" ht="21" customHeight="1">
      <c r="E814" s="27"/>
      <c r="G814" s="27"/>
      <c r="I814" s="27"/>
      <c r="K814" s="27"/>
      <c r="M814" s="27"/>
      <c r="O814" s="27"/>
      <c r="R814" s="27"/>
    </row>
    <row r="815" spans="5:18" ht="21" customHeight="1">
      <c r="E815" s="27"/>
      <c r="G815" s="27"/>
      <c r="I815" s="27"/>
      <c r="K815" s="27"/>
      <c r="M815" s="27"/>
      <c r="O815" s="27"/>
      <c r="R815" s="27"/>
    </row>
    <row r="816" spans="5:18" ht="21" customHeight="1">
      <c r="E816" s="27"/>
      <c r="G816" s="27"/>
      <c r="I816" s="27"/>
      <c r="K816" s="27"/>
      <c r="M816" s="27"/>
      <c r="O816" s="27"/>
      <c r="R816" s="27"/>
    </row>
    <row r="817" spans="5:18" ht="21" customHeight="1">
      <c r="E817" s="27"/>
      <c r="G817" s="27"/>
      <c r="I817" s="27"/>
      <c r="K817" s="27"/>
      <c r="M817" s="27"/>
      <c r="O817" s="27"/>
      <c r="R817" s="27"/>
    </row>
    <row r="818" spans="5:18" ht="21" customHeight="1">
      <c r="E818" s="27"/>
      <c r="G818" s="27"/>
      <c r="I818" s="27"/>
      <c r="K818" s="27"/>
      <c r="M818" s="27"/>
      <c r="O818" s="27"/>
      <c r="R818" s="27"/>
    </row>
    <row r="819" spans="5:18" ht="21" customHeight="1">
      <c r="E819" s="27"/>
      <c r="G819" s="27"/>
      <c r="I819" s="27"/>
      <c r="K819" s="27"/>
      <c r="M819" s="27"/>
      <c r="O819" s="27"/>
      <c r="R819" s="27"/>
    </row>
    <row r="820" spans="5:18" ht="21" customHeight="1">
      <c r="E820" s="27"/>
      <c r="G820" s="27"/>
      <c r="I820" s="27"/>
      <c r="K820" s="27"/>
      <c r="M820" s="27"/>
      <c r="O820" s="27"/>
      <c r="R820" s="27"/>
    </row>
    <row r="821" spans="5:18" ht="21" customHeight="1">
      <c r="E821" s="27"/>
      <c r="G821" s="27"/>
      <c r="I821" s="27"/>
      <c r="K821" s="27"/>
      <c r="M821" s="27"/>
      <c r="O821" s="27"/>
      <c r="R821" s="27"/>
    </row>
    <row r="822" spans="5:18" ht="21" customHeight="1">
      <c r="E822" s="27"/>
      <c r="G822" s="27"/>
      <c r="I822" s="27"/>
      <c r="K822" s="27"/>
      <c r="M822" s="27"/>
      <c r="O822" s="27"/>
      <c r="R822" s="27"/>
    </row>
    <row r="823" spans="5:18" ht="21" customHeight="1">
      <c r="E823" s="27"/>
      <c r="G823" s="27"/>
      <c r="I823" s="27"/>
      <c r="K823" s="27"/>
      <c r="M823" s="27"/>
      <c r="O823" s="27"/>
      <c r="R823" s="27"/>
    </row>
    <row r="824" spans="5:18" ht="21" customHeight="1">
      <c r="E824" s="27"/>
      <c r="G824" s="27"/>
      <c r="I824" s="27"/>
      <c r="K824" s="27"/>
      <c r="M824" s="27"/>
      <c r="O824" s="27"/>
      <c r="R824" s="27"/>
    </row>
    <row r="825" spans="5:18" ht="21" customHeight="1">
      <c r="E825" s="27"/>
      <c r="G825" s="27"/>
      <c r="I825" s="27"/>
      <c r="K825" s="27"/>
      <c r="M825" s="27"/>
      <c r="O825" s="27"/>
      <c r="R825" s="27"/>
    </row>
    <row r="826" spans="5:18" ht="21" customHeight="1">
      <c r="E826" s="27"/>
      <c r="G826" s="27"/>
      <c r="I826" s="27"/>
      <c r="K826" s="27"/>
      <c r="M826" s="27"/>
      <c r="O826" s="27"/>
      <c r="R826" s="27"/>
    </row>
    <row r="827" spans="5:18" ht="21" customHeight="1">
      <c r="E827" s="27"/>
      <c r="G827" s="27"/>
      <c r="I827" s="27"/>
      <c r="K827" s="27"/>
      <c r="M827" s="27"/>
      <c r="O827" s="27"/>
      <c r="R827" s="27"/>
    </row>
    <row r="828" spans="5:18" ht="21" customHeight="1">
      <c r="E828" s="27"/>
      <c r="G828" s="27"/>
      <c r="I828" s="27"/>
      <c r="K828" s="27"/>
      <c r="M828" s="27"/>
      <c r="O828" s="27"/>
      <c r="R828" s="27"/>
    </row>
    <row r="829" spans="5:18" ht="21" customHeight="1">
      <c r="E829" s="27"/>
      <c r="G829" s="27"/>
      <c r="I829" s="27"/>
      <c r="K829" s="27"/>
      <c r="M829" s="27"/>
      <c r="O829" s="27"/>
      <c r="R829" s="27"/>
    </row>
    <row r="830" spans="5:18" ht="21" customHeight="1">
      <c r="E830" s="27"/>
      <c r="G830" s="27"/>
      <c r="I830" s="27"/>
      <c r="K830" s="27"/>
      <c r="M830" s="27"/>
      <c r="O830" s="27"/>
      <c r="R830" s="27"/>
    </row>
    <row r="831" spans="5:18" ht="21" customHeight="1">
      <c r="E831" s="27"/>
      <c r="G831" s="27"/>
      <c r="I831" s="27"/>
      <c r="K831" s="27"/>
      <c r="M831" s="27"/>
      <c r="O831" s="27"/>
      <c r="R831" s="27"/>
    </row>
    <row r="832" spans="5:18" ht="21" customHeight="1">
      <c r="E832" s="27"/>
      <c r="G832" s="27"/>
      <c r="I832" s="27"/>
      <c r="K832" s="27"/>
      <c r="M832" s="27"/>
      <c r="O832" s="27"/>
      <c r="R832" s="27"/>
    </row>
    <row r="833" spans="5:18" ht="21" customHeight="1">
      <c r="E833" s="27"/>
      <c r="G833" s="27"/>
      <c r="I833" s="27"/>
      <c r="K833" s="27"/>
      <c r="M833" s="27"/>
      <c r="O833" s="27"/>
      <c r="R833" s="27"/>
    </row>
    <row r="834" spans="5:18" ht="21" customHeight="1">
      <c r="E834" s="27"/>
      <c r="G834" s="27"/>
      <c r="I834" s="27"/>
      <c r="K834" s="27"/>
      <c r="M834" s="27"/>
      <c r="O834" s="27"/>
      <c r="R834" s="27"/>
    </row>
    <row r="835" spans="5:18" ht="21" customHeight="1">
      <c r="E835" s="27"/>
      <c r="G835" s="27"/>
      <c r="I835" s="27"/>
      <c r="K835" s="27"/>
      <c r="M835" s="27"/>
      <c r="O835" s="27"/>
      <c r="R835" s="27"/>
    </row>
    <row r="836" spans="5:18" ht="21" customHeight="1">
      <c r="E836" s="27"/>
      <c r="G836" s="27"/>
      <c r="I836" s="27"/>
      <c r="K836" s="27"/>
      <c r="M836" s="27"/>
      <c r="O836" s="27"/>
      <c r="R836" s="27"/>
    </row>
    <row r="837" spans="5:18" ht="21" customHeight="1">
      <c r="E837" s="27"/>
      <c r="G837" s="27"/>
      <c r="I837" s="27"/>
      <c r="K837" s="27"/>
      <c r="M837" s="27"/>
      <c r="O837" s="27"/>
      <c r="R837" s="27"/>
    </row>
    <row r="838" spans="5:18" ht="21" customHeight="1">
      <c r="E838" s="27"/>
      <c r="G838" s="27"/>
      <c r="I838" s="27"/>
      <c r="K838" s="27"/>
      <c r="M838" s="27"/>
      <c r="O838" s="27"/>
      <c r="R838" s="27"/>
    </row>
    <row r="839" spans="5:18" ht="21" customHeight="1">
      <c r="E839" s="27"/>
      <c r="G839" s="27"/>
      <c r="I839" s="27"/>
      <c r="K839" s="27"/>
      <c r="M839" s="27"/>
      <c r="O839" s="27"/>
      <c r="R839" s="27"/>
    </row>
    <row r="840" spans="5:18" ht="21" customHeight="1">
      <c r="E840" s="27"/>
      <c r="G840" s="27"/>
      <c r="I840" s="27"/>
      <c r="K840" s="27"/>
      <c r="M840" s="27"/>
      <c r="O840" s="27"/>
      <c r="R840" s="27"/>
    </row>
    <row r="841" spans="5:18" ht="21" customHeight="1">
      <c r="E841" s="27"/>
      <c r="G841" s="27"/>
      <c r="I841" s="27"/>
      <c r="K841" s="27"/>
      <c r="M841" s="27"/>
      <c r="O841" s="27"/>
      <c r="R841" s="27"/>
    </row>
    <row r="842" spans="5:18" ht="21" customHeight="1">
      <c r="E842" s="27"/>
      <c r="G842" s="27"/>
      <c r="I842" s="27"/>
      <c r="K842" s="27"/>
      <c r="M842" s="27"/>
      <c r="O842" s="27"/>
      <c r="R842" s="27"/>
    </row>
    <row r="843" spans="5:18" ht="21" customHeight="1">
      <c r="E843" s="27"/>
      <c r="G843" s="27"/>
      <c r="I843" s="27"/>
      <c r="K843" s="27"/>
      <c r="M843" s="27"/>
      <c r="O843" s="27"/>
      <c r="R843" s="27"/>
    </row>
    <row r="844" spans="5:18" ht="21" customHeight="1">
      <c r="E844" s="27"/>
      <c r="G844" s="27"/>
      <c r="I844" s="27"/>
      <c r="K844" s="27"/>
      <c r="M844" s="27"/>
      <c r="O844" s="27"/>
      <c r="R844" s="27"/>
    </row>
    <row r="845" spans="5:18" ht="21" customHeight="1">
      <c r="E845" s="27"/>
      <c r="G845" s="27"/>
      <c r="I845" s="27"/>
      <c r="K845" s="27"/>
      <c r="M845" s="27"/>
      <c r="O845" s="27"/>
      <c r="R845" s="27"/>
    </row>
    <row r="846" spans="5:18" ht="21" customHeight="1">
      <c r="E846" s="27"/>
      <c r="G846" s="27"/>
      <c r="I846" s="27"/>
      <c r="K846" s="27"/>
      <c r="M846" s="27"/>
      <c r="O846" s="27"/>
      <c r="R846" s="27"/>
    </row>
    <row r="847" spans="5:18" ht="21" customHeight="1">
      <c r="E847" s="27"/>
      <c r="G847" s="27"/>
      <c r="I847" s="27"/>
      <c r="K847" s="27"/>
      <c r="M847" s="27"/>
      <c r="O847" s="27"/>
      <c r="R847" s="27"/>
    </row>
    <row r="848" spans="5:18" ht="21" customHeight="1">
      <c r="E848" s="27"/>
      <c r="G848" s="27"/>
      <c r="I848" s="27"/>
      <c r="K848" s="27"/>
      <c r="M848" s="27"/>
      <c r="O848" s="27"/>
      <c r="R848" s="27"/>
    </row>
    <row r="849" spans="5:18" ht="21" customHeight="1">
      <c r="E849" s="27"/>
      <c r="G849" s="27"/>
      <c r="I849" s="27"/>
      <c r="K849" s="27"/>
      <c r="M849" s="27"/>
      <c r="O849" s="27"/>
      <c r="R849" s="27"/>
    </row>
    <row r="850" spans="5:18" ht="21" customHeight="1">
      <c r="E850" s="27"/>
      <c r="G850" s="27"/>
      <c r="I850" s="27"/>
      <c r="K850" s="27"/>
      <c r="M850" s="27"/>
      <c r="O850" s="27"/>
      <c r="R850" s="27"/>
    </row>
    <row r="851" spans="5:18" ht="21" customHeight="1">
      <c r="E851" s="27"/>
      <c r="G851" s="27"/>
      <c r="I851" s="27"/>
      <c r="K851" s="27"/>
      <c r="M851" s="27"/>
      <c r="O851" s="27"/>
      <c r="R851" s="27"/>
    </row>
    <row r="852" spans="5:18" ht="21" customHeight="1">
      <c r="E852" s="27"/>
      <c r="G852" s="27"/>
      <c r="I852" s="27"/>
      <c r="K852" s="27"/>
      <c r="M852" s="27"/>
      <c r="O852" s="27"/>
      <c r="R852" s="27"/>
    </row>
    <row r="853" spans="5:18" ht="21" customHeight="1">
      <c r="E853" s="27"/>
      <c r="G853" s="27"/>
      <c r="I853" s="27"/>
      <c r="K853" s="27"/>
      <c r="M853" s="27"/>
      <c r="O853" s="27"/>
      <c r="R853" s="27"/>
    </row>
    <row r="854" spans="5:18" ht="21" customHeight="1">
      <c r="E854" s="27"/>
      <c r="G854" s="27"/>
      <c r="I854" s="27"/>
      <c r="K854" s="27"/>
      <c r="M854" s="27"/>
      <c r="O854" s="27"/>
      <c r="R854" s="27"/>
    </row>
    <row r="855" spans="5:18" ht="21" customHeight="1">
      <c r="E855" s="27"/>
      <c r="G855" s="27"/>
      <c r="I855" s="27"/>
      <c r="K855" s="27"/>
      <c r="M855" s="27"/>
      <c r="O855" s="27"/>
      <c r="R855" s="27"/>
    </row>
    <row r="856" spans="5:18" ht="21" customHeight="1">
      <c r="E856" s="27"/>
      <c r="G856" s="27"/>
      <c r="I856" s="27"/>
      <c r="K856" s="27"/>
      <c r="M856" s="27"/>
      <c r="O856" s="27"/>
      <c r="R856" s="27"/>
    </row>
    <row r="857" spans="5:18" ht="21" customHeight="1">
      <c r="E857" s="27"/>
      <c r="G857" s="27"/>
      <c r="I857" s="27"/>
      <c r="K857" s="27"/>
      <c r="M857" s="27"/>
      <c r="O857" s="27"/>
      <c r="R857" s="27"/>
    </row>
    <row r="858" spans="5:18" ht="21" customHeight="1">
      <c r="E858" s="27"/>
      <c r="G858" s="27"/>
      <c r="I858" s="27"/>
      <c r="K858" s="27"/>
      <c r="M858" s="27"/>
      <c r="O858" s="27"/>
      <c r="R858" s="27"/>
    </row>
    <row r="859" spans="5:18" ht="21" customHeight="1">
      <c r="E859" s="27"/>
      <c r="G859" s="27"/>
      <c r="I859" s="27"/>
      <c r="K859" s="27"/>
      <c r="M859" s="27"/>
      <c r="O859" s="27"/>
      <c r="R859" s="27"/>
    </row>
    <row r="860" spans="5:18" ht="21" customHeight="1">
      <c r="E860" s="27"/>
      <c r="G860" s="27"/>
      <c r="I860" s="27"/>
      <c r="K860" s="27"/>
      <c r="M860" s="27"/>
      <c r="O860" s="27"/>
      <c r="R860" s="27"/>
    </row>
    <row r="861" spans="5:18" ht="21" customHeight="1">
      <c r="E861" s="27"/>
      <c r="G861" s="27"/>
      <c r="I861" s="27"/>
      <c r="K861" s="27"/>
      <c r="M861" s="27"/>
      <c r="O861" s="27"/>
      <c r="R861" s="27"/>
    </row>
    <row r="862" spans="5:18" ht="21" customHeight="1">
      <c r="E862" s="27"/>
      <c r="G862" s="27"/>
      <c r="I862" s="27"/>
      <c r="K862" s="27"/>
      <c r="M862" s="27"/>
      <c r="O862" s="27"/>
      <c r="R862" s="27"/>
    </row>
    <row r="863" spans="5:18" ht="21" customHeight="1">
      <c r="E863" s="27"/>
      <c r="G863" s="27"/>
      <c r="I863" s="27"/>
      <c r="K863" s="27"/>
      <c r="M863" s="27"/>
      <c r="O863" s="27"/>
      <c r="R863" s="27"/>
    </row>
    <row r="864" spans="5:18" ht="21" customHeight="1">
      <c r="E864" s="27"/>
      <c r="G864" s="27"/>
      <c r="I864" s="27"/>
      <c r="K864" s="27"/>
      <c r="M864" s="27"/>
      <c r="O864" s="27"/>
      <c r="R864" s="27"/>
    </row>
    <row r="865" spans="5:18" ht="21" customHeight="1">
      <c r="E865" s="27"/>
      <c r="G865" s="27"/>
      <c r="I865" s="27"/>
      <c r="K865" s="27"/>
      <c r="M865" s="27"/>
      <c r="O865" s="27"/>
      <c r="R865" s="27"/>
    </row>
    <row r="866" spans="5:18" ht="21" customHeight="1">
      <c r="E866" s="27"/>
      <c r="G866" s="27"/>
      <c r="I866" s="27"/>
      <c r="K866" s="27"/>
      <c r="M866" s="27"/>
      <c r="O866" s="27"/>
      <c r="R866" s="27"/>
    </row>
    <row r="867" spans="5:18" ht="21" customHeight="1">
      <c r="E867" s="27"/>
      <c r="G867" s="27"/>
      <c r="I867" s="27"/>
      <c r="K867" s="27"/>
      <c r="M867" s="27"/>
      <c r="O867" s="27"/>
      <c r="R867" s="27"/>
    </row>
    <row r="868" spans="5:18" ht="21" customHeight="1">
      <c r="E868" s="27"/>
      <c r="G868" s="27"/>
      <c r="I868" s="27"/>
      <c r="K868" s="27"/>
      <c r="M868" s="27"/>
      <c r="O868" s="27"/>
      <c r="R868" s="27"/>
    </row>
    <row r="869" spans="5:18" ht="21" customHeight="1">
      <c r="E869" s="27"/>
      <c r="G869" s="27"/>
      <c r="I869" s="27"/>
      <c r="K869" s="27"/>
      <c r="M869" s="27"/>
      <c r="O869" s="27"/>
      <c r="R869" s="27"/>
    </row>
    <row r="870" spans="5:18" ht="21" customHeight="1">
      <c r="E870" s="27"/>
      <c r="G870" s="27"/>
      <c r="I870" s="27"/>
      <c r="K870" s="27"/>
      <c r="M870" s="27"/>
      <c r="O870" s="27"/>
      <c r="R870" s="27"/>
    </row>
    <row r="871" spans="5:18" ht="21" customHeight="1">
      <c r="E871" s="27"/>
      <c r="G871" s="27"/>
      <c r="I871" s="27"/>
      <c r="K871" s="27"/>
      <c r="M871" s="27"/>
      <c r="O871" s="27"/>
      <c r="R871" s="27"/>
    </row>
    <row r="872" spans="5:18" ht="21" customHeight="1">
      <c r="E872" s="27"/>
      <c r="G872" s="27"/>
      <c r="I872" s="27"/>
      <c r="K872" s="27"/>
      <c r="M872" s="27"/>
      <c r="O872" s="27"/>
      <c r="R872" s="27"/>
    </row>
    <row r="873" spans="5:18" ht="21" customHeight="1">
      <c r="E873" s="27"/>
      <c r="G873" s="27"/>
      <c r="I873" s="27"/>
      <c r="K873" s="27"/>
      <c r="M873" s="27"/>
      <c r="O873" s="27"/>
      <c r="R873" s="27"/>
    </row>
    <row r="874" spans="5:18" ht="21" customHeight="1">
      <c r="E874" s="27"/>
      <c r="G874" s="27"/>
      <c r="I874" s="27"/>
      <c r="K874" s="27"/>
      <c r="M874" s="27"/>
      <c r="O874" s="27"/>
      <c r="R874" s="27"/>
    </row>
    <row r="875" spans="5:18" ht="21" customHeight="1">
      <c r="E875" s="27"/>
      <c r="G875" s="27"/>
      <c r="I875" s="27"/>
      <c r="K875" s="27"/>
      <c r="M875" s="27"/>
      <c r="O875" s="27"/>
      <c r="R875" s="27"/>
    </row>
    <row r="876" spans="5:18" ht="21" customHeight="1">
      <c r="E876" s="27"/>
      <c r="G876" s="27"/>
      <c r="I876" s="27"/>
      <c r="K876" s="27"/>
      <c r="M876" s="27"/>
      <c r="O876" s="27"/>
      <c r="R876" s="27"/>
    </row>
    <row r="877" spans="5:18" ht="21" customHeight="1">
      <c r="E877" s="27"/>
      <c r="G877" s="27"/>
      <c r="I877" s="27"/>
      <c r="K877" s="27"/>
      <c r="M877" s="27"/>
      <c r="O877" s="27"/>
      <c r="R877" s="27"/>
    </row>
    <row r="878" spans="5:18" ht="21" customHeight="1">
      <c r="E878" s="27"/>
      <c r="G878" s="27"/>
      <c r="I878" s="27"/>
      <c r="K878" s="27"/>
      <c r="M878" s="27"/>
      <c r="O878" s="27"/>
      <c r="R878" s="27"/>
    </row>
    <row r="879" spans="5:18" ht="21" customHeight="1">
      <c r="E879" s="27"/>
      <c r="G879" s="27"/>
      <c r="I879" s="27"/>
      <c r="K879" s="27"/>
      <c r="M879" s="27"/>
      <c r="O879" s="27"/>
      <c r="R879" s="27"/>
    </row>
    <row r="880" spans="5:18" ht="21" customHeight="1">
      <c r="E880" s="27"/>
      <c r="G880" s="27"/>
      <c r="I880" s="27"/>
      <c r="K880" s="27"/>
      <c r="M880" s="27"/>
      <c r="O880" s="27"/>
      <c r="R880" s="27"/>
    </row>
    <row r="881" spans="5:18" ht="21" customHeight="1">
      <c r="E881" s="27"/>
      <c r="G881" s="27"/>
      <c r="I881" s="27"/>
      <c r="K881" s="27"/>
      <c r="M881" s="27"/>
      <c r="O881" s="27"/>
      <c r="R881" s="27"/>
    </row>
    <row r="882" spans="5:18" ht="21" customHeight="1">
      <c r="E882" s="27"/>
      <c r="G882" s="27"/>
      <c r="I882" s="27"/>
      <c r="K882" s="27"/>
      <c r="M882" s="27"/>
      <c r="O882" s="27"/>
      <c r="R882" s="27"/>
    </row>
    <row r="883" spans="5:18" ht="21" customHeight="1">
      <c r="E883" s="27"/>
      <c r="G883" s="27"/>
      <c r="I883" s="27"/>
      <c r="K883" s="27"/>
      <c r="M883" s="27"/>
      <c r="O883" s="27"/>
      <c r="R883" s="27"/>
    </row>
    <row r="884" spans="5:18" ht="21" customHeight="1">
      <c r="E884" s="27"/>
      <c r="G884" s="27"/>
      <c r="I884" s="27"/>
      <c r="K884" s="27"/>
      <c r="M884" s="27"/>
      <c r="O884" s="27"/>
      <c r="R884" s="27"/>
    </row>
    <row r="885" spans="5:18" ht="21" customHeight="1">
      <c r="E885" s="27"/>
      <c r="G885" s="27"/>
      <c r="I885" s="27"/>
      <c r="K885" s="27"/>
      <c r="M885" s="27"/>
      <c r="O885" s="27"/>
      <c r="R885" s="27"/>
    </row>
    <row r="886" spans="5:18" ht="21" customHeight="1">
      <c r="E886" s="27"/>
      <c r="G886" s="27"/>
      <c r="I886" s="27"/>
      <c r="K886" s="27"/>
      <c r="M886" s="27"/>
      <c r="O886" s="27"/>
      <c r="R886" s="27"/>
    </row>
    <row r="887" spans="5:18" ht="21" customHeight="1">
      <c r="E887" s="27"/>
      <c r="G887" s="27"/>
      <c r="I887" s="27"/>
      <c r="K887" s="27"/>
      <c r="M887" s="27"/>
      <c r="O887" s="27"/>
      <c r="R887" s="27"/>
    </row>
    <row r="888" spans="5:18" ht="21" customHeight="1">
      <c r="E888" s="27"/>
      <c r="G888" s="27"/>
      <c r="I888" s="27"/>
      <c r="K888" s="27"/>
      <c r="M888" s="27"/>
      <c r="O888" s="27"/>
      <c r="R888" s="27"/>
    </row>
    <row r="889" spans="5:18" ht="21" customHeight="1">
      <c r="E889" s="27"/>
      <c r="G889" s="27"/>
      <c r="I889" s="27"/>
      <c r="K889" s="27"/>
      <c r="M889" s="27"/>
      <c r="O889" s="27"/>
      <c r="R889" s="27"/>
    </row>
    <row r="890" spans="5:18" ht="21" customHeight="1">
      <c r="E890" s="27"/>
      <c r="G890" s="27"/>
      <c r="I890" s="27"/>
      <c r="K890" s="27"/>
      <c r="M890" s="27"/>
      <c r="O890" s="27"/>
      <c r="R890" s="27"/>
    </row>
    <row r="891" spans="5:18" ht="21" customHeight="1">
      <c r="E891" s="27"/>
      <c r="G891" s="27"/>
      <c r="I891" s="27"/>
      <c r="K891" s="27"/>
      <c r="M891" s="27"/>
      <c r="O891" s="27"/>
      <c r="R891" s="27"/>
    </row>
    <row r="892" spans="5:18" ht="21" customHeight="1">
      <c r="E892" s="27"/>
      <c r="G892" s="27"/>
      <c r="I892" s="27"/>
      <c r="K892" s="27"/>
      <c r="M892" s="27"/>
      <c r="O892" s="27"/>
      <c r="R892" s="27"/>
    </row>
    <row r="893" spans="5:18" ht="21" customHeight="1">
      <c r="E893" s="27"/>
      <c r="G893" s="27"/>
      <c r="I893" s="27"/>
      <c r="K893" s="27"/>
      <c r="M893" s="27"/>
      <c r="O893" s="27"/>
      <c r="R893" s="27"/>
    </row>
    <row r="894" spans="5:18" ht="21" customHeight="1">
      <c r="E894" s="27"/>
      <c r="G894" s="27"/>
      <c r="I894" s="27"/>
      <c r="K894" s="27"/>
      <c r="M894" s="27"/>
      <c r="O894" s="27"/>
      <c r="R894" s="27"/>
    </row>
    <row r="895" spans="5:18" ht="21" customHeight="1">
      <c r="E895" s="27"/>
      <c r="G895" s="27"/>
      <c r="I895" s="27"/>
      <c r="K895" s="27"/>
      <c r="M895" s="27"/>
      <c r="O895" s="27"/>
      <c r="R895" s="27"/>
    </row>
    <row r="896" spans="5:18" ht="21" customHeight="1">
      <c r="E896" s="27"/>
      <c r="G896" s="27"/>
      <c r="I896" s="27"/>
      <c r="K896" s="27"/>
      <c r="M896" s="27"/>
      <c r="O896" s="27"/>
      <c r="R896" s="27"/>
    </row>
    <row r="897" spans="5:18" ht="21" customHeight="1">
      <c r="E897" s="27"/>
      <c r="G897" s="27"/>
      <c r="I897" s="27"/>
      <c r="K897" s="27"/>
      <c r="M897" s="27"/>
      <c r="O897" s="27"/>
      <c r="R897" s="27"/>
    </row>
    <row r="898" spans="5:18" ht="21" customHeight="1">
      <c r="E898" s="27"/>
      <c r="G898" s="27"/>
      <c r="I898" s="27"/>
      <c r="K898" s="27"/>
      <c r="M898" s="27"/>
      <c r="O898" s="27"/>
      <c r="R898" s="27"/>
    </row>
    <row r="899" spans="5:18" ht="21" customHeight="1">
      <c r="E899" s="27"/>
      <c r="G899" s="27"/>
      <c r="I899" s="27"/>
      <c r="K899" s="27"/>
      <c r="M899" s="27"/>
      <c r="O899" s="27"/>
      <c r="R899" s="27"/>
    </row>
    <row r="900" spans="5:18" ht="21" customHeight="1">
      <c r="E900" s="27"/>
      <c r="G900" s="27"/>
      <c r="I900" s="27"/>
      <c r="K900" s="27"/>
      <c r="M900" s="27"/>
      <c r="O900" s="27"/>
      <c r="R900" s="27"/>
    </row>
    <row r="901" spans="5:18" ht="21" customHeight="1">
      <c r="E901" s="27"/>
      <c r="G901" s="27"/>
      <c r="I901" s="27"/>
      <c r="K901" s="27"/>
      <c r="M901" s="27"/>
      <c r="O901" s="27"/>
      <c r="R901" s="27"/>
    </row>
    <row r="902" spans="5:18" ht="21" customHeight="1">
      <c r="E902" s="27"/>
      <c r="G902" s="27"/>
      <c r="I902" s="27"/>
      <c r="K902" s="27"/>
      <c r="M902" s="27"/>
      <c r="O902" s="27"/>
      <c r="R902" s="27"/>
    </row>
    <row r="903" spans="5:18" ht="21" customHeight="1">
      <c r="E903" s="27"/>
      <c r="G903" s="27"/>
      <c r="I903" s="27"/>
      <c r="K903" s="27"/>
      <c r="M903" s="27"/>
      <c r="O903" s="27"/>
      <c r="R903" s="27"/>
    </row>
    <row r="904" spans="5:18" ht="21" customHeight="1">
      <c r="E904" s="27"/>
      <c r="G904" s="27"/>
      <c r="I904" s="27"/>
      <c r="K904" s="27"/>
      <c r="M904" s="27"/>
      <c r="O904" s="27"/>
      <c r="R904" s="27"/>
    </row>
    <row r="905" spans="5:18" ht="21" customHeight="1">
      <c r="E905" s="27"/>
      <c r="G905" s="27"/>
      <c r="I905" s="27"/>
      <c r="K905" s="27"/>
      <c r="M905" s="27"/>
      <c r="O905" s="27"/>
      <c r="R905" s="27"/>
    </row>
    <row r="906" spans="5:18" ht="21" customHeight="1">
      <c r="E906" s="27"/>
      <c r="G906" s="27"/>
      <c r="I906" s="27"/>
      <c r="K906" s="27"/>
      <c r="M906" s="27"/>
      <c r="O906" s="27"/>
      <c r="R906" s="27"/>
    </row>
    <row r="907" spans="5:18" ht="21" customHeight="1">
      <c r="E907" s="27"/>
      <c r="G907" s="27"/>
      <c r="I907" s="27"/>
      <c r="K907" s="27"/>
      <c r="M907" s="27"/>
      <c r="O907" s="27"/>
      <c r="R907" s="27"/>
    </row>
    <row r="908" spans="5:18" ht="21" customHeight="1">
      <c r="E908" s="27"/>
      <c r="G908" s="27"/>
      <c r="I908" s="27"/>
      <c r="K908" s="27"/>
      <c r="M908" s="27"/>
      <c r="O908" s="27"/>
      <c r="R908" s="27"/>
    </row>
    <row r="909" spans="5:18" ht="21" customHeight="1">
      <c r="E909" s="27"/>
      <c r="G909" s="27"/>
      <c r="I909" s="27"/>
      <c r="K909" s="27"/>
      <c r="M909" s="27"/>
      <c r="O909" s="27"/>
      <c r="R909" s="27"/>
    </row>
    <row r="910" spans="5:18" ht="21" customHeight="1">
      <c r="E910" s="27"/>
      <c r="G910" s="27"/>
      <c r="I910" s="27"/>
      <c r="K910" s="27"/>
      <c r="M910" s="27"/>
      <c r="O910" s="27"/>
      <c r="R910" s="27"/>
    </row>
    <row r="911" spans="5:18" ht="21" customHeight="1">
      <c r="E911" s="27"/>
      <c r="G911" s="27"/>
      <c r="I911" s="27"/>
      <c r="K911" s="27"/>
      <c r="M911" s="27"/>
      <c r="O911" s="27"/>
      <c r="R911" s="27"/>
    </row>
    <row r="912" spans="5:18" ht="21" customHeight="1">
      <c r="E912" s="27"/>
      <c r="G912" s="27"/>
      <c r="I912" s="27"/>
      <c r="K912" s="27"/>
      <c r="M912" s="27"/>
      <c r="O912" s="27"/>
      <c r="R912" s="27"/>
    </row>
    <row r="913" spans="5:18" ht="21" customHeight="1">
      <c r="E913" s="27"/>
      <c r="G913" s="27"/>
      <c r="I913" s="27"/>
      <c r="K913" s="27"/>
      <c r="M913" s="27"/>
      <c r="O913" s="27"/>
      <c r="R913" s="27"/>
    </row>
    <row r="914" spans="5:18" ht="21" customHeight="1">
      <c r="E914" s="27"/>
      <c r="G914" s="27"/>
      <c r="I914" s="27"/>
      <c r="K914" s="27"/>
      <c r="M914" s="27"/>
      <c r="O914" s="27"/>
      <c r="R914" s="27"/>
    </row>
    <row r="915" spans="5:18" ht="21" customHeight="1">
      <c r="E915" s="27"/>
      <c r="G915" s="27"/>
      <c r="I915" s="27"/>
      <c r="K915" s="27"/>
      <c r="M915" s="27"/>
      <c r="O915" s="27"/>
      <c r="R915" s="27"/>
    </row>
    <row r="916" spans="5:18" ht="21" customHeight="1">
      <c r="E916" s="27"/>
      <c r="G916" s="27"/>
      <c r="I916" s="27"/>
      <c r="K916" s="27"/>
      <c r="M916" s="27"/>
      <c r="O916" s="27"/>
      <c r="R916" s="27"/>
    </row>
    <row r="917" spans="5:18" ht="21" customHeight="1">
      <c r="E917" s="27"/>
      <c r="G917" s="27"/>
      <c r="I917" s="27"/>
      <c r="K917" s="27"/>
      <c r="M917" s="27"/>
      <c r="O917" s="27"/>
      <c r="R917" s="27"/>
    </row>
    <row r="918" spans="5:18" ht="21" customHeight="1">
      <c r="E918" s="27"/>
      <c r="G918" s="27"/>
      <c r="I918" s="27"/>
      <c r="K918" s="27"/>
      <c r="M918" s="27"/>
      <c r="O918" s="27"/>
      <c r="R918" s="27"/>
    </row>
    <row r="919" spans="5:18" ht="21" customHeight="1">
      <c r="E919" s="27"/>
      <c r="G919" s="27"/>
      <c r="I919" s="27"/>
      <c r="K919" s="27"/>
      <c r="M919" s="27"/>
      <c r="O919" s="27"/>
      <c r="R919" s="27"/>
    </row>
    <row r="920" spans="5:18" ht="21" customHeight="1">
      <c r="E920" s="27"/>
      <c r="G920" s="27"/>
      <c r="I920" s="27"/>
      <c r="K920" s="27"/>
      <c r="M920" s="27"/>
      <c r="O920" s="27"/>
      <c r="R920" s="27"/>
    </row>
    <row r="921" spans="5:18" ht="21" customHeight="1">
      <c r="E921" s="27"/>
      <c r="G921" s="27"/>
      <c r="I921" s="27"/>
      <c r="K921" s="27"/>
      <c r="M921" s="27"/>
      <c r="O921" s="27"/>
      <c r="R921" s="27"/>
    </row>
    <row r="922" spans="5:18" ht="21" customHeight="1">
      <c r="E922" s="27"/>
      <c r="G922" s="27"/>
      <c r="I922" s="27"/>
      <c r="K922" s="27"/>
      <c r="M922" s="27"/>
      <c r="O922" s="27"/>
      <c r="R922" s="27"/>
    </row>
    <row r="923" spans="5:18" ht="21" customHeight="1">
      <c r="E923" s="27"/>
      <c r="G923" s="27"/>
      <c r="I923" s="27"/>
      <c r="K923" s="27"/>
      <c r="M923" s="27"/>
      <c r="O923" s="27"/>
      <c r="R923" s="27"/>
    </row>
    <row r="924" spans="5:18" ht="21" customHeight="1">
      <c r="E924" s="27"/>
      <c r="G924" s="27"/>
      <c r="I924" s="27"/>
      <c r="K924" s="27"/>
      <c r="M924" s="27"/>
      <c r="O924" s="27"/>
      <c r="R924" s="27"/>
    </row>
    <row r="925" spans="5:18" ht="21" customHeight="1">
      <c r="E925" s="27"/>
      <c r="G925" s="27"/>
      <c r="I925" s="27"/>
      <c r="K925" s="27"/>
      <c r="M925" s="27"/>
      <c r="O925" s="27"/>
      <c r="R925" s="27"/>
    </row>
    <row r="926" spans="5:18" ht="21" customHeight="1">
      <c r="E926" s="27"/>
      <c r="G926" s="27"/>
      <c r="I926" s="27"/>
      <c r="K926" s="27"/>
      <c r="M926" s="27"/>
      <c r="O926" s="27"/>
      <c r="R926" s="27"/>
    </row>
    <row r="927" spans="5:18" ht="21" customHeight="1">
      <c r="E927" s="27"/>
      <c r="G927" s="27"/>
      <c r="I927" s="27"/>
      <c r="K927" s="27"/>
      <c r="M927" s="27"/>
      <c r="O927" s="27"/>
      <c r="R927" s="27"/>
    </row>
    <row r="928" spans="5:18" ht="21" customHeight="1">
      <c r="E928" s="27"/>
      <c r="G928" s="27"/>
      <c r="I928" s="27"/>
      <c r="K928" s="27"/>
      <c r="M928" s="27"/>
      <c r="O928" s="27"/>
      <c r="R928" s="27"/>
    </row>
    <row r="929" spans="5:18" ht="21" customHeight="1">
      <c r="E929" s="27"/>
      <c r="G929" s="27"/>
      <c r="I929" s="27"/>
      <c r="K929" s="27"/>
      <c r="M929" s="27"/>
      <c r="O929" s="27"/>
      <c r="R929" s="27"/>
    </row>
    <row r="930" spans="5:18" ht="21" customHeight="1">
      <c r="E930" s="27"/>
      <c r="G930" s="27"/>
      <c r="I930" s="27"/>
      <c r="K930" s="27"/>
      <c r="M930" s="27"/>
      <c r="O930" s="27"/>
      <c r="R930" s="27"/>
    </row>
    <row r="931" spans="5:18" ht="21" customHeight="1">
      <c r="E931" s="27"/>
      <c r="G931" s="27"/>
      <c r="I931" s="27"/>
      <c r="K931" s="27"/>
      <c r="M931" s="27"/>
      <c r="O931" s="27"/>
      <c r="R931" s="27"/>
    </row>
    <row r="932" spans="5:18" ht="21" customHeight="1">
      <c r="E932" s="27"/>
      <c r="G932" s="27"/>
      <c r="I932" s="27"/>
      <c r="K932" s="27"/>
      <c r="M932" s="27"/>
      <c r="O932" s="27"/>
      <c r="R932" s="27"/>
    </row>
    <row r="933" spans="5:18" ht="21" customHeight="1">
      <c r="E933" s="27"/>
      <c r="G933" s="27"/>
      <c r="I933" s="27"/>
      <c r="K933" s="27"/>
      <c r="M933" s="27"/>
      <c r="O933" s="27"/>
      <c r="R933" s="27"/>
    </row>
    <row r="934" spans="5:18" ht="21" customHeight="1">
      <c r="E934" s="27"/>
      <c r="G934" s="27"/>
      <c r="I934" s="27"/>
      <c r="K934" s="27"/>
      <c r="M934" s="27"/>
      <c r="O934" s="27"/>
      <c r="R934" s="27"/>
    </row>
    <row r="935" spans="5:18" ht="21" customHeight="1">
      <c r="E935" s="27"/>
      <c r="G935" s="27"/>
      <c r="I935" s="27"/>
      <c r="K935" s="27"/>
      <c r="M935" s="27"/>
      <c r="O935" s="27"/>
      <c r="R935" s="27"/>
    </row>
    <row r="936" spans="5:18" ht="21" customHeight="1">
      <c r="E936" s="27"/>
      <c r="G936" s="27"/>
      <c r="I936" s="27"/>
      <c r="K936" s="27"/>
      <c r="M936" s="27"/>
      <c r="O936" s="27"/>
      <c r="R936" s="27"/>
    </row>
    <row r="937" spans="5:18" ht="21" customHeight="1">
      <c r="E937" s="27"/>
      <c r="G937" s="27"/>
      <c r="I937" s="27"/>
      <c r="K937" s="27"/>
      <c r="M937" s="27"/>
      <c r="O937" s="27"/>
      <c r="R937" s="27"/>
    </row>
    <row r="938" spans="5:18" ht="21" customHeight="1">
      <c r="E938" s="27"/>
      <c r="G938" s="27"/>
      <c r="I938" s="27"/>
      <c r="K938" s="27"/>
      <c r="M938" s="27"/>
      <c r="O938" s="27"/>
      <c r="R938" s="27"/>
    </row>
    <row r="939" spans="5:18" ht="21" customHeight="1">
      <c r="E939" s="27"/>
      <c r="G939" s="27"/>
      <c r="I939" s="27"/>
      <c r="K939" s="27"/>
      <c r="M939" s="27"/>
      <c r="O939" s="27"/>
      <c r="R939" s="27"/>
    </row>
    <row r="940" spans="5:18" ht="21" customHeight="1">
      <c r="E940" s="27"/>
      <c r="G940" s="27"/>
      <c r="I940" s="27"/>
      <c r="K940" s="27"/>
      <c r="M940" s="27"/>
      <c r="O940" s="27"/>
      <c r="R940" s="27"/>
    </row>
    <row r="941" spans="5:18" ht="21" customHeight="1">
      <c r="E941" s="27"/>
      <c r="G941" s="27"/>
      <c r="I941" s="27"/>
      <c r="K941" s="27"/>
      <c r="M941" s="27"/>
      <c r="O941" s="27"/>
      <c r="R941" s="27"/>
    </row>
    <row r="942" spans="5:18" ht="21" customHeight="1">
      <c r="E942" s="27"/>
      <c r="G942" s="27"/>
      <c r="I942" s="27"/>
      <c r="K942" s="27"/>
      <c r="M942" s="27"/>
      <c r="O942" s="27"/>
      <c r="R942" s="27"/>
    </row>
    <row r="943" spans="5:18" ht="21" customHeight="1">
      <c r="E943" s="27"/>
      <c r="G943" s="27"/>
      <c r="I943" s="27"/>
      <c r="K943" s="27"/>
      <c r="M943" s="27"/>
      <c r="O943" s="27"/>
      <c r="R943" s="27"/>
    </row>
    <row r="944" spans="5:18" ht="21" customHeight="1">
      <c r="E944" s="27"/>
      <c r="G944" s="27"/>
      <c r="I944" s="27"/>
      <c r="K944" s="27"/>
      <c r="M944" s="27"/>
      <c r="O944" s="27"/>
      <c r="R944" s="27"/>
    </row>
    <row r="945" spans="5:18" ht="21" customHeight="1">
      <c r="E945" s="27"/>
      <c r="G945" s="27"/>
      <c r="I945" s="27"/>
      <c r="K945" s="27"/>
      <c r="M945" s="27"/>
      <c r="O945" s="27"/>
      <c r="R945" s="27"/>
    </row>
    <row r="946" spans="5:18" ht="21" customHeight="1">
      <c r="E946" s="27"/>
      <c r="G946" s="27"/>
      <c r="I946" s="27"/>
      <c r="K946" s="27"/>
      <c r="M946" s="27"/>
      <c r="O946" s="27"/>
      <c r="R946" s="27"/>
    </row>
    <row r="947" spans="5:18" ht="21" customHeight="1">
      <c r="E947" s="27"/>
      <c r="G947" s="27"/>
      <c r="I947" s="27"/>
      <c r="K947" s="27"/>
      <c r="M947" s="27"/>
      <c r="O947" s="27"/>
      <c r="R947" s="27"/>
    </row>
    <row r="948" spans="5:18" ht="21" customHeight="1">
      <c r="E948" s="27"/>
      <c r="G948" s="27"/>
      <c r="I948" s="27"/>
      <c r="K948" s="27"/>
      <c r="M948" s="27"/>
      <c r="O948" s="27"/>
      <c r="R948" s="27"/>
    </row>
    <row r="949" spans="5:18" ht="21" customHeight="1">
      <c r="E949" s="27"/>
      <c r="G949" s="27"/>
      <c r="I949" s="27"/>
      <c r="K949" s="27"/>
      <c r="M949" s="27"/>
      <c r="O949" s="27"/>
      <c r="R949" s="27"/>
    </row>
    <row r="950" spans="5:18" ht="21" customHeight="1">
      <c r="E950" s="27"/>
      <c r="G950" s="27"/>
      <c r="I950" s="27"/>
      <c r="K950" s="27"/>
      <c r="M950" s="27"/>
      <c r="O950" s="27"/>
      <c r="R950" s="27"/>
    </row>
    <row r="951" spans="5:18" ht="21" customHeight="1">
      <c r="E951" s="27"/>
      <c r="G951" s="27"/>
      <c r="I951" s="27"/>
      <c r="K951" s="27"/>
      <c r="M951" s="27"/>
      <c r="O951" s="27"/>
      <c r="R951" s="27"/>
    </row>
    <row r="952" spans="5:18" ht="21" customHeight="1">
      <c r="E952" s="27"/>
      <c r="G952" s="27"/>
      <c r="I952" s="27"/>
      <c r="K952" s="27"/>
      <c r="M952" s="27"/>
      <c r="O952" s="27"/>
      <c r="R952" s="27"/>
    </row>
    <row r="953" spans="5:18" ht="21" customHeight="1">
      <c r="E953" s="27"/>
      <c r="G953" s="27"/>
      <c r="I953" s="27"/>
      <c r="K953" s="27"/>
      <c r="M953" s="27"/>
      <c r="O953" s="27"/>
      <c r="R953" s="27"/>
    </row>
    <row r="954" spans="5:18" ht="21" customHeight="1">
      <c r="E954" s="27"/>
      <c r="G954" s="27"/>
      <c r="I954" s="27"/>
      <c r="K954" s="27"/>
      <c r="M954" s="27"/>
      <c r="O954" s="27"/>
      <c r="R954" s="27"/>
    </row>
    <row r="955" spans="5:18" ht="21" customHeight="1">
      <c r="E955" s="27"/>
      <c r="G955" s="27"/>
      <c r="I955" s="27"/>
      <c r="K955" s="27"/>
      <c r="M955" s="27"/>
      <c r="O955" s="27"/>
      <c r="R955" s="27"/>
    </row>
    <row r="956" spans="5:18" ht="21" customHeight="1">
      <c r="E956" s="27"/>
      <c r="G956" s="27"/>
      <c r="I956" s="27"/>
      <c r="K956" s="27"/>
      <c r="M956" s="27"/>
      <c r="O956" s="27"/>
      <c r="R956" s="27"/>
    </row>
    <row r="957" spans="5:18" ht="21" customHeight="1">
      <c r="E957" s="27"/>
      <c r="G957" s="27"/>
      <c r="I957" s="27"/>
      <c r="K957" s="27"/>
      <c r="M957" s="27"/>
      <c r="O957" s="27"/>
      <c r="R957" s="27"/>
    </row>
    <row r="958" spans="5:18" ht="21" customHeight="1">
      <c r="E958" s="27"/>
      <c r="G958" s="27"/>
      <c r="I958" s="27"/>
      <c r="K958" s="27"/>
      <c r="M958" s="27"/>
      <c r="O958" s="27"/>
      <c r="R958" s="27"/>
    </row>
    <row r="959" spans="5:18" ht="21" customHeight="1">
      <c r="E959" s="27"/>
      <c r="G959" s="27"/>
      <c r="I959" s="27"/>
      <c r="K959" s="27"/>
      <c r="M959" s="27"/>
      <c r="O959" s="27"/>
      <c r="R959" s="27"/>
    </row>
    <row r="960" spans="5:18" ht="21" customHeight="1">
      <c r="E960" s="27"/>
      <c r="G960" s="27"/>
      <c r="I960" s="27"/>
      <c r="K960" s="27"/>
      <c r="M960" s="27"/>
      <c r="O960" s="27"/>
      <c r="R960" s="27"/>
    </row>
    <row r="961" spans="5:18" ht="21" customHeight="1">
      <c r="E961" s="27"/>
      <c r="G961" s="27"/>
      <c r="I961" s="27"/>
      <c r="K961" s="27"/>
      <c r="M961" s="27"/>
      <c r="O961" s="27"/>
      <c r="R961" s="27"/>
    </row>
    <row r="962" spans="5:18" ht="21" customHeight="1">
      <c r="E962" s="27"/>
      <c r="G962" s="27"/>
      <c r="I962" s="27"/>
      <c r="K962" s="27"/>
      <c r="M962" s="27"/>
      <c r="O962" s="27"/>
      <c r="R962" s="27"/>
    </row>
    <row r="963" spans="5:18" ht="21" customHeight="1">
      <c r="E963" s="27"/>
      <c r="G963" s="27"/>
      <c r="I963" s="27"/>
      <c r="K963" s="27"/>
      <c r="M963" s="27"/>
      <c r="O963" s="27"/>
      <c r="R963" s="27"/>
    </row>
    <row r="964" spans="5:18" ht="21" customHeight="1">
      <c r="E964" s="27"/>
      <c r="G964" s="27"/>
      <c r="I964" s="27"/>
      <c r="K964" s="27"/>
      <c r="M964" s="27"/>
      <c r="O964" s="27"/>
      <c r="R964" s="27"/>
    </row>
    <row r="965" spans="5:18" ht="21" customHeight="1">
      <c r="E965" s="27"/>
      <c r="G965" s="27"/>
      <c r="I965" s="27"/>
      <c r="K965" s="27"/>
      <c r="M965" s="27"/>
      <c r="O965" s="27"/>
      <c r="R965" s="27"/>
    </row>
    <row r="966" spans="5:18" ht="21" customHeight="1">
      <c r="E966" s="27"/>
      <c r="G966" s="27"/>
      <c r="I966" s="27"/>
      <c r="K966" s="27"/>
      <c r="M966" s="27"/>
      <c r="O966" s="27"/>
      <c r="R966" s="27"/>
    </row>
    <row r="967" spans="5:18" ht="21" customHeight="1">
      <c r="E967" s="27"/>
      <c r="G967" s="27"/>
      <c r="I967" s="27"/>
      <c r="K967" s="27"/>
      <c r="M967" s="27"/>
      <c r="O967" s="27"/>
      <c r="R967" s="27"/>
    </row>
    <row r="968" spans="5:18" ht="21" customHeight="1">
      <c r="E968" s="27"/>
      <c r="G968" s="27"/>
      <c r="I968" s="27"/>
      <c r="K968" s="27"/>
      <c r="M968" s="27"/>
      <c r="O968" s="27"/>
      <c r="R968" s="27"/>
    </row>
    <row r="969" spans="5:18" ht="21" customHeight="1">
      <c r="E969" s="27"/>
      <c r="G969" s="27"/>
      <c r="I969" s="27"/>
      <c r="K969" s="27"/>
      <c r="M969" s="27"/>
      <c r="O969" s="27"/>
      <c r="R969" s="27"/>
    </row>
    <row r="970" spans="5:18" ht="21" customHeight="1">
      <c r="E970" s="27"/>
      <c r="G970" s="27"/>
      <c r="I970" s="27"/>
      <c r="K970" s="27"/>
      <c r="M970" s="27"/>
      <c r="O970" s="27"/>
      <c r="R970" s="27"/>
    </row>
    <row r="971" spans="5:18" ht="21" customHeight="1">
      <c r="E971" s="27"/>
      <c r="G971" s="27"/>
      <c r="I971" s="27"/>
      <c r="K971" s="27"/>
      <c r="M971" s="27"/>
      <c r="O971" s="27"/>
      <c r="R971" s="27"/>
    </row>
    <row r="972" spans="5:18" ht="21" customHeight="1">
      <c r="E972" s="27"/>
      <c r="G972" s="27"/>
      <c r="I972" s="27"/>
      <c r="K972" s="27"/>
      <c r="M972" s="27"/>
      <c r="O972" s="27"/>
      <c r="R972" s="27"/>
    </row>
    <row r="973" spans="5:18" ht="21" customHeight="1">
      <c r="E973" s="27"/>
      <c r="G973" s="27"/>
      <c r="I973" s="27"/>
      <c r="K973" s="27"/>
      <c r="M973" s="27"/>
      <c r="O973" s="27"/>
      <c r="R973" s="27"/>
    </row>
    <row r="974" spans="5:18" ht="21" customHeight="1">
      <c r="E974" s="27"/>
      <c r="G974" s="27"/>
      <c r="I974" s="27"/>
      <c r="K974" s="27"/>
      <c r="M974" s="27"/>
      <c r="O974" s="27"/>
      <c r="R974" s="27"/>
    </row>
    <row r="975" spans="5:18" ht="21" customHeight="1">
      <c r="E975" s="27"/>
      <c r="G975" s="27"/>
      <c r="I975" s="27"/>
      <c r="K975" s="27"/>
      <c r="M975" s="27"/>
      <c r="O975" s="27"/>
      <c r="R975" s="27"/>
    </row>
    <row r="976" spans="5:18" ht="21" customHeight="1">
      <c r="E976" s="27"/>
      <c r="G976" s="27"/>
      <c r="I976" s="27"/>
      <c r="K976" s="27"/>
      <c r="M976" s="27"/>
      <c r="O976" s="27"/>
      <c r="R976" s="27"/>
    </row>
    <row r="977" spans="5:18" ht="21" customHeight="1">
      <c r="E977" s="27"/>
      <c r="G977" s="27"/>
      <c r="I977" s="27"/>
      <c r="K977" s="27"/>
      <c r="M977" s="27"/>
      <c r="O977" s="27"/>
      <c r="R977" s="27"/>
    </row>
    <row r="978" spans="5:18" ht="21" customHeight="1">
      <c r="E978" s="27"/>
      <c r="G978" s="27"/>
      <c r="I978" s="27"/>
      <c r="K978" s="27"/>
      <c r="M978" s="27"/>
      <c r="O978" s="27"/>
      <c r="R978" s="27"/>
    </row>
    <row r="979" spans="5:18" ht="21" customHeight="1">
      <c r="E979" s="27"/>
      <c r="G979" s="27"/>
      <c r="I979" s="27"/>
      <c r="K979" s="27"/>
      <c r="M979" s="27"/>
      <c r="O979" s="27"/>
      <c r="R979" s="27"/>
    </row>
    <row r="980" spans="5:18" ht="21" customHeight="1">
      <c r="E980" s="27"/>
      <c r="G980" s="27"/>
      <c r="I980" s="27"/>
      <c r="K980" s="27"/>
      <c r="M980" s="27"/>
      <c r="O980" s="27"/>
      <c r="R980" s="27"/>
    </row>
    <row r="981" spans="5:18" ht="21" customHeight="1">
      <c r="E981" s="27"/>
      <c r="G981" s="27"/>
      <c r="I981" s="27"/>
      <c r="K981" s="27"/>
      <c r="M981" s="27"/>
      <c r="O981" s="27"/>
      <c r="R981" s="27"/>
    </row>
    <row r="982" spans="5:18" ht="21" customHeight="1">
      <c r="E982" s="27"/>
      <c r="G982" s="27"/>
      <c r="I982" s="27"/>
      <c r="K982" s="27"/>
      <c r="M982" s="27"/>
      <c r="O982" s="27"/>
      <c r="R982" s="27"/>
    </row>
    <row r="983" spans="5:18" ht="21" customHeight="1">
      <c r="E983" s="27"/>
      <c r="G983" s="27"/>
      <c r="I983" s="27"/>
      <c r="K983" s="27"/>
      <c r="M983" s="27"/>
      <c r="O983" s="27"/>
      <c r="R983" s="27"/>
    </row>
    <row r="984" spans="5:18" ht="21" customHeight="1">
      <c r="E984" s="27"/>
      <c r="G984" s="27"/>
      <c r="I984" s="27"/>
      <c r="K984" s="27"/>
      <c r="M984" s="27"/>
      <c r="O984" s="27"/>
      <c r="R984" s="27"/>
    </row>
    <row r="985" spans="5:18" ht="21" customHeight="1">
      <c r="E985" s="27"/>
      <c r="G985" s="27"/>
      <c r="I985" s="27"/>
      <c r="K985" s="27"/>
      <c r="M985" s="27"/>
      <c r="O985" s="27"/>
      <c r="R985" s="27"/>
    </row>
    <row r="986" spans="5:18" ht="21" customHeight="1">
      <c r="E986" s="27"/>
      <c r="G986" s="27"/>
      <c r="I986" s="27"/>
      <c r="K986" s="27"/>
      <c r="M986" s="27"/>
      <c r="O986" s="27"/>
      <c r="R986" s="27"/>
    </row>
    <row r="987" spans="5:18" ht="21" customHeight="1">
      <c r="E987" s="27"/>
      <c r="G987" s="27"/>
      <c r="I987" s="27"/>
      <c r="K987" s="27"/>
      <c r="M987" s="27"/>
      <c r="O987" s="27"/>
      <c r="R987" s="27"/>
    </row>
    <row r="988" spans="5:18" ht="21" customHeight="1">
      <c r="E988" s="27"/>
      <c r="G988" s="27"/>
      <c r="I988" s="27"/>
      <c r="K988" s="27"/>
      <c r="M988" s="27"/>
      <c r="O988" s="27"/>
      <c r="R988" s="27"/>
    </row>
    <row r="989" spans="5:18" ht="21" customHeight="1">
      <c r="E989" s="27"/>
      <c r="G989" s="27"/>
      <c r="I989" s="27"/>
      <c r="K989" s="27"/>
      <c r="M989" s="27"/>
      <c r="O989" s="27"/>
      <c r="R989" s="27"/>
    </row>
    <row r="990" spans="5:18" ht="21" customHeight="1">
      <c r="E990" s="27"/>
      <c r="G990" s="27"/>
      <c r="I990" s="27"/>
      <c r="K990" s="27"/>
      <c r="M990" s="27"/>
      <c r="O990" s="27"/>
      <c r="R990" s="27"/>
    </row>
    <row r="991" spans="5:18" ht="21" customHeight="1">
      <c r="E991" s="27"/>
      <c r="G991" s="27"/>
      <c r="I991" s="27"/>
      <c r="K991" s="27"/>
      <c r="M991" s="27"/>
      <c r="O991" s="27"/>
      <c r="R991" s="27"/>
    </row>
    <row r="992" spans="5:18" ht="21" customHeight="1">
      <c r="E992" s="27"/>
      <c r="G992" s="27"/>
      <c r="I992" s="27"/>
      <c r="K992" s="27"/>
      <c r="M992" s="27"/>
      <c r="O992" s="27"/>
      <c r="R992" s="27"/>
    </row>
    <row r="993" spans="5:18" ht="21" customHeight="1">
      <c r="E993" s="27"/>
      <c r="G993" s="27"/>
      <c r="I993" s="27"/>
      <c r="K993" s="27"/>
      <c r="M993" s="27"/>
      <c r="O993" s="27"/>
      <c r="R993" s="27"/>
    </row>
    <row r="994" spans="5:18" ht="21" customHeight="1">
      <c r="E994" s="27"/>
      <c r="G994" s="27"/>
      <c r="I994" s="27"/>
      <c r="K994" s="27"/>
      <c r="M994" s="27"/>
      <c r="O994" s="27"/>
      <c r="R994" s="27"/>
    </row>
    <row r="995" spans="5:18" ht="21" customHeight="1">
      <c r="E995" s="27"/>
      <c r="G995" s="27"/>
      <c r="I995" s="27"/>
      <c r="K995" s="27"/>
      <c r="M995" s="27"/>
      <c r="O995" s="27"/>
      <c r="R995" s="27"/>
    </row>
    <row r="996" spans="5:18" ht="21" customHeight="1">
      <c r="E996" s="27"/>
      <c r="G996" s="27"/>
      <c r="I996" s="27"/>
      <c r="K996" s="27"/>
      <c r="M996" s="27"/>
      <c r="O996" s="27"/>
      <c r="R996" s="27"/>
    </row>
    <row r="997" spans="5:18" ht="21" customHeight="1">
      <c r="E997" s="27"/>
      <c r="G997" s="27"/>
      <c r="I997" s="27"/>
      <c r="K997" s="27"/>
      <c r="M997" s="27"/>
      <c r="O997" s="27"/>
      <c r="R997" s="27"/>
    </row>
    <row r="998" spans="5:18" ht="21" customHeight="1">
      <c r="E998" s="27"/>
      <c r="G998" s="27"/>
      <c r="I998" s="27"/>
      <c r="K998" s="27"/>
      <c r="M998" s="27"/>
      <c r="O998" s="27"/>
      <c r="R998" s="27"/>
    </row>
    <row r="999" spans="5:18" ht="21" customHeight="1">
      <c r="E999" s="27"/>
      <c r="G999" s="27"/>
      <c r="I999" s="27"/>
      <c r="K999" s="27"/>
      <c r="M999" s="27"/>
      <c r="O999" s="27"/>
      <c r="R999" s="27"/>
    </row>
    <row r="1000" spans="5:18" ht="21" customHeight="1">
      <c r="E1000" s="27"/>
      <c r="G1000" s="27"/>
      <c r="I1000" s="27"/>
      <c r="K1000" s="27"/>
      <c r="M1000" s="27"/>
      <c r="O1000" s="27"/>
      <c r="R1000" s="27"/>
    </row>
    <row r="1001" spans="5:18" ht="21" customHeight="1">
      <c r="E1001" s="27"/>
      <c r="G1001" s="27"/>
      <c r="I1001" s="27"/>
      <c r="K1001" s="27"/>
      <c r="M1001" s="27"/>
      <c r="O1001" s="27"/>
      <c r="R1001" s="27"/>
    </row>
    <row r="1002" spans="5:18" ht="21" customHeight="1">
      <c r="E1002" s="27"/>
      <c r="G1002" s="27"/>
      <c r="I1002" s="27"/>
      <c r="K1002" s="27"/>
      <c r="M1002" s="27"/>
      <c r="O1002" s="27"/>
      <c r="R1002" s="27"/>
    </row>
    <row r="1003" spans="5:18" ht="21" customHeight="1">
      <c r="E1003" s="27"/>
      <c r="G1003" s="27"/>
      <c r="I1003" s="27"/>
      <c r="K1003" s="27"/>
      <c r="M1003" s="27"/>
      <c r="O1003" s="27"/>
      <c r="R1003" s="27"/>
    </row>
    <row r="1004" spans="5:18" ht="21" customHeight="1">
      <c r="E1004" s="27"/>
      <c r="G1004" s="27"/>
      <c r="I1004" s="27"/>
      <c r="K1004" s="27"/>
      <c r="M1004" s="27"/>
      <c r="O1004" s="27"/>
      <c r="R1004" s="27"/>
    </row>
    <row r="1005" spans="5:18" ht="21" customHeight="1">
      <c r="E1005" s="27"/>
      <c r="G1005" s="27"/>
      <c r="I1005" s="27"/>
      <c r="K1005" s="27"/>
      <c r="M1005" s="27"/>
      <c r="O1005" s="27"/>
      <c r="R1005" s="27"/>
    </row>
    <row r="1006" spans="5:18" ht="21" customHeight="1">
      <c r="E1006" s="27"/>
      <c r="G1006" s="27"/>
      <c r="I1006" s="27"/>
      <c r="K1006" s="27"/>
      <c r="M1006" s="27"/>
      <c r="O1006" s="27"/>
      <c r="R1006" s="27"/>
    </row>
    <row r="1007" spans="5:18" ht="21" customHeight="1">
      <c r="E1007" s="27"/>
      <c r="G1007" s="27"/>
      <c r="I1007" s="27"/>
      <c r="K1007" s="27"/>
      <c r="M1007" s="27"/>
      <c r="O1007" s="27"/>
      <c r="R1007" s="27"/>
    </row>
    <row r="1008" spans="5:18" ht="21" customHeight="1">
      <c r="E1008" s="27"/>
      <c r="G1008" s="27"/>
      <c r="I1008" s="27"/>
      <c r="K1008" s="27"/>
      <c r="M1008" s="27"/>
      <c r="O1008" s="27"/>
      <c r="R1008" s="27"/>
    </row>
    <row r="1009" spans="5:18" ht="21" customHeight="1">
      <c r="E1009" s="27"/>
      <c r="G1009" s="27"/>
      <c r="I1009" s="27"/>
      <c r="K1009" s="27"/>
      <c r="M1009" s="27"/>
      <c r="O1009" s="27"/>
      <c r="R1009" s="27"/>
    </row>
    <row r="1010" spans="5:18" ht="21" customHeight="1">
      <c r="E1010" s="27"/>
      <c r="G1010" s="27"/>
      <c r="I1010" s="27"/>
      <c r="K1010" s="27"/>
      <c r="M1010" s="27"/>
      <c r="O1010" s="27"/>
      <c r="R1010" s="27"/>
    </row>
    <row r="1011" spans="5:18" ht="21" customHeight="1">
      <c r="E1011" s="27"/>
      <c r="G1011" s="27"/>
      <c r="I1011" s="27"/>
      <c r="K1011" s="27"/>
      <c r="M1011" s="27"/>
      <c r="O1011" s="27"/>
      <c r="R1011" s="27"/>
    </row>
    <row r="1012" spans="5:18" ht="21" customHeight="1">
      <c r="E1012" s="27"/>
      <c r="G1012" s="27"/>
      <c r="I1012" s="27"/>
      <c r="K1012" s="27"/>
      <c r="M1012" s="27"/>
      <c r="O1012" s="27"/>
      <c r="R1012" s="27"/>
    </row>
    <row r="1013" spans="5:18" ht="21" customHeight="1">
      <c r="E1013" s="27"/>
      <c r="G1013" s="27"/>
      <c r="I1013" s="27"/>
      <c r="K1013" s="27"/>
      <c r="M1013" s="27"/>
      <c r="O1013" s="27"/>
      <c r="R1013" s="27"/>
    </row>
    <row r="1014" spans="5:18" ht="21" customHeight="1">
      <c r="E1014" s="27"/>
      <c r="G1014" s="27"/>
      <c r="I1014" s="27"/>
      <c r="K1014" s="27"/>
      <c r="M1014" s="27"/>
      <c r="O1014" s="27"/>
      <c r="R1014" s="27"/>
    </row>
    <row r="1015" spans="5:18" ht="21" customHeight="1">
      <c r="E1015" s="27"/>
      <c r="G1015" s="27"/>
      <c r="I1015" s="27"/>
      <c r="K1015" s="27"/>
      <c r="M1015" s="27"/>
      <c r="O1015" s="27"/>
      <c r="R1015" s="27"/>
    </row>
    <row r="1016" spans="5:18" ht="21" customHeight="1">
      <c r="E1016" s="27"/>
      <c r="G1016" s="27"/>
      <c r="I1016" s="27"/>
      <c r="K1016" s="27"/>
      <c r="M1016" s="27"/>
      <c r="O1016" s="27"/>
      <c r="R1016" s="27"/>
    </row>
    <row r="1017" spans="5:18" ht="21" customHeight="1">
      <c r="E1017" s="27"/>
      <c r="G1017" s="27"/>
      <c r="I1017" s="27"/>
      <c r="K1017" s="27"/>
      <c r="M1017" s="27"/>
      <c r="O1017" s="27"/>
      <c r="R1017" s="27"/>
    </row>
    <row r="1018" spans="5:18" ht="21" customHeight="1">
      <c r="E1018" s="27"/>
      <c r="G1018" s="27"/>
      <c r="I1018" s="27"/>
      <c r="K1018" s="27"/>
      <c r="M1018" s="27"/>
      <c r="O1018" s="27"/>
      <c r="R1018" s="27"/>
    </row>
    <row r="1019" spans="5:18" ht="21" customHeight="1">
      <c r="E1019" s="27"/>
      <c r="G1019" s="27"/>
      <c r="I1019" s="27"/>
      <c r="K1019" s="27"/>
      <c r="M1019" s="27"/>
      <c r="O1019" s="27"/>
      <c r="R1019" s="27"/>
    </row>
    <row r="1020" spans="5:18" ht="21" customHeight="1">
      <c r="E1020" s="27"/>
      <c r="G1020" s="27"/>
      <c r="I1020" s="27"/>
      <c r="K1020" s="27"/>
      <c r="M1020" s="27"/>
      <c r="O1020" s="27"/>
      <c r="R1020" s="27"/>
    </row>
    <row r="1021" spans="5:18" ht="21" customHeight="1">
      <c r="E1021" s="27"/>
      <c r="G1021" s="27"/>
      <c r="I1021" s="27"/>
      <c r="K1021" s="27"/>
      <c r="M1021" s="27"/>
      <c r="O1021" s="27"/>
      <c r="R1021" s="27"/>
    </row>
    <row r="1022" spans="5:18" ht="21" customHeight="1">
      <c r="E1022" s="27"/>
      <c r="G1022" s="27"/>
      <c r="I1022" s="27"/>
      <c r="K1022" s="27"/>
      <c r="M1022" s="27"/>
      <c r="O1022" s="27"/>
      <c r="R1022" s="27"/>
    </row>
    <row r="1023" spans="5:18" ht="21" customHeight="1">
      <c r="E1023" s="27"/>
      <c r="G1023" s="27"/>
      <c r="I1023" s="27"/>
      <c r="K1023" s="27"/>
      <c r="M1023" s="27"/>
      <c r="O1023" s="27"/>
      <c r="R1023" s="27"/>
    </row>
    <row r="1024" spans="5:18" ht="21" customHeight="1">
      <c r="E1024" s="27"/>
      <c r="G1024" s="27"/>
      <c r="I1024" s="27"/>
      <c r="K1024" s="27"/>
      <c r="M1024" s="27"/>
      <c r="O1024" s="27"/>
      <c r="R1024" s="27"/>
    </row>
    <row r="1025" spans="5:18" ht="21" customHeight="1">
      <c r="E1025" s="27"/>
      <c r="G1025" s="27"/>
      <c r="I1025" s="27"/>
      <c r="K1025" s="27"/>
      <c r="M1025" s="27"/>
      <c r="O1025" s="27"/>
      <c r="R1025" s="27"/>
    </row>
    <row r="1026" spans="5:18" ht="21" customHeight="1">
      <c r="E1026" s="27"/>
      <c r="G1026" s="27"/>
      <c r="I1026" s="27"/>
      <c r="K1026" s="27"/>
      <c r="M1026" s="27"/>
      <c r="O1026" s="27"/>
      <c r="R1026" s="27"/>
    </row>
    <row r="1027" spans="5:18" ht="21" customHeight="1">
      <c r="E1027" s="27"/>
      <c r="G1027" s="27"/>
      <c r="I1027" s="27"/>
      <c r="K1027" s="27"/>
      <c r="M1027" s="27"/>
      <c r="O1027" s="27"/>
      <c r="R1027" s="27"/>
    </row>
    <row r="1028" spans="5:18" ht="21" customHeight="1">
      <c r="E1028" s="27"/>
      <c r="G1028" s="27"/>
      <c r="I1028" s="27"/>
      <c r="K1028" s="27"/>
      <c r="M1028" s="27"/>
      <c r="O1028" s="27"/>
      <c r="R1028" s="27"/>
    </row>
    <row r="1029" spans="5:18" ht="21" customHeight="1">
      <c r="E1029" s="27"/>
      <c r="G1029" s="27"/>
      <c r="I1029" s="27"/>
      <c r="K1029" s="27"/>
      <c r="M1029" s="27"/>
      <c r="O1029" s="27"/>
      <c r="R1029" s="27"/>
    </row>
    <row r="1030" spans="5:18" ht="21" customHeight="1">
      <c r="E1030" s="27"/>
      <c r="G1030" s="27"/>
      <c r="I1030" s="27"/>
      <c r="K1030" s="27"/>
      <c r="M1030" s="27"/>
      <c r="O1030" s="27"/>
      <c r="R1030" s="27"/>
    </row>
    <row r="1031" spans="5:18" ht="21" customHeight="1">
      <c r="E1031" s="27"/>
      <c r="G1031" s="27"/>
      <c r="I1031" s="27"/>
      <c r="K1031" s="27"/>
      <c r="M1031" s="27"/>
      <c r="O1031" s="27"/>
      <c r="R1031" s="27"/>
    </row>
    <row r="1032" spans="5:18" ht="21" customHeight="1">
      <c r="E1032" s="27"/>
      <c r="G1032" s="27"/>
      <c r="I1032" s="27"/>
      <c r="K1032" s="27"/>
      <c r="M1032" s="27"/>
      <c r="O1032" s="27"/>
      <c r="R1032" s="27"/>
    </row>
    <row r="1033" spans="5:18" ht="21" customHeight="1">
      <c r="E1033" s="27"/>
      <c r="G1033" s="27"/>
      <c r="I1033" s="27"/>
      <c r="K1033" s="27"/>
      <c r="M1033" s="27"/>
      <c r="O1033" s="27"/>
      <c r="R1033" s="27"/>
    </row>
    <row r="1034" spans="5:18" ht="21" customHeight="1">
      <c r="E1034" s="27"/>
      <c r="G1034" s="27"/>
      <c r="I1034" s="27"/>
      <c r="K1034" s="27"/>
      <c r="M1034" s="27"/>
      <c r="O1034" s="27"/>
      <c r="R1034" s="27"/>
    </row>
    <row r="1035" spans="5:18" ht="21" customHeight="1">
      <c r="E1035" s="27"/>
      <c r="G1035" s="27"/>
      <c r="I1035" s="27"/>
      <c r="K1035" s="27"/>
      <c r="M1035" s="27"/>
      <c r="O1035" s="27"/>
      <c r="R1035" s="27"/>
    </row>
    <row r="1036" spans="5:18" ht="21" customHeight="1">
      <c r="E1036" s="27"/>
      <c r="G1036" s="27"/>
      <c r="I1036" s="27"/>
      <c r="K1036" s="27"/>
      <c r="M1036" s="27"/>
      <c r="O1036" s="27"/>
      <c r="R1036" s="27"/>
    </row>
    <row r="1037" spans="5:18" ht="21" customHeight="1">
      <c r="E1037" s="27"/>
      <c r="G1037" s="27"/>
      <c r="I1037" s="27"/>
      <c r="K1037" s="27"/>
      <c r="M1037" s="27"/>
      <c r="O1037" s="27"/>
      <c r="R1037" s="27"/>
    </row>
    <row r="1038" spans="5:18" ht="21" customHeight="1">
      <c r="E1038" s="27"/>
      <c r="G1038" s="27"/>
      <c r="I1038" s="27"/>
      <c r="K1038" s="27"/>
      <c r="M1038" s="27"/>
      <c r="O1038" s="27"/>
      <c r="R1038" s="27"/>
    </row>
    <row r="1039" spans="5:18" ht="21" customHeight="1">
      <c r="E1039" s="27"/>
      <c r="G1039" s="27"/>
      <c r="I1039" s="27"/>
      <c r="K1039" s="27"/>
      <c r="M1039" s="27"/>
      <c r="O1039" s="27"/>
      <c r="R1039" s="27"/>
    </row>
    <row r="1040" spans="5:18" ht="21" customHeight="1">
      <c r="E1040" s="27"/>
      <c r="G1040" s="27"/>
      <c r="I1040" s="27"/>
      <c r="K1040" s="27"/>
      <c r="M1040" s="27"/>
      <c r="O1040" s="27"/>
      <c r="R1040" s="27"/>
    </row>
    <row r="1041" spans="5:18" ht="21" customHeight="1">
      <c r="E1041" s="27"/>
      <c r="G1041" s="27"/>
      <c r="I1041" s="27"/>
      <c r="K1041" s="27"/>
      <c r="M1041" s="27"/>
      <c r="O1041" s="27"/>
      <c r="R1041" s="27"/>
    </row>
    <row r="1042" spans="5:18" ht="21" customHeight="1">
      <c r="E1042" s="27"/>
      <c r="G1042" s="27"/>
      <c r="I1042" s="27"/>
      <c r="K1042" s="27"/>
      <c r="M1042" s="27"/>
      <c r="O1042" s="27"/>
      <c r="R1042" s="27"/>
    </row>
    <row r="1043" spans="5:18" ht="21" customHeight="1">
      <c r="E1043" s="27"/>
      <c r="G1043" s="27"/>
      <c r="I1043" s="27"/>
      <c r="K1043" s="27"/>
      <c r="M1043" s="27"/>
      <c r="O1043" s="27"/>
      <c r="R1043" s="27"/>
    </row>
    <row r="1044" spans="5:18" ht="21" customHeight="1">
      <c r="E1044" s="27"/>
      <c r="G1044" s="27"/>
      <c r="I1044" s="27"/>
      <c r="K1044" s="27"/>
      <c r="M1044" s="27"/>
      <c r="O1044" s="27"/>
      <c r="R1044" s="27"/>
    </row>
    <row r="1045" spans="5:18" ht="21" customHeight="1">
      <c r="E1045" s="27"/>
      <c r="G1045" s="27"/>
      <c r="I1045" s="27"/>
      <c r="K1045" s="27"/>
      <c r="M1045" s="27"/>
      <c r="O1045" s="27"/>
      <c r="R1045" s="27"/>
    </row>
    <row r="1046" spans="5:18" ht="21" customHeight="1">
      <c r="E1046" s="27"/>
      <c r="G1046" s="27"/>
      <c r="I1046" s="27"/>
      <c r="K1046" s="27"/>
      <c r="M1046" s="27"/>
      <c r="O1046" s="27"/>
      <c r="R1046" s="27"/>
    </row>
    <row r="1047" spans="5:18" ht="21" customHeight="1">
      <c r="E1047" s="27"/>
      <c r="G1047" s="27"/>
      <c r="I1047" s="27"/>
      <c r="K1047" s="27"/>
      <c r="M1047" s="27"/>
      <c r="O1047" s="27"/>
      <c r="R1047" s="27"/>
    </row>
    <row r="1048" spans="5:18" ht="21" customHeight="1">
      <c r="E1048" s="27"/>
      <c r="G1048" s="27"/>
      <c r="I1048" s="27"/>
      <c r="K1048" s="27"/>
      <c r="M1048" s="27"/>
      <c r="O1048" s="27"/>
      <c r="R1048" s="27"/>
    </row>
    <row r="1049" spans="5:18" ht="21" customHeight="1">
      <c r="E1049" s="27"/>
      <c r="G1049" s="27"/>
      <c r="I1049" s="27"/>
      <c r="K1049" s="27"/>
      <c r="M1049" s="27"/>
      <c r="O1049" s="27"/>
      <c r="R1049" s="27"/>
    </row>
    <row r="1050" spans="5:18" ht="21" customHeight="1">
      <c r="E1050" s="27"/>
      <c r="G1050" s="27"/>
      <c r="I1050" s="27"/>
      <c r="K1050" s="27"/>
      <c r="M1050" s="27"/>
      <c r="O1050" s="27"/>
      <c r="R1050" s="27"/>
    </row>
    <row r="1051" spans="5:18" ht="21" customHeight="1">
      <c r="E1051" s="27"/>
      <c r="G1051" s="27"/>
      <c r="I1051" s="27"/>
      <c r="K1051" s="27"/>
      <c r="M1051" s="27"/>
      <c r="O1051" s="27"/>
      <c r="R1051" s="27"/>
    </row>
    <row r="1052" spans="5:18" ht="21" customHeight="1">
      <c r="E1052" s="27"/>
      <c r="G1052" s="27"/>
      <c r="I1052" s="27"/>
      <c r="K1052" s="27"/>
      <c r="M1052" s="27"/>
      <c r="O1052" s="27"/>
      <c r="R1052" s="27"/>
    </row>
    <row r="1053" spans="5:18" ht="21" customHeight="1">
      <c r="E1053" s="27"/>
      <c r="G1053" s="27"/>
      <c r="I1053" s="27"/>
      <c r="K1053" s="27"/>
      <c r="M1053" s="27"/>
      <c r="O1053" s="27"/>
      <c r="R1053" s="27"/>
    </row>
    <row r="1054" spans="5:18" ht="21" customHeight="1">
      <c r="E1054" s="27"/>
      <c r="G1054" s="27"/>
      <c r="I1054" s="27"/>
      <c r="K1054" s="27"/>
      <c r="M1054" s="27"/>
      <c r="O1054" s="27"/>
      <c r="R1054" s="27"/>
    </row>
    <row r="1055" spans="5:18" ht="21" customHeight="1">
      <c r="E1055" s="27"/>
      <c r="G1055" s="27"/>
      <c r="I1055" s="27"/>
      <c r="K1055" s="27"/>
      <c r="M1055" s="27"/>
      <c r="O1055" s="27"/>
      <c r="R1055" s="27"/>
    </row>
    <row r="1056" spans="5:18" ht="21" customHeight="1">
      <c r="E1056" s="27"/>
      <c r="G1056" s="27"/>
      <c r="I1056" s="27"/>
      <c r="K1056" s="27"/>
      <c r="M1056" s="27"/>
      <c r="O1056" s="27"/>
      <c r="R1056" s="27"/>
    </row>
    <row r="1057" spans="5:18" ht="21" customHeight="1">
      <c r="E1057" s="27"/>
      <c r="G1057" s="27"/>
      <c r="I1057" s="27"/>
      <c r="K1057" s="27"/>
      <c r="M1057" s="27"/>
      <c r="O1057" s="27"/>
      <c r="R1057" s="27"/>
    </row>
    <row r="1058" spans="5:18" ht="21" customHeight="1">
      <c r="E1058" s="27"/>
      <c r="G1058" s="27"/>
      <c r="I1058" s="27"/>
      <c r="K1058" s="27"/>
      <c r="M1058" s="27"/>
      <c r="O1058" s="27"/>
      <c r="R1058" s="27"/>
    </row>
    <row r="1059" spans="5:18" ht="21" customHeight="1">
      <c r="E1059" s="27"/>
      <c r="G1059" s="27"/>
      <c r="I1059" s="27"/>
      <c r="K1059" s="27"/>
      <c r="M1059" s="27"/>
      <c r="O1059" s="27"/>
      <c r="R1059" s="27"/>
    </row>
    <row r="1060" spans="5:18" ht="21" customHeight="1">
      <c r="E1060" s="27"/>
      <c r="G1060" s="27"/>
      <c r="I1060" s="27"/>
      <c r="K1060" s="27"/>
      <c r="M1060" s="27"/>
      <c r="O1060" s="27"/>
      <c r="R1060" s="27"/>
    </row>
    <row r="1061" spans="5:18" ht="21" customHeight="1">
      <c r="E1061" s="27"/>
      <c r="G1061" s="27"/>
      <c r="I1061" s="27"/>
      <c r="K1061" s="27"/>
      <c r="M1061" s="27"/>
      <c r="O1061" s="27"/>
      <c r="R1061" s="27"/>
    </row>
    <row r="1062" spans="5:18" ht="21" customHeight="1">
      <c r="E1062" s="27"/>
      <c r="G1062" s="27"/>
      <c r="I1062" s="27"/>
      <c r="K1062" s="27"/>
      <c r="M1062" s="27"/>
      <c r="O1062" s="27"/>
      <c r="R1062" s="27"/>
    </row>
    <row r="1063" spans="5:18" ht="21" customHeight="1">
      <c r="E1063" s="27"/>
      <c r="G1063" s="27"/>
      <c r="I1063" s="27"/>
      <c r="K1063" s="27"/>
      <c r="M1063" s="27"/>
      <c r="O1063" s="27"/>
      <c r="R1063" s="27"/>
    </row>
    <row r="1064" spans="5:18" ht="21" customHeight="1">
      <c r="E1064" s="27"/>
      <c r="G1064" s="27"/>
      <c r="I1064" s="27"/>
      <c r="K1064" s="27"/>
      <c r="M1064" s="27"/>
      <c r="O1064" s="27"/>
      <c r="R1064" s="27"/>
    </row>
    <row r="1065" spans="5:18" ht="21" customHeight="1">
      <c r="E1065" s="27"/>
      <c r="G1065" s="27"/>
      <c r="I1065" s="27"/>
      <c r="K1065" s="27"/>
      <c r="M1065" s="27"/>
      <c r="O1065" s="27"/>
      <c r="R1065" s="27"/>
    </row>
    <row r="1066" spans="5:18" ht="21" customHeight="1">
      <c r="E1066" s="27"/>
      <c r="G1066" s="27"/>
      <c r="I1066" s="27"/>
      <c r="K1066" s="27"/>
      <c r="M1066" s="27"/>
      <c r="O1066" s="27"/>
      <c r="R1066" s="27"/>
    </row>
    <row r="1067" spans="5:18" ht="21" customHeight="1">
      <c r="E1067" s="27"/>
      <c r="G1067" s="27"/>
      <c r="I1067" s="27"/>
      <c r="K1067" s="27"/>
      <c r="M1067" s="27"/>
      <c r="O1067" s="27"/>
      <c r="R1067" s="27"/>
    </row>
    <row r="1068" spans="5:18" ht="21" customHeight="1">
      <c r="E1068" s="27"/>
      <c r="G1068" s="27"/>
      <c r="I1068" s="27"/>
      <c r="K1068" s="27"/>
      <c r="M1068" s="27"/>
      <c r="O1068" s="27"/>
      <c r="R1068" s="27"/>
    </row>
    <row r="1069" spans="5:18" ht="21" customHeight="1">
      <c r="E1069" s="27"/>
      <c r="G1069" s="27"/>
      <c r="I1069" s="27"/>
      <c r="K1069" s="27"/>
      <c r="M1069" s="27"/>
      <c r="O1069" s="27"/>
      <c r="R1069" s="27"/>
    </row>
    <row r="1070" spans="5:18" ht="21" customHeight="1">
      <c r="E1070" s="27"/>
      <c r="G1070" s="27"/>
      <c r="I1070" s="27"/>
      <c r="K1070" s="27"/>
      <c r="M1070" s="27"/>
      <c r="O1070" s="27"/>
      <c r="R1070" s="27"/>
    </row>
    <row r="1071" spans="5:18" ht="21" customHeight="1">
      <c r="E1071" s="27"/>
      <c r="G1071" s="27"/>
      <c r="I1071" s="27"/>
      <c r="K1071" s="27"/>
      <c r="M1071" s="27"/>
      <c r="O1071" s="27"/>
      <c r="R1071" s="27"/>
    </row>
    <row r="1072" spans="5:18" ht="21" customHeight="1">
      <c r="E1072" s="27"/>
      <c r="G1072" s="27"/>
      <c r="I1072" s="27"/>
      <c r="K1072" s="27"/>
      <c r="M1072" s="27"/>
      <c r="O1072" s="27"/>
      <c r="R1072" s="27"/>
    </row>
    <row r="1073" spans="5:18" ht="21" customHeight="1">
      <c r="E1073" s="27"/>
      <c r="G1073" s="27"/>
      <c r="I1073" s="27"/>
      <c r="K1073" s="27"/>
      <c r="M1073" s="27"/>
      <c r="O1073" s="27"/>
      <c r="R1073" s="27"/>
    </row>
    <row r="1074" spans="5:18" ht="21" customHeight="1">
      <c r="E1074" s="27"/>
      <c r="G1074" s="27"/>
      <c r="I1074" s="27"/>
      <c r="K1074" s="27"/>
      <c r="M1074" s="27"/>
      <c r="O1074" s="27"/>
      <c r="R1074" s="27"/>
    </row>
    <row r="1075" spans="5:18" ht="21" customHeight="1">
      <c r="E1075" s="27"/>
      <c r="G1075" s="27"/>
      <c r="I1075" s="27"/>
      <c r="K1075" s="27"/>
      <c r="M1075" s="27"/>
      <c r="O1075" s="27"/>
      <c r="R1075" s="27"/>
    </row>
    <row r="1076" spans="5:18" ht="21" customHeight="1">
      <c r="E1076" s="27"/>
      <c r="G1076" s="27"/>
      <c r="I1076" s="27"/>
      <c r="K1076" s="27"/>
      <c r="M1076" s="27"/>
      <c r="O1076" s="27"/>
      <c r="R1076" s="27"/>
    </row>
    <row r="1077" spans="5:18" ht="21" customHeight="1">
      <c r="E1077" s="27"/>
      <c r="G1077" s="27"/>
      <c r="I1077" s="27"/>
      <c r="K1077" s="27"/>
      <c r="M1077" s="27"/>
      <c r="O1077" s="27"/>
      <c r="R1077" s="27"/>
    </row>
    <row r="1078" spans="5:18" ht="21" customHeight="1">
      <c r="E1078" s="27"/>
      <c r="G1078" s="27"/>
      <c r="I1078" s="27"/>
      <c r="K1078" s="27"/>
      <c r="M1078" s="27"/>
      <c r="O1078" s="27"/>
      <c r="R1078" s="27"/>
    </row>
    <row r="1079" spans="5:18" ht="21" customHeight="1">
      <c r="E1079" s="27"/>
      <c r="G1079" s="27"/>
      <c r="I1079" s="27"/>
      <c r="K1079" s="27"/>
      <c r="M1079" s="27"/>
      <c r="O1079" s="27"/>
      <c r="R1079" s="27"/>
    </row>
    <row r="1080" spans="5:18" ht="21" customHeight="1">
      <c r="E1080" s="27"/>
      <c r="G1080" s="27"/>
      <c r="I1080" s="27"/>
      <c r="K1080" s="27"/>
      <c r="M1080" s="27"/>
      <c r="O1080" s="27"/>
      <c r="R1080" s="27"/>
    </row>
    <row r="1081" spans="5:18" ht="21" customHeight="1">
      <c r="E1081" s="27"/>
      <c r="G1081" s="27"/>
      <c r="I1081" s="27"/>
      <c r="K1081" s="27"/>
      <c r="M1081" s="27"/>
      <c r="O1081" s="27"/>
      <c r="R1081" s="27"/>
    </row>
    <row r="1082" spans="5:18" ht="21" customHeight="1">
      <c r="E1082" s="27"/>
      <c r="G1082" s="27"/>
      <c r="I1082" s="27"/>
      <c r="K1082" s="27"/>
      <c r="M1082" s="27"/>
      <c r="O1082" s="27"/>
      <c r="R1082" s="27"/>
    </row>
    <row r="1083" spans="5:18" ht="21" customHeight="1">
      <c r="E1083" s="27"/>
      <c r="G1083" s="27"/>
      <c r="I1083" s="27"/>
      <c r="K1083" s="27"/>
      <c r="M1083" s="27"/>
      <c r="O1083" s="27"/>
      <c r="R1083" s="27"/>
    </row>
    <row r="1084" spans="5:18" ht="21" customHeight="1">
      <c r="E1084" s="27"/>
      <c r="G1084" s="27"/>
      <c r="I1084" s="27"/>
      <c r="K1084" s="27"/>
      <c r="M1084" s="27"/>
      <c r="O1084" s="27"/>
      <c r="R1084" s="27"/>
    </row>
    <row r="1085" spans="5:18" ht="21" customHeight="1">
      <c r="E1085" s="27"/>
      <c r="G1085" s="27"/>
      <c r="I1085" s="27"/>
      <c r="K1085" s="27"/>
      <c r="M1085" s="27"/>
      <c r="O1085" s="27"/>
      <c r="R1085" s="27"/>
    </row>
    <row r="1086" spans="5:18" ht="21" customHeight="1">
      <c r="E1086" s="27"/>
      <c r="G1086" s="27"/>
      <c r="I1086" s="27"/>
      <c r="K1086" s="27"/>
      <c r="M1086" s="27"/>
      <c r="O1086" s="27"/>
      <c r="R1086" s="27"/>
    </row>
    <row r="1087" spans="5:18" ht="21" customHeight="1">
      <c r="E1087" s="27"/>
      <c r="G1087" s="27"/>
      <c r="I1087" s="27"/>
      <c r="K1087" s="27"/>
      <c r="M1087" s="27"/>
      <c r="O1087" s="27"/>
      <c r="R1087" s="27"/>
    </row>
    <row r="1088" spans="5:18" ht="21" customHeight="1">
      <c r="E1088" s="27"/>
      <c r="G1088" s="27"/>
      <c r="I1088" s="27"/>
      <c r="K1088" s="27"/>
      <c r="M1088" s="27"/>
      <c r="O1088" s="27"/>
      <c r="R1088" s="27"/>
    </row>
    <row r="1089" spans="5:18" ht="21" customHeight="1">
      <c r="E1089" s="27"/>
      <c r="G1089" s="27"/>
      <c r="I1089" s="27"/>
      <c r="K1089" s="27"/>
      <c r="M1089" s="27"/>
      <c r="O1089" s="27"/>
      <c r="R1089" s="27"/>
    </row>
    <row r="1090" spans="5:18" ht="21" customHeight="1">
      <c r="E1090" s="27"/>
      <c r="G1090" s="27"/>
      <c r="I1090" s="27"/>
      <c r="K1090" s="27"/>
      <c r="M1090" s="27"/>
      <c r="O1090" s="27"/>
      <c r="R1090" s="27"/>
    </row>
    <row r="1091" spans="5:18" ht="21" customHeight="1">
      <c r="E1091" s="27"/>
      <c r="G1091" s="27"/>
      <c r="I1091" s="27"/>
      <c r="K1091" s="27"/>
      <c r="M1091" s="27"/>
      <c r="O1091" s="27"/>
      <c r="R1091" s="27"/>
    </row>
    <row r="1092" spans="5:18" ht="21" customHeight="1">
      <c r="E1092" s="27"/>
      <c r="G1092" s="27"/>
      <c r="I1092" s="27"/>
      <c r="K1092" s="27"/>
      <c r="M1092" s="27"/>
      <c r="O1092" s="27"/>
      <c r="R1092" s="27"/>
    </row>
    <row r="1093" spans="5:18" ht="21" customHeight="1">
      <c r="E1093" s="27"/>
      <c r="G1093" s="27"/>
      <c r="I1093" s="27"/>
      <c r="K1093" s="27"/>
      <c r="M1093" s="27"/>
      <c r="O1093" s="27"/>
      <c r="R1093" s="27"/>
    </row>
    <row r="1094" spans="5:18" ht="21" customHeight="1">
      <c r="E1094" s="27"/>
      <c r="G1094" s="27"/>
      <c r="I1094" s="27"/>
      <c r="K1094" s="27"/>
      <c r="M1094" s="27"/>
      <c r="O1094" s="27"/>
      <c r="R1094" s="27"/>
    </row>
    <row r="1095" spans="5:18" ht="21" customHeight="1">
      <c r="E1095" s="27"/>
      <c r="G1095" s="27"/>
      <c r="I1095" s="27"/>
      <c r="K1095" s="27"/>
      <c r="M1095" s="27"/>
      <c r="O1095" s="27"/>
      <c r="R1095" s="27"/>
    </row>
    <row r="1096" spans="5:18" ht="21" customHeight="1">
      <c r="E1096" s="27"/>
      <c r="G1096" s="27"/>
      <c r="I1096" s="27"/>
      <c r="K1096" s="27"/>
      <c r="M1096" s="27"/>
      <c r="O1096" s="27"/>
      <c r="R1096" s="27"/>
    </row>
    <row r="1097" spans="5:18" ht="21" customHeight="1">
      <c r="E1097" s="27"/>
      <c r="G1097" s="27"/>
      <c r="I1097" s="27"/>
      <c r="K1097" s="27"/>
      <c r="M1097" s="27"/>
      <c r="O1097" s="27"/>
      <c r="R1097" s="27"/>
    </row>
    <row r="1098" spans="5:18" ht="21" customHeight="1">
      <c r="E1098" s="27"/>
      <c r="G1098" s="27"/>
      <c r="I1098" s="27"/>
      <c r="K1098" s="27"/>
      <c r="M1098" s="27"/>
      <c r="O1098" s="27"/>
      <c r="R1098" s="27"/>
    </row>
    <row r="1099" spans="5:18" ht="21" customHeight="1">
      <c r="E1099" s="27"/>
      <c r="G1099" s="27"/>
      <c r="I1099" s="27"/>
      <c r="K1099" s="27"/>
      <c r="M1099" s="27"/>
      <c r="O1099" s="27"/>
      <c r="R1099" s="27"/>
    </row>
    <row r="1100" spans="5:18" ht="21" customHeight="1">
      <c r="E1100" s="27"/>
      <c r="G1100" s="27"/>
      <c r="I1100" s="27"/>
      <c r="K1100" s="27"/>
      <c r="M1100" s="27"/>
      <c r="O1100" s="27"/>
      <c r="R1100" s="27"/>
    </row>
    <row r="1101" spans="5:18" ht="21" customHeight="1">
      <c r="E1101" s="27"/>
      <c r="G1101" s="27"/>
      <c r="I1101" s="27"/>
      <c r="K1101" s="27"/>
      <c r="M1101" s="27"/>
      <c r="O1101" s="27"/>
      <c r="R1101" s="27"/>
    </row>
    <row r="1102" spans="5:18" ht="21" customHeight="1">
      <c r="E1102" s="27"/>
      <c r="G1102" s="27"/>
      <c r="I1102" s="27"/>
      <c r="K1102" s="27"/>
      <c r="M1102" s="27"/>
      <c r="O1102" s="27"/>
      <c r="R1102" s="27"/>
    </row>
    <row r="1103" spans="5:18" ht="21" customHeight="1">
      <c r="E1103" s="27"/>
      <c r="G1103" s="27"/>
      <c r="I1103" s="27"/>
      <c r="K1103" s="27"/>
      <c r="M1103" s="27"/>
      <c r="O1103" s="27"/>
      <c r="R1103" s="27"/>
    </row>
    <row r="1104" spans="5:18" ht="21" customHeight="1">
      <c r="E1104" s="27"/>
      <c r="G1104" s="27"/>
      <c r="I1104" s="27"/>
      <c r="K1104" s="27"/>
      <c r="M1104" s="27"/>
      <c r="O1104" s="27"/>
      <c r="R1104" s="27"/>
    </row>
    <row r="1105" spans="5:18" ht="21" customHeight="1">
      <c r="E1105" s="27"/>
      <c r="G1105" s="27"/>
      <c r="I1105" s="27"/>
      <c r="K1105" s="27"/>
      <c r="M1105" s="27"/>
      <c r="O1105" s="27"/>
      <c r="R1105" s="27"/>
    </row>
    <row r="1106" spans="5:18" ht="21" customHeight="1">
      <c r="E1106" s="27"/>
      <c r="G1106" s="27"/>
      <c r="I1106" s="27"/>
      <c r="K1106" s="27"/>
      <c r="M1106" s="27"/>
      <c r="O1106" s="27"/>
      <c r="R1106" s="27"/>
    </row>
    <row r="1107" spans="5:18" ht="21" customHeight="1">
      <c r="E1107" s="27"/>
      <c r="G1107" s="27"/>
      <c r="I1107" s="27"/>
      <c r="K1107" s="27"/>
      <c r="M1107" s="27"/>
      <c r="O1107" s="27"/>
      <c r="R1107" s="27"/>
    </row>
    <row r="1108" spans="5:18" ht="21" customHeight="1">
      <c r="E1108" s="27"/>
      <c r="G1108" s="27"/>
      <c r="I1108" s="27"/>
      <c r="K1108" s="27"/>
      <c r="M1108" s="27"/>
      <c r="O1108" s="27"/>
      <c r="R1108" s="27"/>
    </row>
    <row r="1109" spans="5:18" ht="21" customHeight="1">
      <c r="E1109" s="27"/>
      <c r="G1109" s="27"/>
      <c r="I1109" s="27"/>
      <c r="K1109" s="27"/>
      <c r="M1109" s="27"/>
      <c r="O1109" s="27"/>
      <c r="R1109" s="27"/>
    </row>
    <row r="1110" spans="5:18" ht="21" customHeight="1">
      <c r="E1110" s="27"/>
      <c r="G1110" s="27"/>
      <c r="I1110" s="27"/>
      <c r="K1110" s="27"/>
      <c r="M1110" s="27"/>
      <c r="O1110" s="27"/>
      <c r="R1110" s="27"/>
    </row>
    <row r="1111" spans="5:18" ht="21" customHeight="1">
      <c r="E1111" s="27"/>
      <c r="G1111" s="27"/>
      <c r="I1111" s="27"/>
      <c r="K1111" s="27"/>
      <c r="M1111" s="27"/>
      <c r="O1111" s="27"/>
      <c r="R1111" s="27"/>
    </row>
    <row r="1112" spans="5:18" ht="21" customHeight="1">
      <c r="E1112" s="27"/>
      <c r="G1112" s="27"/>
      <c r="I1112" s="27"/>
      <c r="K1112" s="27"/>
      <c r="M1112" s="27"/>
      <c r="O1112" s="27"/>
      <c r="R1112" s="27"/>
    </row>
    <row r="1113" spans="5:18" ht="21" customHeight="1">
      <c r="E1113" s="27"/>
      <c r="G1113" s="27"/>
      <c r="I1113" s="27"/>
      <c r="K1113" s="27"/>
      <c r="M1113" s="27"/>
      <c r="O1113" s="27"/>
      <c r="R1113" s="27"/>
    </row>
    <row r="1114" spans="5:18" ht="21" customHeight="1">
      <c r="E1114" s="27"/>
      <c r="G1114" s="27"/>
      <c r="I1114" s="27"/>
      <c r="K1114" s="27"/>
      <c r="M1114" s="27"/>
      <c r="O1114" s="27"/>
      <c r="R1114" s="27"/>
    </row>
    <row r="1115" spans="5:18" ht="21" customHeight="1">
      <c r="E1115" s="27"/>
      <c r="G1115" s="27"/>
      <c r="I1115" s="27"/>
      <c r="K1115" s="27"/>
      <c r="M1115" s="27"/>
      <c r="O1115" s="27"/>
      <c r="R1115" s="27"/>
    </row>
    <row r="1116" spans="5:18" ht="21" customHeight="1">
      <c r="E1116" s="27"/>
      <c r="G1116" s="27"/>
      <c r="I1116" s="27"/>
      <c r="K1116" s="27"/>
      <c r="M1116" s="27"/>
      <c r="O1116" s="27"/>
      <c r="R1116" s="27"/>
    </row>
    <row r="1117" spans="5:18" ht="21" customHeight="1">
      <c r="E1117" s="27"/>
      <c r="G1117" s="27"/>
      <c r="I1117" s="27"/>
      <c r="K1117" s="27"/>
      <c r="M1117" s="27"/>
      <c r="O1117" s="27"/>
      <c r="R1117" s="27"/>
    </row>
    <row r="1118" spans="5:18" ht="21" customHeight="1">
      <c r="E1118" s="27"/>
      <c r="G1118" s="27"/>
      <c r="I1118" s="27"/>
      <c r="K1118" s="27"/>
      <c r="M1118" s="27"/>
      <c r="O1118" s="27"/>
      <c r="R1118" s="27"/>
    </row>
    <row r="1119" spans="5:18" ht="21" customHeight="1">
      <c r="E1119" s="27"/>
      <c r="G1119" s="27"/>
      <c r="I1119" s="27"/>
      <c r="K1119" s="27"/>
      <c r="M1119" s="27"/>
      <c r="O1119" s="27"/>
      <c r="R1119" s="27"/>
    </row>
    <row r="1120" spans="5:18" ht="21" customHeight="1">
      <c r="E1120" s="27"/>
      <c r="G1120" s="27"/>
      <c r="I1120" s="27"/>
      <c r="K1120" s="27"/>
      <c r="M1120" s="27"/>
      <c r="O1120" s="27"/>
      <c r="R1120" s="27"/>
    </row>
    <row r="1121" spans="5:18" ht="21" customHeight="1">
      <c r="E1121" s="27"/>
      <c r="G1121" s="27"/>
      <c r="I1121" s="27"/>
      <c r="K1121" s="27"/>
      <c r="M1121" s="27"/>
      <c r="O1121" s="27"/>
      <c r="R1121" s="27"/>
    </row>
    <row r="1122" spans="5:18" ht="21" customHeight="1">
      <c r="E1122" s="27"/>
      <c r="G1122" s="27"/>
      <c r="I1122" s="27"/>
      <c r="K1122" s="27"/>
      <c r="M1122" s="27"/>
      <c r="O1122" s="27"/>
      <c r="R1122" s="27"/>
    </row>
    <row r="1123" spans="5:18" ht="21" customHeight="1">
      <c r="E1123" s="27"/>
      <c r="G1123" s="27"/>
      <c r="I1123" s="27"/>
      <c r="K1123" s="27"/>
      <c r="M1123" s="27"/>
      <c r="O1123" s="27"/>
      <c r="R1123" s="27"/>
    </row>
    <row r="1124" spans="5:18" ht="21" customHeight="1">
      <c r="E1124" s="27"/>
      <c r="G1124" s="27"/>
      <c r="I1124" s="27"/>
      <c r="K1124" s="27"/>
      <c r="M1124" s="27"/>
      <c r="O1124" s="27"/>
      <c r="R1124" s="27"/>
    </row>
    <row r="1125" spans="5:18" ht="21" customHeight="1">
      <c r="E1125" s="27"/>
      <c r="G1125" s="27"/>
      <c r="I1125" s="27"/>
      <c r="K1125" s="27"/>
      <c r="M1125" s="27"/>
      <c r="O1125" s="27"/>
      <c r="R1125" s="27"/>
    </row>
    <row r="1126" spans="5:18" ht="21" customHeight="1">
      <c r="E1126" s="27"/>
      <c r="G1126" s="27"/>
      <c r="I1126" s="27"/>
      <c r="K1126" s="27"/>
      <c r="M1126" s="27"/>
      <c r="O1126" s="27"/>
      <c r="R1126" s="27"/>
    </row>
    <row r="1127" spans="5:18" ht="21" customHeight="1">
      <c r="E1127" s="27"/>
      <c r="G1127" s="27"/>
      <c r="I1127" s="27"/>
      <c r="K1127" s="27"/>
      <c r="M1127" s="27"/>
      <c r="O1127" s="27"/>
      <c r="R1127" s="27"/>
    </row>
    <row r="1128" spans="5:18" ht="21" customHeight="1">
      <c r="E1128" s="27"/>
      <c r="G1128" s="27"/>
      <c r="I1128" s="27"/>
      <c r="K1128" s="27"/>
      <c r="M1128" s="27"/>
      <c r="O1128" s="27"/>
      <c r="R1128" s="27"/>
    </row>
    <row r="1129" spans="5:18" ht="21" customHeight="1">
      <c r="E1129" s="27"/>
      <c r="G1129" s="27"/>
      <c r="I1129" s="27"/>
      <c r="K1129" s="27"/>
      <c r="M1129" s="27"/>
      <c r="O1129" s="27"/>
      <c r="R1129" s="27"/>
    </row>
    <row r="1130" spans="5:18" ht="21" customHeight="1">
      <c r="E1130" s="27"/>
      <c r="G1130" s="27"/>
      <c r="I1130" s="27"/>
      <c r="K1130" s="27"/>
      <c r="M1130" s="27"/>
      <c r="O1130" s="27"/>
      <c r="R1130" s="27"/>
    </row>
    <row r="1131" spans="5:18" ht="21" customHeight="1">
      <c r="E1131" s="27"/>
      <c r="G1131" s="27"/>
      <c r="I1131" s="27"/>
      <c r="K1131" s="27"/>
      <c r="M1131" s="27"/>
      <c r="O1131" s="27"/>
      <c r="R1131" s="27"/>
    </row>
    <row r="1132" spans="5:18" ht="21" customHeight="1">
      <c r="E1132" s="27"/>
      <c r="G1132" s="27"/>
      <c r="I1132" s="27"/>
      <c r="K1132" s="27"/>
      <c r="M1132" s="27"/>
      <c r="O1132" s="27"/>
      <c r="R1132" s="27"/>
    </row>
    <row r="1133" spans="5:18" ht="21" customHeight="1">
      <c r="E1133" s="27"/>
      <c r="G1133" s="27"/>
      <c r="I1133" s="27"/>
      <c r="K1133" s="27"/>
      <c r="M1133" s="27"/>
      <c r="O1133" s="27"/>
      <c r="R1133" s="27"/>
    </row>
    <row r="1134" spans="5:18" ht="21" customHeight="1">
      <c r="E1134" s="27"/>
      <c r="G1134" s="27"/>
      <c r="I1134" s="27"/>
      <c r="K1134" s="27"/>
      <c r="M1134" s="27"/>
      <c r="O1134" s="27"/>
      <c r="R1134" s="27"/>
    </row>
    <row r="1135" spans="5:18" ht="21" customHeight="1">
      <c r="E1135" s="27"/>
      <c r="G1135" s="27"/>
      <c r="I1135" s="27"/>
      <c r="K1135" s="27"/>
      <c r="M1135" s="27"/>
      <c r="O1135" s="27"/>
      <c r="R1135" s="27"/>
    </row>
    <row r="1136" spans="5:18" ht="21" customHeight="1">
      <c r="E1136" s="27"/>
      <c r="G1136" s="27"/>
      <c r="I1136" s="27"/>
      <c r="K1136" s="27"/>
      <c r="M1136" s="27"/>
      <c r="O1136" s="27"/>
      <c r="R1136" s="27"/>
    </row>
    <row r="1137" spans="5:18" ht="21" customHeight="1">
      <c r="E1137" s="27"/>
      <c r="G1137" s="27"/>
      <c r="I1137" s="27"/>
      <c r="K1137" s="27"/>
      <c r="M1137" s="27"/>
      <c r="O1137" s="27"/>
      <c r="R1137" s="27"/>
    </row>
    <row r="1138" spans="5:18" ht="21" customHeight="1">
      <c r="E1138" s="27"/>
      <c r="G1138" s="27"/>
      <c r="I1138" s="27"/>
      <c r="K1138" s="27"/>
      <c r="M1138" s="27"/>
      <c r="O1138" s="27"/>
      <c r="R1138" s="27"/>
    </row>
    <row r="1139" spans="5:18" ht="21" customHeight="1">
      <c r="E1139" s="27"/>
      <c r="G1139" s="27"/>
      <c r="I1139" s="27"/>
      <c r="K1139" s="27"/>
      <c r="M1139" s="27"/>
      <c r="O1139" s="27"/>
      <c r="R1139" s="27"/>
    </row>
    <row r="1140" spans="5:18" ht="21" customHeight="1">
      <c r="E1140" s="27"/>
      <c r="G1140" s="27"/>
      <c r="I1140" s="27"/>
      <c r="K1140" s="27"/>
      <c r="M1140" s="27"/>
      <c r="O1140" s="27"/>
      <c r="R1140" s="27"/>
    </row>
    <row r="1141" spans="5:18" ht="21" customHeight="1">
      <c r="E1141" s="27"/>
      <c r="G1141" s="27"/>
      <c r="I1141" s="27"/>
      <c r="K1141" s="27"/>
      <c r="M1141" s="27"/>
      <c r="O1141" s="27"/>
      <c r="R1141" s="27"/>
    </row>
    <row r="1142" spans="5:18" ht="21" customHeight="1">
      <c r="E1142" s="27"/>
      <c r="G1142" s="27"/>
      <c r="I1142" s="27"/>
      <c r="K1142" s="27"/>
      <c r="M1142" s="27"/>
      <c r="O1142" s="27"/>
      <c r="R1142" s="27"/>
    </row>
    <row r="1143" spans="5:18" ht="21" customHeight="1">
      <c r="E1143" s="27"/>
      <c r="G1143" s="27"/>
      <c r="I1143" s="27"/>
      <c r="K1143" s="27"/>
      <c r="M1143" s="27"/>
      <c r="O1143" s="27"/>
      <c r="R1143" s="27"/>
    </row>
    <row r="1144" spans="5:18" ht="21" customHeight="1">
      <c r="E1144" s="27"/>
      <c r="G1144" s="27"/>
      <c r="I1144" s="27"/>
      <c r="K1144" s="27"/>
      <c r="M1144" s="27"/>
      <c r="O1144" s="27"/>
      <c r="R1144" s="27"/>
    </row>
    <row r="1145" spans="5:18" ht="21" customHeight="1">
      <c r="E1145" s="27"/>
      <c r="G1145" s="27"/>
      <c r="I1145" s="27"/>
      <c r="K1145" s="27"/>
      <c r="M1145" s="27"/>
      <c r="O1145" s="27"/>
      <c r="R1145" s="27"/>
    </row>
    <row r="1146" spans="5:18" ht="21" customHeight="1">
      <c r="E1146" s="27"/>
      <c r="G1146" s="27"/>
      <c r="I1146" s="27"/>
      <c r="K1146" s="27"/>
      <c r="M1146" s="27"/>
      <c r="O1146" s="27"/>
      <c r="R1146" s="27"/>
    </row>
    <row r="1147" spans="5:18" ht="21" customHeight="1">
      <c r="E1147" s="27"/>
      <c r="G1147" s="27"/>
      <c r="I1147" s="27"/>
      <c r="K1147" s="27"/>
      <c r="M1147" s="27"/>
      <c r="O1147" s="27"/>
      <c r="R1147" s="27"/>
    </row>
    <row r="1148" spans="5:18" ht="21" customHeight="1">
      <c r="E1148" s="27"/>
      <c r="G1148" s="27"/>
      <c r="I1148" s="27"/>
      <c r="K1148" s="27"/>
      <c r="M1148" s="27"/>
      <c r="O1148" s="27"/>
      <c r="R1148" s="27"/>
    </row>
    <row r="1149" spans="5:18" ht="21" customHeight="1">
      <c r="E1149" s="27"/>
      <c r="G1149" s="27"/>
      <c r="I1149" s="27"/>
      <c r="K1149" s="27"/>
      <c r="M1149" s="27"/>
      <c r="O1149" s="27"/>
      <c r="R1149" s="27"/>
    </row>
    <row r="1150" spans="5:18" ht="21" customHeight="1">
      <c r="E1150" s="27"/>
      <c r="G1150" s="27"/>
      <c r="I1150" s="27"/>
      <c r="K1150" s="27"/>
      <c r="M1150" s="27"/>
      <c r="O1150" s="27"/>
      <c r="R1150" s="27"/>
    </row>
    <row r="1151" spans="5:18" ht="21" customHeight="1">
      <c r="E1151" s="27"/>
      <c r="G1151" s="27"/>
      <c r="I1151" s="27"/>
      <c r="K1151" s="27"/>
      <c r="M1151" s="27"/>
      <c r="O1151" s="27"/>
      <c r="R1151" s="27"/>
    </row>
    <row r="1152" spans="5:18" ht="21" customHeight="1">
      <c r="E1152" s="27"/>
      <c r="G1152" s="27"/>
      <c r="I1152" s="27"/>
      <c r="K1152" s="27"/>
      <c r="M1152" s="27"/>
      <c r="O1152" s="27"/>
      <c r="R1152" s="27"/>
    </row>
    <row r="1153" spans="5:18" ht="21" customHeight="1">
      <c r="E1153" s="27"/>
      <c r="G1153" s="27"/>
      <c r="I1153" s="27"/>
      <c r="K1153" s="27"/>
      <c r="M1153" s="27"/>
      <c r="O1153" s="27"/>
      <c r="R1153" s="27"/>
    </row>
    <row r="1154" spans="5:18" ht="21" customHeight="1">
      <c r="E1154" s="27"/>
      <c r="G1154" s="27"/>
      <c r="I1154" s="27"/>
      <c r="K1154" s="27"/>
      <c r="M1154" s="27"/>
      <c r="O1154" s="27"/>
      <c r="R1154" s="27"/>
    </row>
    <row r="1155" spans="5:18" ht="21" customHeight="1">
      <c r="E1155" s="27"/>
      <c r="G1155" s="27"/>
      <c r="I1155" s="27"/>
      <c r="K1155" s="27"/>
      <c r="M1155" s="27"/>
      <c r="O1155" s="27"/>
      <c r="R1155" s="27"/>
    </row>
    <row r="1156" spans="5:18" ht="21" customHeight="1">
      <c r="E1156" s="27"/>
      <c r="G1156" s="27"/>
      <c r="I1156" s="27"/>
      <c r="K1156" s="27"/>
      <c r="M1156" s="27"/>
      <c r="O1156" s="27"/>
      <c r="R1156" s="27"/>
    </row>
    <row r="1157" spans="5:18" ht="21" customHeight="1">
      <c r="E1157" s="27"/>
      <c r="G1157" s="27"/>
      <c r="I1157" s="27"/>
      <c r="K1157" s="27"/>
      <c r="M1157" s="27"/>
      <c r="O1157" s="27"/>
      <c r="R1157" s="27"/>
    </row>
    <row r="1158" spans="5:18" ht="21" customHeight="1">
      <c r="E1158" s="27"/>
      <c r="G1158" s="27"/>
      <c r="I1158" s="27"/>
      <c r="K1158" s="27"/>
      <c r="M1158" s="27"/>
      <c r="O1158" s="27"/>
      <c r="R1158" s="27"/>
    </row>
    <row r="1159" spans="5:18" ht="21" customHeight="1">
      <c r="E1159" s="27"/>
      <c r="G1159" s="27"/>
      <c r="I1159" s="27"/>
      <c r="K1159" s="27"/>
      <c r="M1159" s="27"/>
      <c r="O1159" s="27"/>
      <c r="R1159" s="27"/>
    </row>
    <row r="1160" spans="5:18" ht="21" customHeight="1">
      <c r="E1160" s="27"/>
      <c r="G1160" s="27"/>
      <c r="I1160" s="27"/>
      <c r="K1160" s="27"/>
      <c r="M1160" s="27"/>
      <c r="O1160" s="27"/>
      <c r="R1160" s="27"/>
    </row>
    <row r="1161" spans="5:18" ht="21" customHeight="1">
      <c r="E1161" s="27"/>
      <c r="G1161" s="27"/>
      <c r="I1161" s="27"/>
      <c r="K1161" s="27"/>
      <c r="M1161" s="27"/>
      <c r="O1161" s="27"/>
      <c r="R1161" s="27"/>
    </row>
    <row r="1162" spans="5:18" ht="21" customHeight="1">
      <c r="E1162" s="27"/>
      <c r="G1162" s="27"/>
      <c r="I1162" s="27"/>
      <c r="K1162" s="27"/>
      <c r="M1162" s="27"/>
      <c r="O1162" s="27"/>
      <c r="R1162" s="27"/>
    </row>
    <row r="1163" spans="5:18" ht="21" customHeight="1">
      <c r="E1163" s="27"/>
      <c r="G1163" s="27"/>
      <c r="I1163" s="27"/>
      <c r="K1163" s="27"/>
      <c r="M1163" s="27"/>
      <c r="O1163" s="27"/>
      <c r="R1163" s="27"/>
    </row>
    <row r="1164" spans="5:18" ht="21" customHeight="1">
      <c r="E1164" s="27"/>
      <c r="G1164" s="27"/>
      <c r="I1164" s="27"/>
      <c r="K1164" s="27"/>
      <c r="M1164" s="27"/>
      <c r="O1164" s="27"/>
      <c r="R1164" s="27"/>
    </row>
    <row r="1165" spans="5:18" ht="21" customHeight="1">
      <c r="E1165" s="27"/>
      <c r="G1165" s="27"/>
      <c r="I1165" s="27"/>
      <c r="K1165" s="27"/>
      <c r="M1165" s="27"/>
      <c r="O1165" s="27"/>
      <c r="R1165" s="27"/>
    </row>
    <row r="1166" spans="5:18" ht="21" customHeight="1">
      <c r="E1166" s="27"/>
      <c r="G1166" s="27"/>
      <c r="I1166" s="27"/>
      <c r="K1166" s="27"/>
      <c r="M1166" s="27"/>
      <c r="O1166" s="27"/>
      <c r="R1166" s="27"/>
    </row>
    <row r="1167" spans="5:18" ht="21" customHeight="1">
      <c r="E1167" s="27"/>
      <c r="G1167" s="27"/>
      <c r="I1167" s="27"/>
      <c r="K1167" s="27"/>
      <c r="M1167" s="27"/>
      <c r="O1167" s="27"/>
      <c r="R1167" s="27"/>
    </row>
    <row r="1168" spans="5:18" ht="21" customHeight="1">
      <c r="E1168" s="27"/>
      <c r="G1168" s="27"/>
      <c r="I1168" s="27"/>
      <c r="K1168" s="27"/>
      <c r="M1168" s="27"/>
      <c r="O1168" s="27"/>
      <c r="R1168" s="27"/>
    </row>
    <row r="1169" spans="5:18" ht="21" customHeight="1">
      <c r="E1169" s="27"/>
      <c r="G1169" s="27"/>
      <c r="I1169" s="27"/>
      <c r="K1169" s="27"/>
      <c r="M1169" s="27"/>
      <c r="O1169" s="27"/>
      <c r="R1169" s="27"/>
    </row>
    <row r="1170" spans="5:18" ht="21" customHeight="1">
      <c r="E1170" s="27"/>
      <c r="G1170" s="27"/>
      <c r="I1170" s="27"/>
      <c r="K1170" s="27"/>
      <c r="M1170" s="27"/>
      <c r="O1170" s="27"/>
      <c r="R1170" s="27"/>
    </row>
    <row r="1171" spans="5:18" ht="21" customHeight="1">
      <c r="E1171" s="27"/>
      <c r="G1171" s="27"/>
      <c r="I1171" s="27"/>
      <c r="K1171" s="27"/>
      <c r="M1171" s="27"/>
      <c r="O1171" s="27"/>
      <c r="R1171" s="27"/>
    </row>
    <row r="1172" spans="5:18" ht="21" customHeight="1">
      <c r="E1172" s="27"/>
      <c r="G1172" s="27"/>
      <c r="I1172" s="27"/>
      <c r="K1172" s="27"/>
      <c r="M1172" s="27"/>
      <c r="O1172" s="27"/>
      <c r="R1172" s="27"/>
    </row>
    <row r="1173" spans="5:18" ht="21" customHeight="1">
      <c r="E1173" s="27"/>
      <c r="G1173" s="27"/>
      <c r="I1173" s="27"/>
      <c r="K1173" s="27"/>
      <c r="M1173" s="27"/>
      <c r="O1173" s="27"/>
      <c r="R1173" s="27"/>
    </row>
    <row r="1174" spans="5:18" ht="21" customHeight="1">
      <c r="E1174" s="27"/>
      <c r="G1174" s="27"/>
      <c r="I1174" s="27"/>
      <c r="K1174" s="27"/>
      <c r="M1174" s="27"/>
      <c r="O1174" s="27"/>
      <c r="R1174" s="27"/>
    </row>
    <row r="1175" spans="5:18" ht="21" customHeight="1">
      <c r="E1175" s="27"/>
      <c r="G1175" s="27"/>
      <c r="I1175" s="27"/>
      <c r="K1175" s="27"/>
      <c r="M1175" s="27"/>
      <c r="O1175" s="27"/>
      <c r="R1175" s="27"/>
    </row>
    <row r="1176" spans="5:18" ht="21" customHeight="1">
      <c r="E1176" s="27"/>
      <c r="G1176" s="27"/>
      <c r="I1176" s="27"/>
      <c r="K1176" s="27"/>
      <c r="M1176" s="27"/>
      <c r="O1176" s="27"/>
      <c r="R1176" s="27"/>
    </row>
    <row r="1177" spans="5:18" ht="21" customHeight="1">
      <c r="E1177" s="27"/>
      <c r="G1177" s="27"/>
      <c r="I1177" s="27"/>
      <c r="K1177" s="27"/>
      <c r="M1177" s="27"/>
      <c r="O1177" s="27"/>
      <c r="R1177" s="27"/>
    </row>
    <row r="1178" spans="5:18" ht="21" customHeight="1">
      <c r="E1178" s="27"/>
      <c r="G1178" s="27"/>
      <c r="I1178" s="27"/>
      <c r="K1178" s="27"/>
      <c r="M1178" s="27"/>
      <c r="O1178" s="27"/>
      <c r="R1178" s="27"/>
    </row>
    <row r="1179" spans="5:18" ht="21" customHeight="1">
      <c r="E1179" s="27"/>
      <c r="G1179" s="27"/>
      <c r="I1179" s="27"/>
      <c r="K1179" s="27"/>
      <c r="M1179" s="27"/>
      <c r="O1179" s="27"/>
      <c r="R1179" s="27"/>
    </row>
    <row r="1180" spans="5:18" ht="21" customHeight="1">
      <c r="E1180" s="27"/>
      <c r="G1180" s="27"/>
      <c r="I1180" s="27"/>
      <c r="K1180" s="27"/>
      <c r="M1180" s="27"/>
      <c r="O1180" s="27"/>
      <c r="R1180" s="27"/>
    </row>
    <row r="1181" spans="5:18" ht="21" customHeight="1">
      <c r="E1181" s="27"/>
      <c r="G1181" s="27"/>
      <c r="I1181" s="27"/>
      <c r="K1181" s="27"/>
      <c r="M1181" s="27"/>
      <c r="O1181" s="27"/>
      <c r="R1181" s="27"/>
    </row>
    <row r="1182" spans="5:18" ht="21" customHeight="1">
      <c r="E1182" s="27"/>
      <c r="G1182" s="27"/>
      <c r="I1182" s="27"/>
      <c r="K1182" s="27"/>
      <c r="M1182" s="27"/>
      <c r="O1182" s="27"/>
      <c r="R1182" s="27"/>
    </row>
    <row r="1183" spans="5:18" ht="21" customHeight="1">
      <c r="E1183" s="27"/>
      <c r="G1183" s="27"/>
      <c r="I1183" s="27"/>
      <c r="K1183" s="27"/>
      <c r="M1183" s="27"/>
      <c r="O1183" s="27"/>
      <c r="R1183" s="27"/>
    </row>
    <row r="1184" spans="5:18" ht="21" customHeight="1">
      <c r="E1184" s="27"/>
      <c r="G1184" s="27"/>
      <c r="I1184" s="27"/>
      <c r="K1184" s="27"/>
      <c r="M1184" s="27"/>
      <c r="O1184" s="27"/>
      <c r="R1184" s="27"/>
    </row>
    <row r="1185" spans="5:18" ht="21" customHeight="1">
      <c r="E1185" s="27"/>
      <c r="G1185" s="27"/>
      <c r="I1185" s="27"/>
      <c r="K1185" s="27"/>
      <c r="M1185" s="27"/>
      <c r="O1185" s="27"/>
      <c r="R1185" s="27"/>
    </row>
    <row r="1186" spans="5:18" ht="21" customHeight="1">
      <c r="E1186" s="27"/>
      <c r="G1186" s="27"/>
      <c r="I1186" s="27"/>
      <c r="K1186" s="27"/>
      <c r="M1186" s="27"/>
      <c r="O1186" s="27"/>
      <c r="R1186" s="27"/>
    </row>
    <row r="1187" spans="5:18" ht="21" customHeight="1">
      <c r="E1187" s="27"/>
      <c r="G1187" s="27"/>
      <c r="I1187" s="27"/>
      <c r="K1187" s="27"/>
      <c r="M1187" s="27"/>
      <c r="O1187" s="27"/>
      <c r="R1187" s="27"/>
    </row>
    <row r="1188" spans="5:18" ht="21" customHeight="1">
      <c r="E1188" s="27"/>
      <c r="G1188" s="27"/>
      <c r="I1188" s="27"/>
      <c r="K1188" s="27"/>
      <c r="M1188" s="27"/>
      <c r="O1188" s="27"/>
      <c r="R1188" s="27"/>
    </row>
    <row r="1189" spans="5:18" ht="21" customHeight="1">
      <c r="E1189" s="27"/>
      <c r="G1189" s="27"/>
      <c r="I1189" s="27"/>
      <c r="K1189" s="27"/>
      <c r="M1189" s="27"/>
      <c r="O1189" s="27"/>
      <c r="R1189" s="27"/>
    </row>
    <row r="1190" spans="5:18" ht="21" customHeight="1">
      <c r="E1190" s="27"/>
      <c r="G1190" s="27"/>
      <c r="I1190" s="27"/>
      <c r="K1190" s="27"/>
      <c r="M1190" s="27"/>
      <c r="O1190" s="27"/>
      <c r="R1190" s="27"/>
    </row>
    <row r="1191" spans="5:18" ht="21" customHeight="1">
      <c r="E1191" s="27"/>
      <c r="G1191" s="27"/>
      <c r="I1191" s="27"/>
      <c r="K1191" s="27"/>
      <c r="M1191" s="27"/>
      <c r="O1191" s="27"/>
      <c r="R1191" s="27"/>
    </row>
    <row r="1192" spans="5:18" ht="21" customHeight="1">
      <c r="E1192" s="27"/>
      <c r="G1192" s="27"/>
      <c r="I1192" s="27"/>
      <c r="K1192" s="27"/>
      <c r="M1192" s="27"/>
      <c r="O1192" s="27"/>
      <c r="R1192" s="27"/>
    </row>
    <row r="1193" spans="5:18" ht="21" customHeight="1">
      <c r="E1193" s="27"/>
      <c r="G1193" s="27"/>
      <c r="I1193" s="27"/>
      <c r="K1193" s="27"/>
      <c r="M1193" s="27"/>
      <c r="O1193" s="27"/>
      <c r="R1193" s="27"/>
    </row>
    <row r="1194" spans="5:18" ht="21" customHeight="1">
      <c r="E1194" s="27"/>
      <c r="G1194" s="27"/>
      <c r="I1194" s="27"/>
      <c r="K1194" s="27"/>
      <c r="M1194" s="27"/>
      <c r="O1194" s="27"/>
      <c r="R1194" s="27"/>
    </row>
    <row r="1195" spans="5:18" ht="21" customHeight="1">
      <c r="E1195" s="27"/>
      <c r="G1195" s="27"/>
      <c r="I1195" s="27"/>
      <c r="K1195" s="27"/>
      <c r="M1195" s="27"/>
      <c r="O1195" s="27"/>
      <c r="R1195" s="27"/>
    </row>
    <row r="1196" spans="5:18" ht="21" customHeight="1">
      <c r="E1196" s="27"/>
      <c r="G1196" s="27"/>
      <c r="I1196" s="27"/>
      <c r="K1196" s="27"/>
      <c r="M1196" s="27"/>
      <c r="O1196" s="27"/>
      <c r="R1196" s="27"/>
    </row>
    <row r="1197" spans="5:18" ht="21" customHeight="1">
      <c r="E1197" s="27"/>
      <c r="G1197" s="27"/>
      <c r="I1197" s="27"/>
      <c r="K1197" s="27"/>
      <c r="M1197" s="27"/>
      <c r="O1197" s="27"/>
      <c r="R1197" s="27"/>
    </row>
    <row r="1198" spans="5:18" ht="21" customHeight="1">
      <c r="E1198" s="27"/>
      <c r="G1198" s="27"/>
      <c r="I1198" s="27"/>
      <c r="K1198" s="27"/>
      <c r="M1198" s="27"/>
      <c r="O1198" s="27"/>
      <c r="R1198" s="27"/>
    </row>
    <row r="1199" spans="5:18" ht="21" customHeight="1">
      <c r="E1199" s="27"/>
      <c r="G1199" s="27"/>
      <c r="I1199" s="27"/>
      <c r="K1199" s="27"/>
      <c r="M1199" s="27"/>
      <c r="O1199" s="27"/>
      <c r="R1199" s="27"/>
    </row>
    <row r="1200" spans="5:18" ht="21" customHeight="1">
      <c r="E1200" s="27"/>
      <c r="G1200" s="27"/>
      <c r="I1200" s="27"/>
      <c r="K1200" s="27"/>
      <c r="M1200" s="27"/>
      <c r="O1200" s="27"/>
      <c r="R1200" s="27"/>
    </row>
    <row r="1201" spans="5:18" ht="21" customHeight="1">
      <c r="E1201" s="27"/>
      <c r="G1201" s="27"/>
      <c r="I1201" s="27"/>
      <c r="K1201" s="27"/>
      <c r="M1201" s="27"/>
      <c r="O1201" s="27"/>
      <c r="R1201" s="27"/>
    </row>
    <row r="1202" spans="5:18" ht="21" customHeight="1">
      <c r="E1202" s="27"/>
      <c r="G1202" s="27"/>
      <c r="I1202" s="27"/>
      <c r="K1202" s="27"/>
      <c r="M1202" s="27"/>
      <c r="O1202" s="27"/>
      <c r="R1202" s="27"/>
    </row>
    <row r="1203" spans="5:18" ht="21" customHeight="1">
      <c r="E1203" s="27"/>
      <c r="G1203" s="27"/>
      <c r="I1203" s="27"/>
      <c r="K1203" s="27"/>
      <c r="M1203" s="27"/>
      <c r="O1203" s="27"/>
      <c r="R1203" s="27"/>
    </row>
    <row r="1204" spans="5:18" ht="21" customHeight="1">
      <c r="E1204" s="27"/>
      <c r="G1204" s="27"/>
      <c r="I1204" s="27"/>
      <c r="K1204" s="27"/>
      <c r="M1204" s="27"/>
      <c r="O1204" s="27"/>
      <c r="R1204" s="27"/>
    </row>
    <row r="1205" spans="5:18" ht="21" customHeight="1">
      <c r="E1205" s="27"/>
      <c r="G1205" s="27"/>
      <c r="I1205" s="27"/>
      <c r="K1205" s="27"/>
      <c r="M1205" s="27"/>
      <c r="O1205" s="27"/>
      <c r="R1205" s="27"/>
    </row>
    <row r="1206" spans="5:18" ht="21" customHeight="1">
      <c r="E1206" s="27"/>
      <c r="G1206" s="27"/>
      <c r="I1206" s="27"/>
      <c r="K1206" s="27"/>
      <c r="M1206" s="27"/>
      <c r="O1206" s="27"/>
      <c r="R1206" s="27"/>
    </row>
    <row r="1207" spans="5:18" ht="21" customHeight="1">
      <c r="E1207" s="27"/>
      <c r="G1207" s="27"/>
      <c r="I1207" s="27"/>
      <c r="K1207" s="27"/>
      <c r="M1207" s="27"/>
      <c r="O1207" s="27"/>
      <c r="R1207" s="27"/>
    </row>
    <row r="1208" spans="5:18" ht="21" customHeight="1">
      <c r="E1208" s="27"/>
      <c r="G1208" s="27"/>
      <c r="I1208" s="27"/>
      <c r="K1208" s="27"/>
      <c r="M1208" s="27"/>
      <c r="O1208" s="27"/>
      <c r="R1208" s="27"/>
    </row>
    <row r="1209" spans="5:18" ht="21" customHeight="1">
      <c r="E1209" s="27"/>
      <c r="G1209" s="27"/>
      <c r="I1209" s="27"/>
      <c r="K1209" s="27"/>
      <c r="M1209" s="27"/>
      <c r="O1209" s="27"/>
      <c r="R1209" s="27"/>
    </row>
    <row r="1210" spans="5:18" ht="21" customHeight="1">
      <c r="E1210" s="27"/>
      <c r="G1210" s="27"/>
      <c r="I1210" s="27"/>
      <c r="K1210" s="27"/>
      <c r="M1210" s="27"/>
      <c r="O1210" s="27"/>
      <c r="R1210" s="27"/>
    </row>
    <row r="1211" spans="5:18" ht="21" customHeight="1">
      <c r="E1211" s="27"/>
      <c r="G1211" s="27"/>
      <c r="I1211" s="27"/>
      <c r="K1211" s="27"/>
      <c r="M1211" s="27"/>
      <c r="O1211" s="27"/>
      <c r="R1211" s="27"/>
    </row>
    <row r="1212" spans="5:18" ht="21" customHeight="1">
      <c r="E1212" s="27"/>
      <c r="G1212" s="27"/>
      <c r="I1212" s="27"/>
      <c r="K1212" s="27"/>
      <c r="M1212" s="27"/>
      <c r="O1212" s="27"/>
      <c r="R1212" s="27"/>
    </row>
    <row r="1213" spans="5:18" ht="21" customHeight="1">
      <c r="E1213" s="27"/>
      <c r="G1213" s="27"/>
      <c r="I1213" s="27"/>
      <c r="K1213" s="27"/>
      <c r="M1213" s="27"/>
      <c r="O1213" s="27"/>
      <c r="R1213" s="27"/>
    </row>
    <row r="1214" spans="5:18" ht="21" customHeight="1">
      <c r="E1214" s="27"/>
      <c r="G1214" s="27"/>
      <c r="I1214" s="27"/>
      <c r="K1214" s="27"/>
      <c r="M1214" s="27"/>
      <c r="O1214" s="27"/>
      <c r="R1214" s="27"/>
    </row>
    <row r="1215" spans="5:18" ht="21" customHeight="1">
      <c r="E1215" s="27"/>
      <c r="G1215" s="27"/>
      <c r="I1215" s="27"/>
      <c r="K1215" s="27"/>
      <c r="M1215" s="27"/>
      <c r="O1215" s="27"/>
      <c r="R1215" s="27"/>
    </row>
    <row r="1216" spans="5:18" ht="21" customHeight="1">
      <c r="E1216" s="27"/>
      <c r="G1216" s="27"/>
      <c r="I1216" s="27"/>
      <c r="K1216" s="27"/>
      <c r="M1216" s="27"/>
      <c r="O1216" s="27"/>
      <c r="R1216" s="27"/>
    </row>
    <row r="1217" spans="5:18" ht="21" customHeight="1">
      <c r="E1217" s="27"/>
      <c r="G1217" s="27"/>
      <c r="I1217" s="27"/>
      <c r="K1217" s="27"/>
      <c r="M1217" s="27"/>
      <c r="O1217" s="27"/>
      <c r="R1217" s="27"/>
    </row>
    <row r="1218" spans="5:18" ht="21" customHeight="1">
      <c r="E1218" s="27"/>
      <c r="G1218" s="27"/>
      <c r="I1218" s="27"/>
      <c r="K1218" s="27"/>
      <c r="M1218" s="27"/>
      <c r="O1218" s="27"/>
      <c r="R1218" s="27"/>
    </row>
    <row r="1219" spans="5:18" ht="21" customHeight="1">
      <c r="E1219" s="27"/>
      <c r="G1219" s="27"/>
      <c r="I1219" s="27"/>
      <c r="K1219" s="27"/>
      <c r="M1219" s="27"/>
      <c r="O1219" s="27"/>
      <c r="R1219" s="27"/>
    </row>
    <row r="1220" spans="5:18" ht="21" customHeight="1">
      <c r="E1220" s="27"/>
      <c r="G1220" s="27"/>
      <c r="I1220" s="27"/>
      <c r="K1220" s="27"/>
      <c r="M1220" s="27"/>
      <c r="O1220" s="27"/>
      <c r="R1220" s="27"/>
    </row>
    <row r="1221" spans="5:18" ht="21" customHeight="1">
      <c r="E1221" s="27"/>
      <c r="G1221" s="27"/>
      <c r="I1221" s="27"/>
      <c r="K1221" s="27"/>
      <c r="M1221" s="27"/>
      <c r="O1221" s="27"/>
      <c r="R1221" s="27"/>
    </row>
    <row r="1222" spans="5:18" ht="21" customHeight="1">
      <c r="E1222" s="27"/>
      <c r="G1222" s="27"/>
      <c r="I1222" s="27"/>
      <c r="K1222" s="27"/>
      <c r="M1222" s="27"/>
      <c r="O1222" s="27"/>
      <c r="R1222" s="27"/>
    </row>
    <row r="1223" spans="5:18" ht="21" customHeight="1">
      <c r="E1223" s="27"/>
      <c r="G1223" s="27"/>
      <c r="I1223" s="27"/>
      <c r="K1223" s="27"/>
      <c r="M1223" s="27"/>
      <c r="O1223" s="27"/>
      <c r="R1223" s="27"/>
    </row>
    <row r="1224" spans="5:18" ht="21" customHeight="1">
      <c r="E1224" s="27"/>
      <c r="G1224" s="27"/>
      <c r="I1224" s="27"/>
      <c r="K1224" s="27"/>
      <c r="M1224" s="27"/>
      <c r="O1224" s="27"/>
      <c r="R1224" s="27"/>
    </row>
    <row r="1225" spans="5:18" ht="21" customHeight="1">
      <c r="E1225" s="27"/>
      <c r="G1225" s="27"/>
      <c r="I1225" s="27"/>
      <c r="K1225" s="27"/>
      <c r="M1225" s="27"/>
      <c r="O1225" s="27"/>
      <c r="R1225" s="27"/>
    </row>
    <row r="1226" spans="5:18" ht="21" customHeight="1">
      <c r="E1226" s="27"/>
      <c r="G1226" s="27"/>
      <c r="I1226" s="27"/>
      <c r="K1226" s="27"/>
      <c r="M1226" s="27"/>
      <c r="O1226" s="27"/>
      <c r="R1226" s="27"/>
    </row>
    <row r="1227" spans="5:18" ht="21" customHeight="1">
      <c r="E1227" s="27"/>
      <c r="G1227" s="27"/>
      <c r="I1227" s="27"/>
      <c r="K1227" s="27"/>
      <c r="M1227" s="27"/>
      <c r="O1227" s="27"/>
      <c r="R1227" s="27"/>
    </row>
    <row r="1228" spans="5:18" ht="21" customHeight="1">
      <c r="E1228" s="27"/>
      <c r="G1228" s="27"/>
      <c r="I1228" s="27"/>
      <c r="K1228" s="27"/>
      <c r="M1228" s="27"/>
      <c r="O1228" s="27"/>
      <c r="R1228" s="27"/>
    </row>
    <row r="1229" spans="5:18" ht="21" customHeight="1">
      <c r="E1229" s="27"/>
      <c r="G1229" s="27"/>
      <c r="I1229" s="27"/>
      <c r="K1229" s="27"/>
      <c r="M1229" s="27"/>
      <c r="O1229" s="27"/>
      <c r="R1229" s="27"/>
    </row>
    <row r="1230" spans="5:18" ht="21" customHeight="1">
      <c r="E1230" s="27"/>
      <c r="G1230" s="27"/>
      <c r="I1230" s="27"/>
      <c r="K1230" s="27"/>
      <c r="M1230" s="27"/>
      <c r="O1230" s="27"/>
      <c r="R1230" s="27"/>
    </row>
    <row r="1231" spans="5:18" ht="21" customHeight="1">
      <c r="E1231" s="27"/>
      <c r="G1231" s="27"/>
      <c r="I1231" s="27"/>
      <c r="K1231" s="27"/>
      <c r="M1231" s="27"/>
      <c r="O1231" s="27"/>
      <c r="R1231" s="27"/>
    </row>
    <row r="1232" spans="5:18" ht="21" customHeight="1">
      <c r="E1232" s="27"/>
      <c r="G1232" s="27"/>
      <c r="I1232" s="27"/>
      <c r="K1232" s="27"/>
      <c r="M1232" s="27"/>
      <c r="O1232" s="27"/>
      <c r="R1232" s="27"/>
    </row>
    <row r="1233" spans="5:18" ht="21" customHeight="1">
      <c r="E1233" s="27"/>
      <c r="G1233" s="27"/>
      <c r="I1233" s="27"/>
      <c r="K1233" s="27"/>
      <c r="M1233" s="27"/>
      <c r="O1233" s="27"/>
      <c r="R1233" s="27"/>
    </row>
    <row r="1234" spans="5:18" ht="21" customHeight="1">
      <c r="E1234" s="27"/>
      <c r="G1234" s="27"/>
      <c r="I1234" s="27"/>
      <c r="K1234" s="27"/>
      <c r="M1234" s="27"/>
      <c r="O1234" s="27"/>
      <c r="R1234" s="27"/>
    </row>
    <row r="1235" spans="5:18" ht="21" customHeight="1">
      <c r="E1235" s="27"/>
      <c r="G1235" s="27"/>
      <c r="I1235" s="27"/>
      <c r="K1235" s="27"/>
      <c r="M1235" s="27"/>
      <c r="O1235" s="27"/>
      <c r="R1235" s="27"/>
    </row>
    <row r="1236" spans="5:18" ht="21" customHeight="1">
      <c r="E1236" s="27"/>
      <c r="G1236" s="27"/>
      <c r="I1236" s="27"/>
      <c r="K1236" s="27"/>
      <c r="M1236" s="27"/>
      <c r="O1236" s="27"/>
      <c r="R1236" s="27"/>
    </row>
    <row r="1237" spans="5:18" ht="21" customHeight="1">
      <c r="E1237" s="27"/>
      <c r="G1237" s="27"/>
      <c r="I1237" s="27"/>
      <c r="K1237" s="27"/>
      <c r="M1237" s="27"/>
      <c r="O1237" s="27"/>
      <c r="R1237" s="27"/>
    </row>
    <row r="1238" spans="5:18" ht="21" customHeight="1">
      <c r="E1238" s="27"/>
      <c r="G1238" s="27"/>
      <c r="I1238" s="27"/>
      <c r="K1238" s="27"/>
      <c r="M1238" s="27"/>
      <c r="O1238" s="27"/>
      <c r="R1238" s="27"/>
    </row>
    <row r="1239" spans="5:18" ht="21" customHeight="1">
      <c r="E1239" s="27"/>
      <c r="G1239" s="27"/>
      <c r="I1239" s="27"/>
      <c r="K1239" s="27"/>
      <c r="M1239" s="27"/>
      <c r="O1239" s="27"/>
      <c r="R1239" s="27"/>
    </row>
    <row r="1240" spans="5:18" ht="21" customHeight="1">
      <c r="E1240" s="27"/>
      <c r="G1240" s="27"/>
      <c r="I1240" s="27"/>
      <c r="K1240" s="27"/>
      <c r="M1240" s="27"/>
      <c r="O1240" s="27"/>
      <c r="R1240" s="27"/>
    </row>
    <row r="1241" spans="5:18" ht="21" customHeight="1">
      <c r="E1241" s="27"/>
      <c r="G1241" s="27"/>
      <c r="I1241" s="27"/>
      <c r="K1241" s="27"/>
      <c r="M1241" s="27"/>
      <c r="O1241" s="27"/>
      <c r="R1241" s="27"/>
    </row>
    <row r="1242" spans="5:18" ht="21" customHeight="1">
      <c r="E1242" s="27"/>
      <c r="G1242" s="27"/>
      <c r="I1242" s="27"/>
      <c r="K1242" s="27"/>
      <c r="M1242" s="27"/>
      <c r="O1242" s="27"/>
      <c r="R1242" s="27"/>
    </row>
    <row r="1243" spans="5:18" ht="21" customHeight="1">
      <c r="E1243" s="27"/>
      <c r="G1243" s="27"/>
      <c r="I1243" s="27"/>
      <c r="K1243" s="27"/>
      <c r="M1243" s="27"/>
      <c r="O1243" s="27"/>
      <c r="R1243" s="27"/>
    </row>
    <row r="1244" spans="5:18" ht="21" customHeight="1">
      <c r="E1244" s="27"/>
      <c r="G1244" s="27"/>
      <c r="I1244" s="27"/>
      <c r="K1244" s="27"/>
      <c r="M1244" s="27"/>
      <c r="O1244" s="27"/>
      <c r="R1244" s="27"/>
    </row>
    <row r="1245" spans="5:18" ht="21" customHeight="1">
      <c r="E1245" s="27"/>
      <c r="G1245" s="27"/>
      <c r="I1245" s="27"/>
      <c r="K1245" s="27"/>
      <c r="M1245" s="27"/>
      <c r="O1245" s="27"/>
      <c r="R1245" s="27"/>
    </row>
    <row r="1246" spans="5:18" ht="21" customHeight="1">
      <c r="E1246" s="27"/>
      <c r="G1246" s="27"/>
      <c r="I1246" s="27"/>
      <c r="K1246" s="27"/>
      <c r="M1246" s="27"/>
      <c r="O1246" s="27"/>
      <c r="R1246" s="27"/>
    </row>
    <row r="1247" spans="5:18" ht="21" customHeight="1">
      <c r="E1247" s="27"/>
      <c r="G1247" s="27"/>
      <c r="I1247" s="27"/>
      <c r="K1247" s="27"/>
      <c r="M1247" s="27"/>
      <c r="O1247" s="27"/>
      <c r="R1247" s="27"/>
    </row>
    <row r="1248" spans="5:18" ht="21" customHeight="1">
      <c r="E1248" s="27"/>
      <c r="G1248" s="27"/>
      <c r="I1248" s="27"/>
      <c r="K1248" s="27"/>
      <c r="M1248" s="27"/>
      <c r="O1248" s="27"/>
      <c r="R1248" s="27"/>
    </row>
    <row r="1249" spans="5:18" ht="21" customHeight="1">
      <c r="E1249" s="27"/>
      <c r="G1249" s="27"/>
      <c r="I1249" s="27"/>
      <c r="K1249" s="27"/>
      <c r="M1249" s="27"/>
      <c r="O1249" s="27"/>
      <c r="R1249" s="27"/>
    </row>
    <row r="1250" spans="5:18" ht="21" customHeight="1">
      <c r="E1250" s="27"/>
      <c r="G1250" s="27"/>
      <c r="I1250" s="27"/>
      <c r="K1250" s="27"/>
      <c r="M1250" s="27"/>
      <c r="O1250" s="27"/>
      <c r="R1250" s="27"/>
    </row>
    <row r="1251" spans="5:18" ht="21" customHeight="1">
      <c r="E1251" s="27"/>
      <c r="G1251" s="27"/>
      <c r="I1251" s="27"/>
      <c r="K1251" s="27"/>
      <c r="M1251" s="27"/>
      <c r="O1251" s="27"/>
      <c r="R1251" s="27"/>
    </row>
    <row r="1252" spans="5:18" ht="21" customHeight="1">
      <c r="E1252" s="27"/>
      <c r="G1252" s="27"/>
      <c r="I1252" s="27"/>
      <c r="K1252" s="27"/>
      <c r="M1252" s="27"/>
      <c r="O1252" s="27"/>
      <c r="R1252" s="27"/>
    </row>
    <row r="1253" spans="5:18" ht="21" customHeight="1">
      <c r="E1253" s="27"/>
      <c r="G1253" s="27"/>
      <c r="I1253" s="27"/>
      <c r="K1253" s="27"/>
      <c r="M1253" s="27"/>
      <c r="O1253" s="27"/>
      <c r="R1253" s="27"/>
    </row>
    <row r="1254" spans="5:18" ht="21" customHeight="1">
      <c r="E1254" s="27"/>
      <c r="G1254" s="27"/>
      <c r="I1254" s="27"/>
      <c r="K1254" s="27"/>
      <c r="M1254" s="27"/>
      <c r="O1254" s="27"/>
      <c r="R1254" s="27"/>
    </row>
    <row r="1255" spans="5:18" ht="21" customHeight="1">
      <c r="E1255" s="27"/>
      <c r="G1255" s="27"/>
      <c r="I1255" s="27"/>
      <c r="K1255" s="27"/>
      <c r="M1255" s="27"/>
      <c r="O1255" s="27"/>
      <c r="R1255" s="27"/>
    </row>
    <row r="1256" spans="5:18" ht="21" customHeight="1">
      <c r="E1256" s="27"/>
      <c r="G1256" s="27"/>
      <c r="I1256" s="27"/>
      <c r="K1256" s="27"/>
      <c r="M1256" s="27"/>
      <c r="O1256" s="27"/>
      <c r="R1256" s="27"/>
    </row>
    <row r="1257" spans="5:18" ht="21" customHeight="1">
      <c r="E1257" s="27"/>
      <c r="G1257" s="27"/>
      <c r="I1257" s="27"/>
      <c r="K1257" s="27"/>
      <c r="M1257" s="27"/>
      <c r="O1257" s="27"/>
      <c r="R1257" s="27"/>
    </row>
    <row r="1258" spans="5:18" ht="21" customHeight="1">
      <c r="E1258" s="27"/>
      <c r="G1258" s="27"/>
      <c r="I1258" s="27"/>
      <c r="K1258" s="27"/>
      <c r="M1258" s="27"/>
      <c r="O1258" s="27"/>
      <c r="R1258" s="27"/>
    </row>
    <row r="1259" spans="5:18" ht="21" customHeight="1">
      <c r="E1259" s="27"/>
      <c r="G1259" s="27"/>
      <c r="I1259" s="27"/>
      <c r="K1259" s="27"/>
      <c r="M1259" s="27"/>
      <c r="O1259" s="27"/>
      <c r="R1259" s="27"/>
    </row>
    <row r="1260" spans="5:18" ht="21" customHeight="1">
      <c r="E1260" s="27"/>
      <c r="G1260" s="27"/>
      <c r="I1260" s="27"/>
      <c r="K1260" s="27"/>
      <c r="M1260" s="27"/>
      <c r="O1260" s="27"/>
      <c r="R1260" s="27"/>
    </row>
    <row r="1261" spans="5:18" ht="21" customHeight="1">
      <c r="E1261" s="27"/>
      <c r="G1261" s="27"/>
      <c r="I1261" s="27"/>
      <c r="K1261" s="27"/>
      <c r="M1261" s="27"/>
      <c r="O1261" s="27"/>
      <c r="R1261" s="27"/>
    </row>
    <row r="1262" spans="5:18" ht="21" customHeight="1">
      <c r="E1262" s="27"/>
      <c r="G1262" s="27"/>
      <c r="I1262" s="27"/>
      <c r="K1262" s="27"/>
      <c r="M1262" s="27"/>
      <c r="O1262" s="27"/>
      <c r="R1262" s="27"/>
    </row>
    <row r="1263" spans="5:18" ht="21" customHeight="1">
      <c r="E1263" s="27"/>
      <c r="G1263" s="27"/>
      <c r="I1263" s="27"/>
      <c r="K1263" s="27"/>
      <c r="M1263" s="27"/>
      <c r="O1263" s="27"/>
      <c r="R1263" s="27"/>
    </row>
    <row r="1264" spans="5:18" ht="21" customHeight="1">
      <c r="E1264" s="27"/>
      <c r="G1264" s="27"/>
      <c r="I1264" s="27"/>
      <c r="K1264" s="27"/>
      <c r="M1264" s="27"/>
      <c r="O1264" s="27"/>
      <c r="R1264" s="27"/>
    </row>
    <row r="1265" spans="5:18" ht="21" customHeight="1">
      <c r="E1265" s="27"/>
      <c r="G1265" s="27"/>
      <c r="I1265" s="27"/>
      <c r="K1265" s="27"/>
      <c r="M1265" s="27"/>
      <c r="O1265" s="27"/>
      <c r="R1265" s="27"/>
    </row>
    <row r="1266" spans="5:18" ht="21" customHeight="1">
      <c r="E1266" s="27"/>
      <c r="G1266" s="27"/>
      <c r="I1266" s="27"/>
      <c r="K1266" s="27"/>
      <c r="M1266" s="27"/>
      <c r="O1266" s="27"/>
      <c r="R1266" s="27"/>
    </row>
    <row r="1267" spans="5:18" ht="21" customHeight="1">
      <c r="E1267" s="27"/>
      <c r="G1267" s="27"/>
      <c r="I1267" s="27"/>
      <c r="K1267" s="27"/>
      <c r="M1267" s="27"/>
      <c r="O1267" s="27"/>
      <c r="R1267" s="27"/>
    </row>
    <row r="1268" spans="5:18" ht="21" customHeight="1">
      <c r="E1268" s="27"/>
      <c r="G1268" s="27"/>
      <c r="I1268" s="27"/>
      <c r="K1268" s="27"/>
      <c r="M1268" s="27"/>
      <c r="O1268" s="27"/>
      <c r="R1268" s="27"/>
    </row>
    <row r="1269" spans="5:18" ht="21" customHeight="1">
      <c r="E1269" s="27"/>
      <c r="G1269" s="27"/>
      <c r="I1269" s="27"/>
      <c r="K1269" s="27"/>
      <c r="M1269" s="27"/>
      <c r="O1269" s="27"/>
      <c r="R1269" s="27"/>
    </row>
    <row r="1270" spans="5:18" ht="21" customHeight="1">
      <c r="E1270" s="27"/>
      <c r="G1270" s="27"/>
      <c r="I1270" s="27"/>
      <c r="K1270" s="27"/>
      <c r="M1270" s="27"/>
      <c r="O1270" s="27"/>
      <c r="R1270" s="27"/>
    </row>
    <row r="1271" spans="5:18" ht="21" customHeight="1">
      <c r="E1271" s="27"/>
      <c r="G1271" s="27"/>
      <c r="I1271" s="27"/>
      <c r="K1271" s="27"/>
      <c r="M1271" s="27"/>
      <c r="O1271" s="27"/>
      <c r="R1271" s="27"/>
    </row>
    <row r="1272" spans="5:18" ht="21" customHeight="1">
      <c r="E1272" s="27"/>
      <c r="G1272" s="27"/>
      <c r="I1272" s="27"/>
      <c r="K1272" s="27"/>
      <c r="M1272" s="27"/>
      <c r="O1272" s="27"/>
      <c r="R1272" s="27"/>
    </row>
    <row r="1273" spans="5:18" ht="21" customHeight="1">
      <c r="E1273" s="27"/>
      <c r="G1273" s="27"/>
      <c r="I1273" s="27"/>
      <c r="K1273" s="27"/>
      <c r="M1273" s="27"/>
      <c r="O1273" s="27"/>
      <c r="R1273" s="27"/>
    </row>
    <row r="1274" spans="5:18" ht="21" customHeight="1">
      <c r="E1274" s="27"/>
      <c r="G1274" s="27"/>
      <c r="I1274" s="27"/>
      <c r="K1274" s="27"/>
      <c r="M1274" s="27"/>
      <c r="O1274" s="27"/>
      <c r="R1274" s="27"/>
    </row>
    <row r="1275" spans="5:18" ht="21" customHeight="1">
      <c r="E1275" s="27"/>
      <c r="G1275" s="27"/>
      <c r="I1275" s="27"/>
      <c r="K1275" s="27"/>
      <c r="M1275" s="27"/>
      <c r="O1275" s="27"/>
      <c r="R1275" s="27"/>
    </row>
    <row r="1276" spans="5:18" ht="21" customHeight="1">
      <c r="E1276" s="27"/>
      <c r="G1276" s="27"/>
      <c r="I1276" s="27"/>
      <c r="K1276" s="27"/>
      <c r="M1276" s="27"/>
      <c r="O1276" s="27"/>
      <c r="R1276" s="27"/>
    </row>
    <row r="1277" spans="5:18" ht="21" customHeight="1">
      <c r="E1277" s="27"/>
      <c r="G1277" s="27"/>
      <c r="I1277" s="27"/>
      <c r="K1277" s="27"/>
      <c r="M1277" s="27"/>
      <c r="O1277" s="27"/>
      <c r="R1277" s="27"/>
    </row>
    <row r="1278" spans="5:18" ht="21" customHeight="1">
      <c r="E1278" s="27"/>
      <c r="G1278" s="27"/>
      <c r="I1278" s="27"/>
      <c r="K1278" s="27"/>
      <c r="M1278" s="27"/>
      <c r="O1278" s="27"/>
      <c r="R1278" s="27"/>
    </row>
    <row r="1279" spans="5:18" ht="21" customHeight="1">
      <c r="E1279" s="27"/>
      <c r="G1279" s="27"/>
      <c r="I1279" s="27"/>
      <c r="K1279" s="27"/>
      <c r="M1279" s="27"/>
      <c r="O1279" s="27"/>
      <c r="R1279" s="27"/>
    </row>
    <row r="1280" spans="5:18" ht="21" customHeight="1">
      <c r="E1280" s="27"/>
      <c r="G1280" s="27"/>
      <c r="I1280" s="27"/>
      <c r="K1280" s="27"/>
      <c r="M1280" s="27"/>
      <c r="O1280" s="27"/>
      <c r="R1280" s="27"/>
    </row>
    <row r="1281" spans="5:18" ht="21" customHeight="1">
      <c r="E1281" s="27"/>
      <c r="G1281" s="27"/>
      <c r="I1281" s="27"/>
      <c r="K1281" s="27"/>
      <c r="M1281" s="27"/>
      <c r="O1281" s="27"/>
      <c r="R1281" s="27"/>
    </row>
    <row r="1282" spans="5:18" ht="21" customHeight="1">
      <c r="E1282" s="27"/>
      <c r="G1282" s="27"/>
      <c r="I1282" s="27"/>
      <c r="K1282" s="27"/>
      <c r="M1282" s="27"/>
      <c r="O1282" s="27"/>
      <c r="R1282" s="27"/>
    </row>
    <row r="1283" spans="5:18" ht="21" customHeight="1">
      <c r="E1283" s="27"/>
      <c r="G1283" s="27"/>
      <c r="I1283" s="27"/>
      <c r="K1283" s="27"/>
      <c r="M1283" s="27"/>
      <c r="O1283" s="27"/>
      <c r="R1283" s="27"/>
    </row>
    <row r="1284" spans="5:18" ht="21" customHeight="1">
      <c r="E1284" s="27"/>
      <c r="G1284" s="27"/>
      <c r="I1284" s="27"/>
      <c r="K1284" s="27"/>
      <c r="M1284" s="27"/>
      <c r="O1284" s="27"/>
      <c r="R1284" s="27"/>
    </row>
    <row r="1285" spans="5:18" ht="21" customHeight="1">
      <c r="E1285" s="27"/>
      <c r="G1285" s="27"/>
      <c r="I1285" s="27"/>
      <c r="K1285" s="27"/>
      <c r="M1285" s="27"/>
      <c r="O1285" s="27"/>
      <c r="R1285" s="27"/>
    </row>
    <row r="1286" spans="5:18" ht="21" customHeight="1">
      <c r="E1286" s="27"/>
      <c r="G1286" s="27"/>
      <c r="I1286" s="27"/>
      <c r="K1286" s="27"/>
      <c r="M1286" s="27"/>
      <c r="O1286" s="27"/>
      <c r="R1286" s="27"/>
    </row>
    <row r="1287" spans="5:18" ht="21" customHeight="1">
      <c r="E1287" s="27"/>
      <c r="G1287" s="27"/>
      <c r="I1287" s="27"/>
      <c r="K1287" s="27"/>
      <c r="M1287" s="27"/>
      <c r="O1287" s="27"/>
      <c r="R1287" s="27"/>
    </row>
    <row r="1288" spans="5:18" ht="21" customHeight="1">
      <c r="E1288" s="27"/>
      <c r="G1288" s="27"/>
      <c r="I1288" s="27"/>
      <c r="K1288" s="27"/>
      <c r="M1288" s="27"/>
      <c r="O1288" s="27"/>
      <c r="R1288" s="27"/>
    </row>
    <row r="1289" spans="5:18" ht="21" customHeight="1">
      <c r="E1289" s="27"/>
      <c r="G1289" s="27"/>
      <c r="I1289" s="27"/>
      <c r="K1289" s="27"/>
      <c r="M1289" s="27"/>
      <c r="O1289" s="27"/>
      <c r="R1289" s="27"/>
    </row>
    <row r="1290" spans="5:18" ht="21" customHeight="1">
      <c r="E1290" s="27"/>
      <c r="G1290" s="27"/>
      <c r="I1290" s="27"/>
      <c r="K1290" s="27"/>
      <c r="M1290" s="27"/>
      <c r="O1290" s="27"/>
      <c r="R1290" s="27"/>
    </row>
    <row r="1291" spans="5:18" ht="21" customHeight="1">
      <c r="E1291" s="27"/>
      <c r="G1291" s="27"/>
      <c r="I1291" s="27"/>
      <c r="K1291" s="27"/>
      <c r="M1291" s="27"/>
      <c r="O1291" s="27"/>
      <c r="R1291" s="27"/>
    </row>
    <row r="1292" spans="5:18" ht="21" customHeight="1">
      <c r="E1292" s="27"/>
      <c r="G1292" s="27"/>
      <c r="I1292" s="27"/>
      <c r="K1292" s="27"/>
      <c r="M1292" s="27"/>
      <c r="O1292" s="27"/>
      <c r="R1292" s="27"/>
    </row>
    <row r="1293" spans="5:18" ht="21" customHeight="1">
      <c r="E1293" s="27"/>
      <c r="G1293" s="27"/>
      <c r="I1293" s="27"/>
      <c r="K1293" s="27"/>
      <c r="M1293" s="27"/>
      <c r="O1293" s="27"/>
      <c r="R1293" s="27"/>
    </row>
    <row r="1294" spans="5:18" ht="21" customHeight="1">
      <c r="E1294" s="27"/>
      <c r="G1294" s="27"/>
      <c r="I1294" s="27"/>
      <c r="K1294" s="27"/>
      <c r="M1294" s="27"/>
      <c r="O1294" s="27"/>
      <c r="R1294" s="27"/>
    </row>
    <row r="1295" spans="5:18" ht="21" customHeight="1">
      <c r="E1295" s="27"/>
      <c r="G1295" s="27"/>
      <c r="I1295" s="27"/>
      <c r="K1295" s="27"/>
      <c r="M1295" s="27"/>
      <c r="O1295" s="27"/>
      <c r="R1295" s="27"/>
    </row>
    <row r="1296" spans="5:18" ht="21" customHeight="1">
      <c r="E1296" s="27"/>
      <c r="G1296" s="27"/>
      <c r="I1296" s="27"/>
      <c r="K1296" s="27"/>
      <c r="M1296" s="27"/>
      <c r="O1296" s="27"/>
      <c r="R1296" s="27"/>
    </row>
    <row r="1297" spans="5:18" ht="21" customHeight="1">
      <c r="E1297" s="27"/>
      <c r="G1297" s="27"/>
      <c r="I1297" s="27"/>
      <c r="K1297" s="27"/>
      <c r="M1297" s="27"/>
      <c r="O1297" s="27"/>
      <c r="R1297" s="27"/>
    </row>
    <row r="1298" spans="5:18" ht="21" customHeight="1">
      <c r="E1298" s="27"/>
      <c r="G1298" s="27"/>
      <c r="I1298" s="27"/>
      <c r="K1298" s="27"/>
      <c r="M1298" s="27"/>
      <c r="O1298" s="27"/>
      <c r="R1298" s="27"/>
    </row>
    <row r="1299" spans="5:18" ht="21" customHeight="1">
      <c r="E1299" s="27"/>
      <c r="G1299" s="27"/>
      <c r="I1299" s="27"/>
      <c r="K1299" s="27"/>
      <c r="M1299" s="27"/>
      <c r="O1299" s="27"/>
      <c r="R1299" s="27"/>
    </row>
    <row r="1300" spans="5:18" ht="21" customHeight="1">
      <c r="E1300" s="27"/>
      <c r="G1300" s="27"/>
      <c r="I1300" s="27"/>
      <c r="K1300" s="27"/>
      <c r="M1300" s="27"/>
      <c r="O1300" s="27"/>
      <c r="R1300" s="27"/>
    </row>
    <row r="1301" spans="5:18" ht="21" customHeight="1">
      <c r="E1301" s="27"/>
      <c r="G1301" s="27"/>
      <c r="I1301" s="27"/>
      <c r="K1301" s="27"/>
      <c r="M1301" s="27"/>
      <c r="O1301" s="27"/>
      <c r="R1301" s="27"/>
    </row>
    <row r="1302" spans="5:18" ht="21" customHeight="1">
      <c r="E1302" s="27"/>
      <c r="G1302" s="27"/>
      <c r="I1302" s="27"/>
      <c r="K1302" s="27"/>
      <c r="M1302" s="27"/>
      <c r="O1302" s="27"/>
      <c r="R1302" s="27"/>
    </row>
    <row r="1303" spans="5:18" ht="21" customHeight="1">
      <c r="E1303" s="27"/>
      <c r="G1303" s="27"/>
      <c r="I1303" s="27"/>
      <c r="K1303" s="27"/>
      <c r="M1303" s="27"/>
      <c r="O1303" s="27"/>
      <c r="R1303" s="27"/>
    </row>
    <row r="1304" spans="5:18" ht="21" customHeight="1">
      <c r="E1304" s="27"/>
      <c r="G1304" s="27"/>
      <c r="I1304" s="27"/>
      <c r="K1304" s="27"/>
      <c r="M1304" s="27"/>
      <c r="O1304" s="27"/>
      <c r="R1304" s="27"/>
    </row>
    <row r="1305" spans="5:18" ht="21" customHeight="1">
      <c r="E1305" s="27"/>
      <c r="G1305" s="27"/>
      <c r="I1305" s="27"/>
      <c r="K1305" s="27"/>
      <c r="M1305" s="27"/>
      <c r="O1305" s="27"/>
      <c r="R1305" s="27"/>
    </row>
    <row r="1306" spans="5:18" ht="21" customHeight="1">
      <c r="E1306" s="27"/>
      <c r="G1306" s="27"/>
      <c r="I1306" s="27"/>
      <c r="K1306" s="27"/>
      <c r="M1306" s="27"/>
      <c r="O1306" s="27"/>
      <c r="R1306" s="27"/>
    </row>
    <row r="1307" spans="5:18" ht="21" customHeight="1">
      <c r="E1307" s="27"/>
      <c r="G1307" s="27"/>
      <c r="I1307" s="27"/>
      <c r="K1307" s="27"/>
      <c r="M1307" s="27"/>
      <c r="O1307" s="27"/>
      <c r="R1307" s="27"/>
    </row>
    <row r="1308" spans="5:18" ht="21" customHeight="1">
      <c r="E1308" s="27"/>
      <c r="G1308" s="27"/>
      <c r="I1308" s="27"/>
      <c r="K1308" s="27"/>
      <c r="M1308" s="27"/>
      <c r="O1308" s="27"/>
      <c r="R1308" s="27"/>
    </row>
    <row r="1309" spans="5:18" ht="21" customHeight="1">
      <c r="E1309" s="27"/>
      <c r="G1309" s="27"/>
      <c r="I1309" s="27"/>
      <c r="K1309" s="27"/>
      <c r="M1309" s="27"/>
      <c r="O1309" s="27"/>
      <c r="R1309" s="27"/>
    </row>
    <row r="1310" spans="5:18" ht="21" customHeight="1">
      <c r="E1310" s="27"/>
      <c r="G1310" s="27"/>
      <c r="I1310" s="27"/>
      <c r="K1310" s="27"/>
      <c r="M1310" s="27"/>
      <c r="O1310" s="27"/>
      <c r="R1310" s="27"/>
    </row>
    <row r="1311" spans="5:18" ht="21" customHeight="1">
      <c r="E1311" s="27"/>
      <c r="G1311" s="27"/>
      <c r="I1311" s="27"/>
      <c r="K1311" s="27"/>
      <c r="M1311" s="27"/>
      <c r="O1311" s="27"/>
      <c r="R1311" s="27"/>
    </row>
    <row r="1312" spans="5:18" ht="21" customHeight="1">
      <c r="E1312" s="27"/>
      <c r="G1312" s="27"/>
      <c r="I1312" s="27"/>
      <c r="K1312" s="27"/>
      <c r="M1312" s="27"/>
      <c r="O1312" s="27"/>
      <c r="R1312" s="27"/>
    </row>
    <row r="1313" spans="5:18" ht="21" customHeight="1">
      <c r="E1313" s="27"/>
      <c r="G1313" s="27"/>
      <c r="I1313" s="27"/>
      <c r="K1313" s="27"/>
      <c r="M1313" s="27"/>
      <c r="O1313" s="27"/>
      <c r="R1313" s="27"/>
    </row>
    <row r="1314" spans="5:18" ht="21" customHeight="1">
      <c r="E1314" s="27"/>
      <c r="G1314" s="27"/>
      <c r="I1314" s="27"/>
      <c r="K1314" s="27"/>
      <c r="M1314" s="27"/>
      <c r="O1314" s="27"/>
      <c r="R1314" s="27"/>
    </row>
    <row r="1315" spans="5:18" ht="21" customHeight="1">
      <c r="E1315" s="27"/>
      <c r="G1315" s="27"/>
      <c r="I1315" s="27"/>
      <c r="K1315" s="27"/>
      <c r="M1315" s="27"/>
      <c r="O1315" s="27"/>
      <c r="R1315" s="27"/>
    </row>
    <row r="1316" spans="5:18" ht="21" customHeight="1">
      <c r="E1316" s="27"/>
      <c r="G1316" s="27"/>
      <c r="I1316" s="27"/>
      <c r="K1316" s="27"/>
      <c r="M1316" s="27"/>
      <c r="O1316" s="27"/>
      <c r="R1316" s="27"/>
    </row>
    <row r="1317" spans="5:18" ht="21" customHeight="1">
      <c r="E1317" s="27"/>
      <c r="G1317" s="27"/>
      <c r="I1317" s="27"/>
      <c r="K1317" s="27"/>
      <c r="M1317" s="27"/>
      <c r="O1317" s="27"/>
      <c r="R1317" s="27"/>
    </row>
    <row r="1318" spans="5:18" ht="21" customHeight="1">
      <c r="E1318" s="27"/>
      <c r="G1318" s="27"/>
      <c r="I1318" s="27"/>
      <c r="K1318" s="27"/>
      <c r="M1318" s="27"/>
      <c r="O1318" s="27"/>
      <c r="R1318" s="27"/>
    </row>
    <row r="1319" spans="5:18" ht="21" customHeight="1">
      <c r="E1319" s="27"/>
      <c r="G1319" s="27"/>
      <c r="I1319" s="27"/>
      <c r="K1319" s="27"/>
      <c r="M1319" s="27"/>
      <c r="O1319" s="27"/>
      <c r="R1319" s="27"/>
    </row>
    <row r="1320" spans="5:18" ht="21" customHeight="1">
      <c r="E1320" s="27"/>
      <c r="G1320" s="27"/>
      <c r="I1320" s="27"/>
      <c r="K1320" s="27"/>
      <c r="M1320" s="27"/>
      <c r="O1320" s="27"/>
      <c r="R1320" s="27"/>
    </row>
    <row r="1321" spans="5:18" ht="21" customHeight="1">
      <c r="E1321" s="27"/>
      <c r="G1321" s="27"/>
      <c r="I1321" s="27"/>
      <c r="K1321" s="27"/>
      <c r="M1321" s="27"/>
      <c r="O1321" s="27"/>
      <c r="R1321" s="27"/>
    </row>
    <row r="1322" spans="5:18" ht="21" customHeight="1">
      <c r="E1322" s="27"/>
      <c r="G1322" s="27"/>
      <c r="I1322" s="27"/>
      <c r="K1322" s="27"/>
      <c r="M1322" s="27"/>
      <c r="O1322" s="27"/>
      <c r="R1322" s="27"/>
    </row>
    <row r="1323" spans="5:18" ht="21" customHeight="1">
      <c r="E1323" s="27"/>
      <c r="G1323" s="27"/>
      <c r="I1323" s="27"/>
      <c r="K1323" s="27"/>
      <c r="M1323" s="27"/>
      <c r="O1323" s="27"/>
      <c r="R1323" s="27"/>
    </row>
    <row r="1324" spans="5:18" ht="21" customHeight="1">
      <c r="E1324" s="27"/>
      <c r="G1324" s="27"/>
      <c r="I1324" s="27"/>
      <c r="K1324" s="27"/>
      <c r="M1324" s="27"/>
      <c r="O1324" s="27"/>
      <c r="R1324" s="27"/>
    </row>
    <row r="1325" spans="5:18" ht="21" customHeight="1">
      <c r="E1325" s="27"/>
      <c r="G1325" s="27"/>
      <c r="I1325" s="27"/>
      <c r="K1325" s="27"/>
      <c r="M1325" s="27"/>
      <c r="O1325" s="27"/>
      <c r="R1325" s="27"/>
    </row>
    <row r="1326" spans="5:18" ht="21" customHeight="1">
      <c r="E1326" s="27"/>
      <c r="G1326" s="27"/>
      <c r="I1326" s="27"/>
      <c r="K1326" s="27"/>
      <c r="M1326" s="27"/>
      <c r="O1326" s="27"/>
      <c r="R1326" s="27"/>
    </row>
    <row r="1327" spans="5:18" ht="21" customHeight="1">
      <c r="E1327" s="27"/>
      <c r="G1327" s="27"/>
      <c r="I1327" s="27"/>
      <c r="K1327" s="27"/>
      <c r="M1327" s="27"/>
      <c r="O1327" s="27"/>
      <c r="R1327" s="27"/>
    </row>
    <row r="1328" spans="5:18" ht="21" customHeight="1">
      <c r="E1328" s="27"/>
      <c r="G1328" s="27"/>
      <c r="I1328" s="27"/>
      <c r="K1328" s="27"/>
      <c r="M1328" s="27"/>
      <c r="O1328" s="27"/>
      <c r="R1328" s="27"/>
    </row>
    <row r="1329" spans="5:18" ht="21" customHeight="1">
      <c r="E1329" s="27"/>
      <c r="G1329" s="27"/>
      <c r="I1329" s="27"/>
      <c r="K1329" s="27"/>
      <c r="M1329" s="27"/>
      <c r="O1329" s="27"/>
      <c r="R1329" s="27"/>
    </row>
    <row r="1330" spans="5:18" ht="21" customHeight="1">
      <c r="E1330" s="27"/>
      <c r="G1330" s="27"/>
      <c r="I1330" s="27"/>
      <c r="K1330" s="27"/>
      <c r="M1330" s="27"/>
      <c r="O1330" s="27"/>
      <c r="R1330" s="27"/>
    </row>
    <row r="1331" spans="5:18" ht="21" customHeight="1">
      <c r="E1331" s="27"/>
      <c r="G1331" s="27"/>
      <c r="I1331" s="27"/>
      <c r="K1331" s="27"/>
      <c r="M1331" s="27"/>
      <c r="O1331" s="27"/>
      <c r="R1331" s="27"/>
    </row>
    <row r="1332" spans="5:18" ht="21" customHeight="1">
      <c r="E1332" s="27"/>
      <c r="G1332" s="27"/>
      <c r="I1332" s="27"/>
      <c r="K1332" s="27"/>
      <c r="M1332" s="27"/>
      <c r="O1332" s="27"/>
      <c r="R1332" s="27"/>
    </row>
    <row r="1333" spans="5:18" ht="21" customHeight="1">
      <c r="E1333" s="27"/>
      <c r="G1333" s="27"/>
      <c r="I1333" s="27"/>
      <c r="K1333" s="27"/>
      <c r="M1333" s="27"/>
      <c r="O1333" s="27"/>
      <c r="R1333" s="27"/>
    </row>
    <row r="1334" spans="5:18" ht="21" customHeight="1">
      <c r="E1334" s="27"/>
      <c r="G1334" s="27"/>
      <c r="I1334" s="27"/>
      <c r="K1334" s="27"/>
      <c r="M1334" s="27"/>
      <c r="O1334" s="27"/>
      <c r="R1334" s="27"/>
    </row>
    <row r="1335" spans="5:18" ht="21" customHeight="1">
      <c r="E1335" s="27"/>
      <c r="G1335" s="27"/>
      <c r="I1335" s="27"/>
      <c r="K1335" s="27"/>
      <c r="M1335" s="27"/>
      <c r="O1335" s="27"/>
      <c r="R1335" s="27"/>
    </row>
    <row r="1336" spans="5:18" ht="21" customHeight="1">
      <c r="E1336" s="27"/>
      <c r="G1336" s="27"/>
      <c r="I1336" s="27"/>
      <c r="K1336" s="27"/>
      <c r="M1336" s="27"/>
      <c r="O1336" s="27"/>
      <c r="R1336" s="27"/>
    </row>
    <row r="1337" spans="5:18" ht="21" customHeight="1">
      <c r="E1337" s="27"/>
      <c r="G1337" s="27"/>
      <c r="I1337" s="27"/>
      <c r="K1337" s="27"/>
      <c r="M1337" s="27"/>
      <c r="O1337" s="27"/>
      <c r="R1337" s="27"/>
    </row>
    <row r="1338" spans="5:18" ht="21" customHeight="1">
      <c r="E1338" s="27"/>
      <c r="G1338" s="27"/>
      <c r="I1338" s="27"/>
      <c r="K1338" s="27"/>
      <c r="M1338" s="27"/>
      <c r="O1338" s="27"/>
      <c r="R1338" s="27"/>
    </row>
    <row r="1339" spans="5:18" ht="21" customHeight="1">
      <c r="E1339" s="27"/>
      <c r="G1339" s="27"/>
      <c r="I1339" s="27"/>
      <c r="K1339" s="27"/>
      <c r="M1339" s="27"/>
      <c r="O1339" s="27"/>
      <c r="R1339" s="27"/>
    </row>
    <row r="1340" spans="5:18" ht="21" customHeight="1">
      <c r="E1340" s="27"/>
      <c r="G1340" s="27"/>
      <c r="I1340" s="27"/>
      <c r="K1340" s="27"/>
      <c r="M1340" s="27"/>
      <c r="O1340" s="27"/>
      <c r="R1340" s="27"/>
    </row>
    <row r="1341" spans="5:18" ht="21" customHeight="1">
      <c r="E1341" s="27"/>
      <c r="G1341" s="27"/>
      <c r="I1341" s="27"/>
      <c r="K1341" s="27"/>
      <c r="M1341" s="27"/>
      <c r="O1341" s="27"/>
      <c r="R1341" s="27"/>
    </row>
    <row r="1342" spans="5:18" ht="21" customHeight="1">
      <c r="E1342" s="27"/>
      <c r="G1342" s="27"/>
      <c r="I1342" s="27"/>
      <c r="K1342" s="27"/>
      <c r="M1342" s="27"/>
      <c r="O1342" s="27"/>
      <c r="R1342" s="27"/>
    </row>
    <row r="1343" spans="5:18" ht="21" customHeight="1">
      <c r="E1343" s="27"/>
      <c r="G1343" s="27"/>
      <c r="I1343" s="27"/>
      <c r="K1343" s="27"/>
      <c r="M1343" s="27"/>
      <c r="O1343" s="27"/>
      <c r="R1343" s="27"/>
    </row>
    <row r="1344" spans="5:18" ht="21" customHeight="1">
      <c r="E1344" s="27"/>
      <c r="G1344" s="27"/>
      <c r="I1344" s="27"/>
      <c r="K1344" s="27"/>
      <c r="M1344" s="27"/>
      <c r="O1344" s="27"/>
      <c r="R1344" s="27"/>
    </row>
    <row r="1345" spans="5:18" ht="21" customHeight="1">
      <c r="E1345" s="27"/>
      <c r="G1345" s="27"/>
      <c r="I1345" s="27"/>
      <c r="K1345" s="27"/>
      <c r="M1345" s="27"/>
      <c r="O1345" s="27"/>
      <c r="R1345" s="27"/>
    </row>
    <row r="1346" spans="5:18" ht="21" customHeight="1">
      <c r="E1346" s="27"/>
      <c r="G1346" s="27"/>
      <c r="I1346" s="27"/>
      <c r="K1346" s="27"/>
      <c r="M1346" s="27"/>
      <c r="O1346" s="27"/>
      <c r="R1346" s="27"/>
    </row>
    <row r="1347" spans="5:18" ht="21" customHeight="1">
      <c r="E1347" s="27"/>
      <c r="G1347" s="27"/>
      <c r="I1347" s="27"/>
      <c r="K1347" s="27"/>
      <c r="M1347" s="27"/>
      <c r="O1347" s="27"/>
      <c r="R1347" s="27"/>
    </row>
    <row r="1348" spans="5:18" ht="21" customHeight="1">
      <c r="E1348" s="27"/>
      <c r="G1348" s="27"/>
      <c r="I1348" s="27"/>
      <c r="K1348" s="27"/>
      <c r="M1348" s="27"/>
      <c r="O1348" s="27"/>
      <c r="R1348" s="27"/>
    </row>
    <row r="1349" spans="5:18" ht="21" customHeight="1">
      <c r="E1349" s="27"/>
      <c r="G1349" s="27"/>
      <c r="I1349" s="27"/>
      <c r="K1349" s="27"/>
      <c r="M1349" s="27"/>
      <c r="O1349" s="27"/>
      <c r="R1349" s="27"/>
    </row>
    <row r="1350" spans="5:18" ht="21" customHeight="1">
      <c r="E1350" s="27"/>
      <c r="G1350" s="27"/>
      <c r="I1350" s="27"/>
      <c r="K1350" s="27"/>
      <c r="M1350" s="27"/>
      <c r="O1350" s="27"/>
      <c r="R1350" s="27"/>
    </row>
    <row r="1351" spans="5:18" ht="21" customHeight="1">
      <c r="E1351" s="27"/>
      <c r="G1351" s="27"/>
      <c r="I1351" s="27"/>
      <c r="K1351" s="27"/>
      <c r="M1351" s="27"/>
      <c r="O1351" s="27"/>
      <c r="R1351" s="27"/>
    </row>
    <row r="1352" spans="5:18" ht="21" customHeight="1">
      <c r="E1352" s="27"/>
      <c r="G1352" s="27"/>
      <c r="I1352" s="27"/>
      <c r="K1352" s="27"/>
      <c r="M1352" s="27"/>
      <c r="O1352" s="27"/>
      <c r="R1352" s="27"/>
    </row>
    <row r="1353" spans="5:18" ht="21" customHeight="1">
      <c r="E1353" s="27"/>
      <c r="G1353" s="27"/>
      <c r="I1353" s="27"/>
      <c r="K1353" s="27"/>
      <c r="M1353" s="27"/>
      <c r="O1353" s="27"/>
      <c r="R1353" s="27"/>
    </row>
    <row r="1354" spans="5:18" ht="21" customHeight="1">
      <c r="E1354" s="27"/>
      <c r="G1354" s="27"/>
      <c r="I1354" s="27"/>
      <c r="K1354" s="27"/>
      <c r="M1354" s="27"/>
      <c r="O1354" s="27"/>
      <c r="R1354" s="27"/>
    </row>
    <row r="1355" spans="5:18" ht="21" customHeight="1">
      <c r="E1355" s="27"/>
      <c r="G1355" s="27"/>
      <c r="I1355" s="27"/>
      <c r="K1355" s="27"/>
      <c r="M1355" s="27"/>
      <c r="O1355" s="27"/>
      <c r="R1355" s="27"/>
    </row>
    <row r="1356" spans="5:18" ht="21" customHeight="1">
      <c r="E1356" s="27"/>
      <c r="G1356" s="27"/>
      <c r="I1356" s="27"/>
      <c r="K1356" s="27"/>
      <c r="M1356" s="27"/>
      <c r="O1356" s="27"/>
      <c r="R1356" s="27"/>
    </row>
    <row r="1357" spans="5:18" ht="21" customHeight="1">
      <c r="E1357" s="27"/>
      <c r="G1357" s="27"/>
      <c r="I1357" s="27"/>
      <c r="K1357" s="27"/>
      <c r="M1357" s="27"/>
      <c r="O1357" s="27"/>
      <c r="R1357" s="27"/>
    </row>
    <row r="1358" spans="5:18" ht="21" customHeight="1">
      <c r="E1358" s="27"/>
      <c r="G1358" s="27"/>
      <c r="I1358" s="27"/>
      <c r="K1358" s="27"/>
      <c r="M1358" s="27"/>
      <c r="O1358" s="27"/>
      <c r="R1358" s="27"/>
    </row>
    <row r="1359" spans="5:18" ht="21" customHeight="1">
      <c r="E1359" s="27"/>
      <c r="G1359" s="27"/>
      <c r="I1359" s="27"/>
      <c r="K1359" s="27"/>
      <c r="M1359" s="27"/>
      <c r="O1359" s="27"/>
      <c r="R1359" s="27"/>
    </row>
    <row r="1360" spans="5:18" ht="21" customHeight="1">
      <c r="E1360" s="27"/>
      <c r="G1360" s="27"/>
      <c r="I1360" s="27"/>
      <c r="K1360" s="27"/>
      <c r="M1360" s="27"/>
      <c r="O1360" s="27"/>
      <c r="R1360" s="27"/>
    </row>
    <row r="1361" spans="5:18" ht="21" customHeight="1">
      <c r="E1361" s="27"/>
      <c r="G1361" s="27"/>
      <c r="I1361" s="27"/>
      <c r="K1361" s="27"/>
      <c r="M1361" s="27"/>
      <c r="O1361" s="27"/>
      <c r="R1361" s="27"/>
    </row>
    <row r="1362" spans="5:18" ht="21" customHeight="1">
      <c r="E1362" s="27"/>
      <c r="G1362" s="27"/>
      <c r="I1362" s="27"/>
      <c r="K1362" s="27"/>
      <c r="M1362" s="27"/>
      <c r="O1362" s="27"/>
      <c r="R1362" s="27"/>
    </row>
    <row r="1363" spans="5:18" ht="21" customHeight="1">
      <c r="E1363" s="27"/>
      <c r="G1363" s="27"/>
      <c r="I1363" s="27"/>
      <c r="K1363" s="27"/>
      <c r="M1363" s="27"/>
      <c r="O1363" s="27"/>
      <c r="R1363" s="27"/>
    </row>
    <row r="1364" spans="5:18" ht="21" customHeight="1">
      <c r="E1364" s="27"/>
      <c r="G1364" s="27"/>
      <c r="I1364" s="27"/>
      <c r="K1364" s="27"/>
      <c r="M1364" s="27"/>
      <c r="O1364" s="27"/>
      <c r="R1364" s="27"/>
    </row>
    <row r="1365" spans="5:18" ht="21" customHeight="1">
      <c r="E1365" s="27"/>
      <c r="G1365" s="27"/>
      <c r="I1365" s="27"/>
      <c r="K1365" s="27"/>
      <c r="M1365" s="27"/>
      <c r="O1365" s="27"/>
      <c r="R1365" s="27"/>
    </row>
    <row r="1366" spans="5:18" ht="21" customHeight="1">
      <c r="E1366" s="27"/>
      <c r="G1366" s="27"/>
      <c r="I1366" s="27"/>
      <c r="K1366" s="27"/>
      <c r="M1366" s="27"/>
      <c r="O1366" s="27"/>
      <c r="R1366" s="27"/>
    </row>
    <row r="1367" spans="5:18" ht="21" customHeight="1">
      <c r="E1367" s="27"/>
      <c r="G1367" s="27"/>
      <c r="I1367" s="27"/>
      <c r="K1367" s="27"/>
      <c r="M1367" s="27"/>
      <c r="O1367" s="27"/>
      <c r="R1367" s="27"/>
    </row>
    <row r="1368" spans="5:18" ht="21" customHeight="1">
      <c r="E1368" s="27"/>
      <c r="G1368" s="27"/>
      <c r="I1368" s="27"/>
      <c r="K1368" s="27"/>
      <c r="M1368" s="27"/>
      <c r="O1368" s="27"/>
      <c r="R1368" s="27"/>
    </row>
    <row r="1369" spans="5:18" ht="21" customHeight="1">
      <c r="E1369" s="27"/>
      <c r="G1369" s="27"/>
      <c r="I1369" s="27"/>
      <c r="K1369" s="27"/>
      <c r="M1369" s="27"/>
      <c r="O1369" s="27"/>
      <c r="R1369" s="27"/>
    </row>
    <row r="1370" spans="5:18" ht="21" customHeight="1">
      <c r="E1370" s="27"/>
      <c r="G1370" s="27"/>
      <c r="I1370" s="27"/>
      <c r="K1370" s="27"/>
      <c r="M1370" s="27"/>
      <c r="O1370" s="27"/>
      <c r="R1370" s="27"/>
    </row>
    <row r="1371" spans="5:18" ht="21" customHeight="1">
      <c r="E1371" s="27"/>
      <c r="G1371" s="27"/>
      <c r="I1371" s="27"/>
      <c r="K1371" s="27"/>
      <c r="M1371" s="27"/>
      <c r="O1371" s="27"/>
      <c r="R1371" s="27"/>
    </row>
    <row r="1372" spans="5:18" ht="21" customHeight="1">
      <c r="E1372" s="27"/>
      <c r="G1372" s="27"/>
      <c r="I1372" s="27"/>
      <c r="K1372" s="27"/>
      <c r="M1372" s="27"/>
      <c r="O1372" s="27"/>
      <c r="R1372" s="27"/>
    </row>
    <row r="1373" spans="5:18" ht="21" customHeight="1">
      <c r="E1373" s="27"/>
      <c r="G1373" s="27"/>
      <c r="I1373" s="27"/>
      <c r="K1373" s="27"/>
      <c r="M1373" s="27"/>
      <c r="O1373" s="27"/>
      <c r="R1373" s="27"/>
    </row>
    <row r="1374" spans="5:18" ht="21" customHeight="1">
      <c r="E1374" s="27"/>
      <c r="G1374" s="27"/>
      <c r="I1374" s="27"/>
      <c r="K1374" s="27"/>
      <c r="M1374" s="27"/>
      <c r="O1374" s="27"/>
      <c r="R1374" s="27"/>
    </row>
    <row r="1375" spans="5:18" ht="21" customHeight="1">
      <c r="E1375" s="27"/>
      <c r="G1375" s="27"/>
      <c r="I1375" s="27"/>
      <c r="K1375" s="27"/>
      <c r="M1375" s="27"/>
      <c r="O1375" s="27"/>
      <c r="R1375" s="27"/>
    </row>
    <row r="1376" spans="5:18" ht="21" customHeight="1">
      <c r="E1376" s="27"/>
      <c r="G1376" s="27"/>
      <c r="I1376" s="27"/>
      <c r="K1376" s="27"/>
      <c r="M1376" s="27"/>
      <c r="O1376" s="27"/>
      <c r="R1376" s="27"/>
    </row>
    <row r="1377" spans="5:18" ht="21" customHeight="1">
      <c r="E1377" s="27"/>
      <c r="G1377" s="27"/>
      <c r="I1377" s="27"/>
      <c r="K1377" s="27"/>
      <c r="M1377" s="27"/>
      <c r="O1377" s="27"/>
      <c r="R1377" s="27"/>
    </row>
    <row r="1378" spans="5:18" ht="21" customHeight="1">
      <c r="E1378" s="27"/>
      <c r="G1378" s="27"/>
      <c r="I1378" s="27"/>
      <c r="K1378" s="27"/>
      <c r="M1378" s="27"/>
      <c r="O1378" s="27"/>
      <c r="R1378" s="27"/>
    </row>
    <row r="1379" spans="5:18" ht="21" customHeight="1">
      <c r="E1379" s="27"/>
      <c r="G1379" s="27"/>
      <c r="I1379" s="27"/>
      <c r="K1379" s="27"/>
      <c r="M1379" s="27"/>
      <c r="O1379" s="27"/>
      <c r="R1379" s="27"/>
    </row>
    <row r="1380" spans="5:18" ht="21" customHeight="1">
      <c r="E1380" s="27"/>
      <c r="G1380" s="27"/>
      <c r="I1380" s="27"/>
      <c r="K1380" s="27"/>
      <c r="M1380" s="27"/>
      <c r="O1380" s="27"/>
      <c r="R1380" s="27"/>
    </row>
    <row r="1381" spans="5:18" ht="21" customHeight="1">
      <c r="E1381" s="27"/>
      <c r="G1381" s="27"/>
      <c r="I1381" s="27"/>
      <c r="K1381" s="27"/>
      <c r="M1381" s="27"/>
      <c r="O1381" s="27"/>
      <c r="R1381" s="27"/>
    </row>
    <row r="1382" spans="5:18" ht="21" customHeight="1">
      <c r="E1382" s="27"/>
      <c r="G1382" s="27"/>
      <c r="I1382" s="27"/>
      <c r="K1382" s="27"/>
      <c r="M1382" s="27"/>
      <c r="O1382" s="27"/>
      <c r="R1382" s="27"/>
    </row>
    <row r="1383" spans="5:18" ht="21" customHeight="1">
      <c r="E1383" s="27"/>
      <c r="G1383" s="27"/>
      <c r="I1383" s="27"/>
      <c r="K1383" s="27"/>
      <c r="M1383" s="27"/>
      <c r="O1383" s="27"/>
      <c r="R1383" s="27"/>
    </row>
    <row r="1384" spans="5:18" ht="21" customHeight="1">
      <c r="E1384" s="27"/>
      <c r="G1384" s="27"/>
      <c r="I1384" s="27"/>
      <c r="K1384" s="27"/>
      <c r="M1384" s="27"/>
      <c r="O1384" s="27"/>
      <c r="R1384" s="27"/>
    </row>
    <row r="1385" spans="5:18" ht="21" customHeight="1">
      <c r="E1385" s="27"/>
      <c r="G1385" s="27"/>
      <c r="I1385" s="27"/>
      <c r="K1385" s="27"/>
      <c r="M1385" s="27"/>
      <c r="O1385" s="27"/>
      <c r="R1385" s="27"/>
    </row>
    <row r="1386" spans="5:18" ht="21" customHeight="1">
      <c r="E1386" s="27"/>
      <c r="G1386" s="27"/>
      <c r="I1386" s="27"/>
      <c r="K1386" s="27"/>
      <c r="M1386" s="27"/>
      <c r="O1386" s="27"/>
      <c r="R1386" s="27"/>
    </row>
    <row r="1387" spans="5:18" ht="21" customHeight="1">
      <c r="E1387" s="27"/>
      <c r="G1387" s="27"/>
      <c r="I1387" s="27"/>
      <c r="K1387" s="27"/>
      <c r="M1387" s="27"/>
      <c r="O1387" s="27"/>
      <c r="R1387" s="27"/>
    </row>
    <row r="1388" spans="5:18" ht="21" customHeight="1">
      <c r="E1388" s="27"/>
      <c r="G1388" s="27"/>
      <c r="I1388" s="27"/>
      <c r="K1388" s="27"/>
      <c r="M1388" s="27"/>
      <c r="O1388" s="27"/>
      <c r="R1388" s="27"/>
    </row>
    <row r="1389" spans="5:18" ht="21" customHeight="1">
      <c r="E1389" s="27"/>
      <c r="G1389" s="27"/>
      <c r="I1389" s="27"/>
      <c r="K1389" s="27"/>
      <c r="M1389" s="27"/>
      <c r="O1389" s="27"/>
      <c r="R1389" s="27"/>
    </row>
    <row r="1390" spans="5:18" ht="21" customHeight="1">
      <c r="E1390" s="27"/>
      <c r="G1390" s="27"/>
      <c r="I1390" s="27"/>
      <c r="K1390" s="27"/>
      <c r="M1390" s="27"/>
      <c r="O1390" s="27"/>
      <c r="R1390" s="27"/>
    </row>
    <row r="1391" spans="5:18" ht="21" customHeight="1">
      <c r="E1391" s="27"/>
      <c r="G1391" s="27"/>
      <c r="I1391" s="27"/>
      <c r="K1391" s="27"/>
      <c r="M1391" s="27"/>
      <c r="O1391" s="27"/>
      <c r="R1391" s="27"/>
    </row>
    <row r="1392" spans="5:18" ht="21" customHeight="1">
      <c r="E1392" s="27"/>
      <c r="G1392" s="27"/>
      <c r="I1392" s="27"/>
      <c r="K1392" s="27"/>
      <c r="M1392" s="27"/>
      <c r="O1392" s="27"/>
      <c r="R1392" s="27"/>
    </row>
    <row r="1393" spans="5:18" ht="21" customHeight="1">
      <c r="E1393" s="27"/>
      <c r="G1393" s="27"/>
      <c r="I1393" s="27"/>
      <c r="K1393" s="27"/>
      <c r="M1393" s="27"/>
      <c r="O1393" s="27"/>
      <c r="R1393" s="27"/>
    </row>
    <row r="1394" spans="5:18" ht="21" customHeight="1">
      <c r="E1394" s="27"/>
      <c r="G1394" s="27"/>
      <c r="I1394" s="27"/>
      <c r="K1394" s="27"/>
      <c r="M1394" s="27"/>
      <c r="O1394" s="27"/>
      <c r="R1394" s="27"/>
    </row>
    <row r="1395" spans="5:18" ht="21" customHeight="1">
      <c r="E1395" s="27"/>
      <c r="G1395" s="27"/>
      <c r="I1395" s="27"/>
      <c r="K1395" s="27"/>
      <c r="M1395" s="27"/>
      <c r="O1395" s="27"/>
      <c r="R1395" s="27"/>
    </row>
    <row r="1396" spans="5:18" ht="21" customHeight="1">
      <c r="E1396" s="27"/>
      <c r="G1396" s="27"/>
      <c r="I1396" s="27"/>
      <c r="K1396" s="27"/>
      <c r="M1396" s="27"/>
      <c r="O1396" s="27"/>
      <c r="R1396" s="27"/>
    </row>
    <row r="1397" spans="5:18" ht="21" customHeight="1">
      <c r="E1397" s="27"/>
      <c r="G1397" s="27"/>
      <c r="I1397" s="27"/>
      <c r="K1397" s="27"/>
      <c r="M1397" s="27"/>
      <c r="O1397" s="27"/>
      <c r="R1397" s="27"/>
    </row>
    <row r="1398" spans="5:18" ht="21" customHeight="1">
      <c r="E1398" s="27"/>
      <c r="G1398" s="27"/>
      <c r="I1398" s="27"/>
      <c r="K1398" s="27"/>
      <c r="M1398" s="27"/>
      <c r="O1398" s="27"/>
      <c r="R1398" s="27"/>
    </row>
    <row r="1399" spans="5:18" ht="21" customHeight="1">
      <c r="E1399" s="27"/>
      <c r="G1399" s="27"/>
      <c r="I1399" s="27"/>
      <c r="K1399" s="27"/>
      <c r="M1399" s="27"/>
      <c r="O1399" s="27"/>
      <c r="R1399" s="27"/>
    </row>
    <row r="1400" spans="5:18" ht="21" customHeight="1">
      <c r="E1400" s="27"/>
      <c r="G1400" s="27"/>
      <c r="I1400" s="27"/>
      <c r="K1400" s="27"/>
      <c r="M1400" s="27"/>
      <c r="O1400" s="27"/>
      <c r="R1400" s="27"/>
    </row>
    <row r="1401" spans="5:18" ht="21" customHeight="1">
      <c r="E1401" s="27"/>
      <c r="G1401" s="27"/>
      <c r="I1401" s="27"/>
      <c r="K1401" s="27"/>
      <c r="M1401" s="27"/>
      <c r="O1401" s="27"/>
      <c r="R1401" s="27"/>
    </row>
    <row r="1402" spans="5:18" ht="21" customHeight="1">
      <c r="E1402" s="27"/>
      <c r="G1402" s="27"/>
      <c r="I1402" s="27"/>
      <c r="K1402" s="27"/>
      <c r="M1402" s="27"/>
      <c r="O1402" s="27"/>
      <c r="R1402" s="27"/>
    </row>
    <row r="1403" spans="5:18" ht="21" customHeight="1">
      <c r="E1403" s="27"/>
      <c r="G1403" s="27"/>
      <c r="I1403" s="27"/>
      <c r="K1403" s="27"/>
      <c r="M1403" s="27"/>
      <c r="O1403" s="27"/>
      <c r="R1403" s="27"/>
    </row>
    <row r="1404" spans="5:18" ht="21" customHeight="1">
      <c r="E1404" s="27"/>
      <c r="G1404" s="27"/>
      <c r="I1404" s="27"/>
      <c r="K1404" s="27"/>
      <c r="M1404" s="27"/>
      <c r="O1404" s="27"/>
      <c r="R1404" s="27"/>
    </row>
    <row r="1405" spans="5:18" ht="21" customHeight="1">
      <c r="E1405" s="27"/>
      <c r="G1405" s="27"/>
      <c r="I1405" s="27"/>
      <c r="K1405" s="27"/>
      <c r="M1405" s="27"/>
      <c r="O1405" s="27"/>
      <c r="R1405" s="27"/>
    </row>
    <row r="1406" spans="5:18" ht="21" customHeight="1">
      <c r="E1406" s="27"/>
      <c r="G1406" s="27"/>
      <c r="I1406" s="27"/>
      <c r="K1406" s="27"/>
      <c r="M1406" s="27"/>
      <c r="O1406" s="27"/>
      <c r="R1406" s="27"/>
    </row>
    <row r="1407" spans="5:18" ht="21" customHeight="1">
      <c r="E1407" s="27"/>
      <c r="G1407" s="27"/>
      <c r="I1407" s="27"/>
      <c r="K1407" s="27"/>
      <c r="M1407" s="27"/>
      <c r="O1407" s="27"/>
      <c r="R1407" s="27"/>
    </row>
    <row r="1408" spans="5:18" ht="21" customHeight="1">
      <c r="E1408" s="27"/>
      <c r="G1408" s="27"/>
      <c r="I1408" s="27"/>
      <c r="K1408" s="27"/>
      <c r="M1408" s="27"/>
      <c r="O1408" s="27"/>
      <c r="R1408" s="27"/>
    </row>
    <row r="1409" spans="5:18" ht="21" customHeight="1">
      <c r="E1409" s="27"/>
      <c r="G1409" s="27"/>
      <c r="I1409" s="27"/>
      <c r="K1409" s="27"/>
      <c r="M1409" s="27"/>
      <c r="O1409" s="27"/>
      <c r="R1409" s="27"/>
    </row>
    <row r="1410" spans="5:18" ht="21" customHeight="1">
      <c r="E1410" s="27"/>
      <c r="G1410" s="27"/>
      <c r="I1410" s="27"/>
      <c r="K1410" s="27"/>
      <c r="M1410" s="27"/>
      <c r="O1410" s="27"/>
      <c r="R1410" s="27"/>
    </row>
    <row r="1411" spans="5:18" ht="21" customHeight="1">
      <c r="E1411" s="27"/>
      <c r="G1411" s="27"/>
      <c r="I1411" s="27"/>
      <c r="K1411" s="27"/>
      <c r="M1411" s="27"/>
      <c r="O1411" s="27"/>
      <c r="R1411" s="27"/>
    </row>
    <row r="1412" spans="5:18" ht="21" customHeight="1">
      <c r="E1412" s="27"/>
      <c r="G1412" s="27"/>
      <c r="I1412" s="27"/>
      <c r="K1412" s="27"/>
      <c r="M1412" s="27"/>
      <c r="O1412" s="27"/>
      <c r="R1412" s="27"/>
    </row>
    <row r="1413" spans="5:18" ht="21" customHeight="1">
      <c r="E1413" s="27"/>
      <c r="G1413" s="27"/>
      <c r="I1413" s="27"/>
      <c r="K1413" s="27"/>
      <c r="M1413" s="27"/>
      <c r="O1413" s="27"/>
      <c r="R1413" s="27"/>
    </row>
    <row r="1414" spans="5:18" ht="21" customHeight="1">
      <c r="E1414" s="27"/>
      <c r="G1414" s="27"/>
      <c r="I1414" s="27"/>
      <c r="K1414" s="27"/>
      <c r="M1414" s="27"/>
      <c r="O1414" s="27"/>
      <c r="R1414" s="27"/>
    </row>
    <row r="1415" spans="5:18" ht="21" customHeight="1">
      <c r="E1415" s="27"/>
      <c r="G1415" s="27"/>
      <c r="I1415" s="27"/>
      <c r="K1415" s="27"/>
      <c r="M1415" s="27"/>
      <c r="O1415" s="27"/>
      <c r="R1415" s="27"/>
    </row>
    <row r="1416" spans="5:18" ht="21" customHeight="1">
      <c r="E1416" s="27"/>
      <c r="G1416" s="27"/>
      <c r="I1416" s="27"/>
      <c r="K1416" s="27"/>
      <c r="M1416" s="27"/>
      <c r="O1416" s="27"/>
      <c r="R1416" s="27"/>
    </row>
    <row r="1417" spans="5:18" ht="21" customHeight="1">
      <c r="E1417" s="27"/>
      <c r="G1417" s="27"/>
      <c r="I1417" s="27"/>
      <c r="K1417" s="27"/>
      <c r="M1417" s="27"/>
      <c r="O1417" s="27"/>
      <c r="R1417" s="27"/>
    </row>
    <row r="1418" spans="5:18" ht="21" customHeight="1">
      <c r="E1418" s="27"/>
      <c r="G1418" s="27"/>
      <c r="I1418" s="27"/>
      <c r="K1418" s="27"/>
      <c r="M1418" s="27"/>
      <c r="O1418" s="27"/>
      <c r="R1418" s="27"/>
    </row>
    <row r="1419" spans="5:18" ht="21" customHeight="1">
      <c r="E1419" s="27"/>
      <c r="G1419" s="27"/>
      <c r="I1419" s="27"/>
      <c r="K1419" s="27"/>
      <c r="M1419" s="27"/>
      <c r="O1419" s="27"/>
      <c r="R1419" s="27"/>
    </row>
    <row r="1420" spans="5:18" ht="21" customHeight="1">
      <c r="E1420" s="27"/>
      <c r="G1420" s="27"/>
      <c r="I1420" s="27"/>
      <c r="K1420" s="27"/>
      <c r="M1420" s="27"/>
      <c r="O1420" s="27"/>
      <c r="R1420" s="27"/>
    </row>
    <row r="1421" spans="5:18" ht="21" customHeight="1">
      <c r="E1421" s="27"/>
      <c r="G1421" s="27"/>
      <c r="I1421" s="27"/>
      <c r="K1421" s="27"/>
      <c r="M1421" s="27"/>
      <c r="O1421" s="27"/>
      <c r="R1421" s="27"/>
    </row>
    <row r="1422" spans="5:18" ht="21" customHeight="1">
      <c r="E1422" s="27"/>
      <c r="G1422" s="27"/>
      <c r="I1422" s="27"/>
      <c r="K1422" s="27"/>
      <c r="M1422" s="27"/>
      <c r="O1422" s="27"/>
      <c r="R1422" s="27"/>
    </row>
    <row r="1423" spans="5:18" ht="21" customHeight="1">
      <c r="E1423" s="27"/>
      <c r="G1423" s="27"/>
      <c r="I1423" s="27"/>
      <c r="K1423" s="27"/>
      <c r="M1423" s="27"/>
      <c r="O1423" s="27"/>
      <c r="R1423" s="27"/>
    </row>
    <row r="1424" spans="5:18" ht="21" customHeight="1">
      <c r="E1424" s="27"/>
      <c r="G1424" s="27"/>
      <c r="I1424" s="27"/>
      <c r="K1424" s="27"/>
      <c r="M1424" s="27"/>
      <c r="O1424" s="27"/>
      <c r="R1424" s="27"/>
    </row>
    <row r="1425" spans="5:18" ht="21" customHeight="1">
      <c r="E1425" s="27"/>
      <c r="G1425" s="27"/>
      <c r="I1425" s="27"/>
      <c r="K1425" s="27"/>
      <c r="M1425" s="27"/>
      <c r="O1425" s="27"/>
      <c r="R1425" s="27"/>
    </row>
    <row r="1426" spans="5:18" ht="21" customHeight="1">
      <c r="E1426" s="27"/>
      <c r="G1426" s="27"/>
      <c r="I1426" s="27"/>
      <c r="K1426" s="27"/>
      <c r="M1426" s="27"/>
      <c r="O1426" s="27"/>
      <c r="R1426" s="27"/>
    </row>
    <row r="1427" spans="5:18" ht="21" customHeight="1">
      <c r="E1427" s="27"/>
      <c r="G1427" s="27"/>
      <c r="I1427" s="27"/>
      <c r="K1427" s="27"/>
      <c r="M1427" s="27"/>
      <c r="O1427" s="27"/>
      <c r="R1427" s="27"/>
    </row>
    <row r="1428" spans="5:18" ht="21" customHeight="1">
      <c r="E1428" s="27"/>
      <c r="G1428" s="27"/>
      <c r="I1428" s="27"/>
      <c r="K1428" s="27"/>
      <c r="M1428" s="27"/>
      <c r="O1428" s="27"/>
      <c r="R1428" s="27"/>
    </row>
    <row r="1429" spans="5:18" ht="21" customHeight="1">
      <c r="E1429" s="27"/>
      <c r="G1429" s="27"/>
      <c r="I1429" s="27"/>
      <c r="K1429" s="27"/>
      <c r="M1429" s="27"/>
      <c r="O1429" s="27"/>
      <c r="R1429" s="27"/>
    </row>
    <row r="1430" spans="5:18" ht="21" customHeight="1">
      <c r="E1430" s="27"/>
      <c r="G1430" s="27"/>
      <c r="I1430" s="27"/>
      <c r="K1430" s="27"/>
      <c r="M1430" s="27"/>
      <c r="O1430" s="27"/>
      <c r="R1430" s="27"/>
    </row>
    <row r="1431" spans="5:18" ht="21" customHeight="1">
      <c r="E1431" s="27"/>
      <c r="G1431" s="27"/>
      <c r="I1431" s="27"/>
      <c r="K1431" s="27"/>
      <c r="M1431" s="27"/>
      <c r="O1431" s="27"/>
      <c r="R1431" s="27"/>
    </row>
    <row r="1432" spans="5:18" ht="21" customHeight="1">
      <c r="E1432" s="27"/>
      <c r="G1432" s="27"/>
      <c r="I1432" s="27"/>
      <c r="K1432" s="27"/>
      <c r="M1432" s="27"/>
      <c r="O1432" s="27"/>
      <c r="R1432" s="27"/>
    </row>
    <row r="1433" spans="5:18" ht="21" customHeight="1">
      <c r="E1433" s="27"/>
      <c r="G1433" s="27"/>
      <c r="I1433" s="27"/>
      <c r="K1433" s="27"/>
      <c r="M1433" s="27"/>
      <c r="O1433" s="27"/>
      <c r="R1433" s="27"/>
    </row>
    <row r="1434" spans="5:18" ht="21" customHeight="1">
      <c r="E1434" s="27"/>
      <c r="G1434" s="27"/>
      <c r="I1434" s="27"/>
      <c r="K1434" s="27"/>
      <c r="M1434" s="27"/>
      <c r="O1434" s="27"/>
      <c r="R1434" s="27"/>
    </row>
    <row r="1435" spans="5:18" ht="21" customHeight="1">
      <c r="E1435" s="27"/>
      <c r="G1435" s="27"/>
      <c r="I1435" s="27"/>
      <c r="K1435" s="27"/>
      <c r="M1435" s="27"/>
      <c r="O1435" s="27"/>
      <c r="R1435" s="27"/>
    </row>
    <row r="1436" spans="5:18" ht="21" customHeight="1">
      <c r="E1436" s="27"/>
      <c r="G1436" s="27"/>
      <c r="I1436" s="27"/>
      <c r="K1436" s="27"/>
      <c r="M1436" s="27"/>
      <c r="O1436" s="27"/>
      <c r="R1436" s="27"/>
    </row>
    <row r="1437" spans="5:18" ht="21" customHeight="1">
      <c r="E1437" s="27"/>
      <c r="G1437" s="27"/>
      <c r="I1437" s="27"/>
      <c r="K1437" s="27"/>
      <c r="M1437" s="27"/>
      <c r="O1437" s="27"/>
      <c r="R1437" s="27"/>
    </row>
    <row r="1438" spans="5:18" ht="21" customHeight="1">
      <c r="E1438" s="27"/>
      <c r="G1438" s="27"/>
      <c r="I1438" s="27"/>
      <c r="K1438" s="27"/>
      <c r="M1438" s="27"/>
      <c r="O1438" s="27"/>
      <c r="R1438" s="27"/>
    </row>
    <row r="1439" spans="5:18" ht="21" customHeight="1">
      <c r="E1439" s="27"/>
      <c r="G1439" s="27"/>
      <c r="I1439" s="27"/>
      <c r="K1439" s="27"/>
      <c r="M1439" s="27"/>
      <c r="O1439" s="27"/>
      <c r="R1439" s="27"/>
    </row>
    <row r="1440" spans="5:18" ht="21" customHeight="1">
      <c r="E1440" s="27"/>
      <c r="G1440" s="27"/>
      <c r="I1440" s="27"/>
      <c r="K1440" s="27"/>
      <c r="M1440" s="27"/>
      <c r="O1440" s="27"/>
      <c r="R1440" s="27"/>
    </row>
    <row r="1441" spans="5:18" ht="21" customHeight="1">
      <c r="E1441" s="27"/>
      <c r="G1441" s="27"/>
      <c r="I1441" s="27"/>
      <c r="K1441" s="27"/>
      <c r="M1441" s="27"/>
      <c r="O1441" s="27"/>
      <c r="R1441" s="27"/>
    </row>
    <row r="1442" spans="5:18" ht="21" customHeight="1">
      <c r="E1442" s="27"/>
      <c r="G1442" s="27"/>
      <c r="I1442" s="27"/>
      <c r="K1442" s="27"/>
      <c r="M1442" s="27"/>
      <c r="O1442" s="27"/>
      <c r="R1442" s="27"/>
    </row>
    <row r="1443" spans="5:18" ht="21" customHeight="1">
      <c r="E1443" s="27"/>
      <c r="G1443" s="27"/>
      <c r="I1443" s="27"/>
      <c r="K1443" s="27"/>
      <c r="M1443" s="27"/>
      <c r="O1443" s="27"/>
      <c r="R1443" s="27"/>
    </row>
    <row r="1444" spans="5:18" ht="21" customHeight="1">
      <c r="E1444" s="27"/>
      <c r="G1444" s="27"/>
      <c r="I1444" s="27"/>
      <c r="K1444" s="27"/>
      <c r="M1444" s="27"/>
      <c r="O1444" s="27"/>
      <c r="R1444" s="27"/>
    </row>
    <row r="1445" spans="5:18" ht="21" customHeight="1">
      <c r="E1445" s="27"/>
      <c r="G1445" s="27"/>
      <c r="I1445" s="27"/>
      <c r="K1445" s="27"/>
      <c r="M1445" s="27"/>
      <c r="O1445" s="27"/>
      <c r="R1445" s="27"/>
    </row>
    <row r="1446" spans="5:18" ht="21" customHeight="1">
      <c r="E1446" s="27"/>
      <c r="G1446" s="27"/>
      <c r="I1446" s="27"/>
      <c r="K1446" s="27"/>
      <c r="M1446" s="27"/>
      <c r="O1446" s="27"/>
      <c r="R1446" s="27"/>
    </row>
    <row r="1447" spans="5:18" ht="21" customHeight="1">
      <c r="E1447" s="27"/>
      <c r="G1447" s="27"/>
      <c r="I1447" s="27"/>
      <c r="K1447" s="27"/>
      <c r="M1447" s="27"/>
      <c r="O1447" s="27"/>
      <c r="R1447" s="27"/>
    </row>
    <row r="1448" spans="5:18" ht="21" customHeight="1">
      <c r="E1448" s="27"/>
      <c r="G1448" s="27"/>
      <c r="I1448" s="27"/>
      <c r="K1448" s="27"/>
      <c r="M1448" s="27"/>
      <c r="O1448" s="27"/>
      <c r="R1448" s="27"/>
    </row>
    <row r="1449" spans="5:18" ht="21" customHeight="1">
      <c r="E1449" s="27"/>
      <c r="G1449" s="27"/>
      <c r="I1449" s="27"/>
      <c r="K1449" s="27"/>
      <c r="M1449" s="27"/>
      <c r="O1449" s="27"/>
      <c r="R1449" s="27"/>
    </row>
    <row r="1450" spans="5:18" ht="21" customHeight="1">
      <c r="E1450" s="27"/>
      <c r="G1450" s="27"/>
      <c r="I1450" s="27"/>
      <c r="K1450" s="27"/>
      <c r="M1450" s="27"/>
      <c r="O1450" s="27"/>
      <c r="R1450" s="27"/>
    </row>
    <row r="1451" spans="5:18" ht="21" customHeight="1">
      <c r="E1451" s="27"/>
      <c r="G1451" s="27"/>
      <c r="I1451" s="27"/>
      <c r="K1451" s="27"/>
      <c r="M1451" s="27"/>
      <c r="O1451" s="27"/>
      <c r="R1451" s="27"/>
    </row>
    <row r="1452" spans="5:18" ht="21" customHeight="1">
      <c r="E1452" s="27"/>
      <c r="G1452" s="27"/>
      <c r="I1452" s="27"/>
      <c r="K1452" s="27"/>
      <c r="M1452" s="27"/>
      <c r="O1452" s="27"/>
      <c r="R1452" s="27"/>
    </row>
    <row r="1453" spans="5:18" ht="21" customHeight="1">
      <c r="E1453" s="27"/>
      <c r="G1453" s="27"/>
      <c r="I1453" s="27"/>
      <c r="K1453" s="27"/>
      <c r="M1453" s="27"/>
      <c r="O1453" s="27"/>
      <c r="R1453" s="27"/>
    </row>
    <row r="1454" spans="5:18" ht="21" customHeight="1">
      <c r="E1454" s="27"/>
      <c r="G1454" s="27"/>
      <c r="I1454" s="27"/>
      <c r="K1454" s="27"/>
      <c r="M1454" s="27"/>
      <c r="O1454" s="27"/>
      <c r="R1454" s="27"/>
    </row>
    <row r="1455" spans="5:18" ht="21" customHeight="1">
      <c r="E1455" s="27"/>
      <c r="G1455" s="27"/>
      <c r="I1455" s="27"/>
      <c r="K1455" s="27"/>
      <c r="M1455" s="27"/>
      <c r="O1455" s="27"/>
      <c r="R1455" s="27"/>
    </row>
    <row r="1456" spans="5:18" ht="21" customHeight="1">
      <c r="E1456" s="27"/>
      <c r="G1456" s="27"/>
      <c r="I1456" s="27"/>
      <c r="K1456" s="27"/>
      <c r="M1456" s="27"/>
      <c r="O1456" s="27"/>
      <c r="R1456" s="27"/>
    </row>
    <row r="1457" spans="5:18" ht="21" customHeight="1">
      <c r="E1457" s="27"/>
      <c r="G1457" s="27"/>
      <c r="I1457" s="27"/>
      <c r="K1457" s="27"/>
      <c r="M1457" s="27"/>
      <c r="O1457" s="27"/>
      <c r="R1457" s="27"/>
    </row>
    <row r="1458" spans="5:18" ht="21" customHeight="1">
      <c r="E1458" s="27"/>
      <c r="G1458" s="27"/>
      <c r="I1458" s="27"/>
      <c r="K1458" s="27"/>
      <c r="M1458" s="27"/>
      <c r="O1458" s="27"/>
      <c r="R1458" s="27"/>
    </row>
    <row r="1459" spans="5:18" ht="21" customHeight="1">
      <c r="E1459" s="27"/>
      <c r="G1459" s="27"/>
      <c r="I1459" s="27"/>
      <c r="K1459" s="27"/>
      <c r="M1459" s="27"/>
      <c r="O1459" s="27"/>
      <c r="R1459" s="27"/>
    </row>
    <row r="1460" spans="5:18" ht="21" customHeight="1">
      <c r="E1460" s="27"/>
      <c r="G1460" s="27"/>
      <c r="I1460" s="27"/>
      <c r="K1460" s="27"/>
      <c r="M1460" s="27"/>
      <c r="O1460" s="27"/>
      <c r="R1460" s="27"/>
    </row>
    <row r="1461" spans="5:18" ht="21" customHeight="1">
      <c r="E1461" s="27"/>
      <c r="G1461" s="27"/>
      <c r="I1461" s="27"/>
      <c r="K1461" s="27"/>
      <c r="M1461" s="27"/>
      <c r="O1461" s="27"/>
      <c r="R1461" s="27"/>
    </row>
    <row r="1462" spans="5:18" ht="21" customHeight="1">
      <c r="E1462" s="27"/>
      <c r="G1462" s="27"/>
      <c r="I1462" s="27"/>
      <c r="K1462" s="27"/>
      <c r="M1462" s="27"/>
      <c r="O1462" s="27"/>
      <c r="R1462" s="27"/>
    </row>
    <row r="1463" spans="5:18" ht="21" customHeight="1">
      <c r="E1463" s="27"/>
      <c r="G1463" s="27"/>
      <c r="I1463" s="27"/>
      <c r="K1463" s="27"/>
      <c r="M1463" s="27"/>
      <c r="O1463" s="27"/>
      <c r="R1463" s="27"/>
    </row>
    <row r="1464" spans="5:18" ht="21" customHeight="1">
      <c r="E1464" s="27"/>
      <c r="G1464" s="27"/>
      <c r="I1464" s="27"/>
      <c r="K1464" s="27"/>
      <c r="M1464" s="27"/>
      <c r="O1464" s="27"/>
      <c r="R1464" s="27"/>
    </row>
    <row r="1465" spans="5:18" ht="21" customHeight="1">
      <c r="E1465" s="27"/>
      <c r="G1465" s="27"/>
      <c r="I1465" s="27"/>
      <c r="K1465" s="27"/>
      <c r="M1465" s="27"/>
      <c r="O1465" s="27"/>
      <c r="R1465" s="27"/>
    </row>
    <row r="1466" spans="5:18" ht="21" customHeight="1">
      <c r="E1466" s="27"/>
      <c r="G1466" s="27"/>
      <c r="I1466" s="27"/>
      <c r="K1466" s="27"/>
      <c r="M1466" s="27"/>
      <c r="O1466" s="27"/>
      <c r="R1466" s="27"/>
    </row>
    <row r="1467" spans="5:18" ht="21" customHeight="1">
      <c r="E1467" s="27"/>
      <c r="G1467" s="27"/>
      <c r="I1467" s="27"/>
      <c r="K1467" s="27"/>
      <c r="M1467" s="27"/>
      <c r="O1467" s="27"/>
      <c r="R1467" s="27"/>
    </row>
    <row r="1468" spans="5:18" ht="21" customHeight="1">
      <c r="E1468" s="27"/>
      <c r="G1468" s="27"/>
      <c r="I1468" s="27"/>
      <c r="K1468" s="27"/>
      <c r="M1468" s="27"/>
      <c r="O1468" s="27"/>
      <c r="R1468" s="27"/>
    </row>
    <row r="1469" spans="5:18" ht="21" customHeight="1">
      <c r="E1469" s="27"/>
      <c r="G1469" s="27"/>
      <c r="I1469" s="27"/>
      <c r="K1469" s="27"/>
      <c r="M1469" s="27"/>
      <c r="O1469" s="27"/>
      <c r="R1469" s="27"/>
    </row>
    <row r="1470" spans="5:18" ht="21" customHeight="1">
      <c r="E1470" s="27"/>
      <c r="G1470" s="27"/>
      <c r="I1470" s="27"/>
      <c r="K1470" s="27"/>
      <c r="M1470" s="27"/>
      <c r="O1470" s="27"/>
      <c r="R1470" s="27"/>
    </row>
    <row r="1471" spans="5:18" ht="21" customHeight="1">
      <c r="E1471" s="27"/>
      <c r="G1471" s="27"/>
      <c r="I1471" s="27"/>
      <c r="K1471" s="27"/>
      <c r="M1471" s="27"/>
      <c r="O1471" s="27"/>
      <c r="R1471" s="27"/>
    </row>
    <row r="1472" spans="5:18" ht="21" customHeight="1">
      <c r="E1472" s="27"/>
      <c r="G1472" s="27"/>
      <c r="I1472" s="27"/>
      <c r="K1472" s="27"/>
      <c r="M1472" s="27"/>
      <c r="O1472" s="27"/>
      <c r="R1472" s="27"/>
    </row>
    <row r="1473" spans="5:18" ht="21" customHeight="1">
      <c r="E1473" s="27"/>
      <c r="G1473" s="27"/>
      <c r="I1473" s="27"/>
      <c r="K1473" s="27"/>
      <c r="M1473" s="27"/>
      <c r="O1473" s="27"/>
      <c r="R1473" s="27"/>
    </row>
    <row r="1474" spans="5:18" ht="21" customHeight="1">
      <c r="E1474" s="27"/>
      <c r="G1474" s="27"/>
      <c r="I1474" s="27"/>
      <c r="K1474" s="27"/>
      <c r="M1474" s="27"/>
      <c r="O1474" s="27"/>
      <c r="R1474" s="27"/>
    </row>
    <row r="1475" spans="5:18" ht="21" customHeight="1">
      <c r="E1475" s="27"/>
      <c r="G1475" s="27"/>
      <c r="I1475" s="27"/>
      <c r="K1475" s="27"/>
      <c r="M1475" s="27"/>
      <c r="O1475" s="27"/>
      <c r="R1475" s="27"/>
    </row>
    <row r="1476" spans="5:18" ht="21" customHeight="1">
      <c r="E1476" s="27"/>
      <c r="G1476" s="27"/>
      <c r="I1476" s="27"/>
      <c r="K1476" s="27"/>
      <c r="M1476" s="27"/>
      <c r="O1476" s="27"/>
      <c r="R1476" s="27"/>
    </row>
    <row r="1477" spans="5:18" ht="21" customHeight="1">
      <c r="E1477" s="27"/>
      <c r="G1477" s="27"/>
      <c r="I1477" s="27"/>
      <c r="K1477" s="27"/>
      <c r="M1477" s="27"/>
      <c r="O1477" s="27"/>
      <c r="R1477" s="27"/>
    </row>
    <row r="1478" spans="5:18" ht="21" customHeight="1">
      <c r="E1478" s="27"/>
      <c r="G1478" s="27"/>
      <c r="I1478" s="27"/>
      <c r="K1478" s="27"/>
      <c r="M1478" s="27"/>
      <c r="O1478" s="27"/>
      <c r="R1478" s="27"/>
    </row>
    <row r="1479" spans="5:18" ht="21" customHeight="1">
      <c r="E1479" s="27"/>
      <c r="G1479" s="27"/>
      <c r="I1479" s="27"/>
      <c r="K1479" s="27"/>
      <c r="M1479" s="27"/>
      <c r="O1479" s="27"/>
      <c r="R1479" s="27"/>
    </row>
    <row r="1480" spans="5:18" ht="21" customHeight="1">
      <c r="E1480" s="27"/>
      <c r="G1480" s="27"/>
      <c r="I1480" s="27"/>
      <c r="K1480" s="27"/>
      <c r="M1480" s="27"/>
      <c r="O1480" s="27"/>
      <c r="R1480" s="27"/>
    </row>
    <row r="1481" spans="5:18" ht="21" customHeight="1">
      <c r="E1481" s="27"/>
      <c r="G1481" s="27"/>
      <c r="I1481" s="27"/>
      <c r="K1481" s="27"/>
      <c r="M1481" s="27"/>
      <c r="O1481" s="27"/>
      <c r="R1481" s="27"/>
    </row>
    <row r="1482" spans="5:18" ht="21" customHeight="1">
      <c r="E1482" s="27"/>
      <c r="G1482" s="27"/>
      <c r="I1482" s="27"/>
      <c r="K1482" s="27"/>
      <c r="M1482" s="27"/>
      <c r="O1482" s="27"/>
      <c r="R1482" s="27"/>
    </row>
    <row r="1483" spans="5:18" ht="21" customHeight="1">
      <c r="E1483" s="27"/>
      <c r="G1483" s="27"/>
      <c r="I1483" s="27"/>
      <c r="K1483" s="27"/>
      <c r="M1483" s="27"/>
      <c r="O1483" s="27"/>
      <c r="R1483" s="27"/>
    </row>
    <row r="1484" spans="5:18" ht="21" customHeight="1">
      <c r="E1484" s="27"/>
      <c r="G1484" s="27"/>
      <c r="I1484" s="27"/>
      <c r="K1484" s="27"/>
      <c r="M1484" s="27"/>
      <c r="O1484" s="27"/>
      <c r="R1484" s="27"/>
    </row>
    <row r="1485" spans="5:18" ht="21" customHeight="1">
      <c r="E1485" s="27"/>
      <c r="G1485" s="27"/>
      <c r="I1485" s="27"/>
      <c r="K1485" s="27"/>
      <c r="M1485" s="27"/>
      <c r="O1485" s="27"/>
      <c r="R1485" s="27"/>
    </row>
    <row r="1486" spans="5:18" ht="21" customHeight="1">
      <c r="E1486" s="27"/>
      <c r="G1486" s="27"/>
      <c r="I1486" s="27"/>
      <c r="K1486" s="27"/>
      <c r="M1486" s="27"/>
      <c r="O1486" s="27"/>
      <c r="R1486" s="27"/>
    </row>
    <row r="1487" spans="5:18" ht="21" customHeight="1">
      <c r="E1487" s="27"/>
      <c r="G1487" s="27"/>
      <c r="I1487" s="27"/>
      <c r="K1487" s="27"/>
      <c r="M1487" s="27"/>
      <c r="O1487" s="27"/>
      <c r="R1487" s="27"/>
    </row>
    <row r="1488" spans="5:18" ht="21" customHeight="1">
      <c r="E1488" s="27"/>
      <c r="G1488" s="27"/>
      <c r="I1488" s="27"/>
      <c r="K1488" s="27"/>
      <c r="M1488" s="27"/>
      <c r="O1488" s="27"/>
      <c r="R1488" s="27"/>
    </row>
    <row r="1489" spans="5:18" ht="21" customHeight="1">
      <c r="E1489" s="27"/>
      <c r="G1489" s="27"/>
      <c r="I1489" s="27"/>
      <c r="K1489" s="27"/>
      <c r="M1489" s="27"/>
      <c r="O1489" s="27"/>
      <c r="R1489" s="27"/>
    </row>
    <row r="1490" spans="5:18" ht="21" customHeight="1">
      <c r="E1490" s="27"/>
      <c r="G1490" s="27"/>
      <c r="I1490" s="27"/>
      <c r="K1490" s="27"/>
      <c r="M1490" s="27"/>
      <c r="O1490" s="27"/>
      <c r="R1490" s="27"/>
    </row>
    <row r="1491" spans="5:18" ht="21" customHeight="1">
      <c r="E1491" s="27"/>
      <c r="G1491" s="27"/>
      <c r="I1491" s="27"/>
      <c r="K1491" s="27"/>
      <c r="M1491" s="27"/>
      <c r="O1491" s="27"/>
      <c r="R1491" s="27"/>
    </row>
    <row r="1492" spans="5:18" ht="21" customHeight="1">
      <c r="E1492" s="27"/>
      <c r="G1492" s="27"/>
      <c r="I1492" s="27"/>
      <c r="K1492" s="27"/>
      <c r="M1492" s="27"/>
      <c r="O1492" s="27"/>
      <c r="R1492" s="27"/>
    </row>
    <row r="1493" spans="5:18" ht="21" customHeight="1">
      <c r="E1493" s="27"/>
      <c r="G1493" s="27"/>
      <c r="I1493" s="27"/>
      <c r="K1493" s="27"/>
      <c r="M1493" s="27"/>
      <c r="O1493" s="27"/>
      <c r="R1493" s="27"/>
    </row>
    <row r="1494" spans="5:18" ht="21" customHeight="1">
      <c r="E1494" s="27"/>
      <c r="G1494" s="27"/>
      <c r="I1494" s="27"/>
      <c r="K1494" s="27"/>
      <c r="M1494" s="27"/>
      <c r="O1494" s="27"/>
      <c r="R1494" s="27"/>
    </row>
    <row r="1495" spans="5:18" ht="21" customHeight="1">
      <c r="E1495" s="27"/>
      <c r="G1495" s="27"/>
      <c r="I1495" s="27"/>
      <c r="K1495" s="27"/>
      <c r="M1495" s="27"/>
      <c r="O1495" s="27"/>
      <c r="R1495" s="27"/>
    </row>
    <row r="1496" spans="5:18" ht="21" customHeight="1">
      <c r="E1496" s="27"/>
      <c r="G1496" s="27"/>
      <c r="I1496" s="27"/>
      <c r="K1496" s="27"/>
      <c r="M1496" s="27"/>
      <c r="O1496" s="27"/>
      <c r="R1496" s="27"/>
    </row>
    <row r="1497" spans="5:18" ht="21" customHeight="1">
      <c r="E1497" s="27"/>
      <c r="G1497" s="27"/>
      <c r="I1497" s="27"/>
      <c r="K1497" s="27"/>
      <c r="M1497" s="27"/>
      <c r="O1497" s="27"/>
      <c r="R1497" s="27"/>
    </row>
    <row r="1498" spans="5:18" ht="21" customHeight="1">
      <c r="E1498" s="27"/>
      <c r="G1498" s="27"/>
      <c r="I1498" s="27"/>
      <c r="K1498" s="27"/>
      <c r="M1498" s="27"/>
      <c r="O1498" s="27"/>
      <c r="R1498" s="27"/>
    </row>
    <row r="1499" spans="5:18" ht="21" customHeight="1">
      <c r="E1499" s="27"/>
      <c r="G1499" s="27"/>
      <c r="I1499" s="27"/>
      <c r="K1499" s="27"/>
      <c r="M1499" s="27"/>
      <c r="O1499" s="27"/>
      <c r="R1499" s="27"/>
    </row>
    <row r="1500" spans="5:18" ht="21" customHeight="1">
      <c r="E1500" s="27"/>
      <c r="G1500" s="27"/>
      <c r="I1500" s="27"/>
      <c r="K1500" s="27"/>
      <c r="M1500" s="27"/>
      <c r="O1500" s="27"/>
      <c r="R1500" s="27"/>
    </row>
    <row r="1501" spans="5:18" ht="21" customHeight="1">
      <c r="E1501" s="27"/>
      <c r="G1501" s="27"/>
      <c r="I1501" s="27"/>
      <c r="K1501" s="27"/>
      <c r="M1501" s="27"/>
      <c r="O1501" s="27"/>
      <c r="R1501" s="27"/>
    </row>
    <row r="1502" spans="5:18" ht="21" customHeight="1">
      <c r="E1502" s="27"/>
      <c r="G1502" s="27"/>
      <c r="I1502" s="27"/>
      <c r="K1502" s="27"/>
      <c r="M1502" s="27"/>
      <c r="O1502" s="27"/>
      <c r="R1502" s="27"/>
    </row>
    <row r="1503" spans="5:18" ht="21" customHeight="1">
      <c r="E1503" s="27"/>
      <c r="G1503" s="27"/>
      <c r="I1503" s="27"/>
      <c r="K1503" s="27"/>
      <c r="M1503" s="27"/>
      <c r="O1503" s="27"/>
      <c r="R1503" s="27"/>
    </row>
    <row r="1504" spans="5:18" ht="21" customHeight="1">
      <c r="E1504" s="27"/>
      <c r="G1504" s="27"/>
      <c r="I1504" s="27"/>
      <c r="K1504" s="27"/>
      <c r="M1504" s="27"/>
      <c r="O1504" s="27"/>
      <c r="R1504" s="27"/>
    </row>
    <row r="1505" spans="5:18" ht="21" customHeight="1">
      <c r="E1505" s="27"/>
      <c r="G1505" s="27"/>
      <c r="I1505" s="27"/>
      <c r="K1505" s="27"/>
      <c r="M1505" s="27"/>
      <c r="O1505" s="27"/>
      <c r="R1505" s="27"/>
    </row>
    <row r="1506" spans="5:18" ht="21" customHeight="1">
      <c r="E1506" s="27"/>
      <c r="G1506" s="27"/>
      <c r="I1506" s="27"/>
      <c r="K1506" s="27"/>
      <c r="M1506" s="27"/>
      <c r="O1506" s="27"/>
      <c r="R1506" s="27"/>
    </row>
    <row r="1507" spans="5:18" ht="21" customHeight="1">
      <c r="E1507" s="27"/>
      <c r="G1507" s="27"/>
      <c r="I1507" s="27"/>
      <c r="K1507" s="27"/>
      <c r="M1507" s="27"/>
      <c r="O1507" s="27"/>
      <c r="R1507" s="27"/>
    </row>
    <row r="1508" spans="5:18" ht="21" customHeight="1">
      <c r="E1508" s="27"/>
      <c r="G1508" s="27"/>
      <c r="I1508" s="27"/>
      <c r="K1508" s="27"/>
      <c r="M1508" s="27"/>
      <c r="O1508" s="27"/>
      <c r="R1508" s="27"/>
    </row>
    <row r="1509" spans="5:18" ht="21" customHeight="1">
      <c r="E1509" s="27"/>
      <c r="G1509" s="27"/>
      <c r="I1509" s="27"/>
      <c r="K1509" s="27"/>
      <c r="M1509" s="27"/>
      <c r="O1509" s="27"/>
      <c r="R1509" s="27"/>
    </row>
    <row r="1510" spans="5:18" ht="21" customHeight="1">
      <c r="E1510" s="27"/>
      <c r="G1510" s="27"/>
      <c r="I1510" s="27"/>
      <c r="K1510" s="27"/>
      <c r="M1510" s="27"/>
      <c r="O1510" s="27"/>
      <c r="R1510" s="27"/>
    </row>
    <row r="1511" spans="5:18" ht="21" customHeight="1">
      <c r="E1511" s="27"/>
      <c r="G1511" s="27"/>
      <c r="I1511" s="27"/>
      <c r="K1511" s="27"/>
      <c r="M1511" s="27"/>
      <c r="O1511" s="27"/>
      <c r="R1511" s="27"/>
    </row>
    <row r="1512" spans="5:18" ht="21" customHeight="1">
      <c r="E1512" s="27"/>
      <c r="G1512" s="27"/>
      <c r="I1512" s="27"/>
      <c r="K1512" s="27"/>
      <c r="M1512" s="27"/>
      <c r="O1512" s="27"/>
      <c r="R1512" s="27"/>
    </row>
    <row r="1513" spans="5:18" ht="21" customHeight="1">
      <c r="E1513" s="27"/>
      <c r="G1513" s="27"/>
      <c r="I1513" s="27"/>
      <c r="K1513" s="27"/>
      <c r="M1513" s="27"/>
      <c r="O1513" s="27"/>
      <c r="R1513" s="27"/>
    </row>
    <row r="1514" spans="5:18" ht="21" customHeight="1">
      <c r="E1514" s="27"/>
      <c r="G1514" s="27"/>
      <c r="I1514" s="27"/>
      <c r="K1514" s="27"/>
      <c r="M1514" s="27"/>
      <c r="O1514" s="27"/>
      <c r="R1514" s="27"/>
    </row>
    <row r="1515" spans="5:18" ht="21" customHeight="1">
      <c r="E1515" s="27"/>
      <c r="G1515" s="27"/>
      <c r="I1515" s="27"/>
      <c r="K1515" s="27"/>
      <c r="M1515" s="27"/>
      <c r="O1515" s="27"/>
      <c r="R1515" s="27"/>
    </row>
    <row r="1516" spans="5:18" ht="21" customHeight="1">
      <c r="E1516" s="27"/>
      <c r="G1516" s="27"/>
      <c r="I1516" s="27"/>
      <c r="K1516" s="27"/>
      <c r="M1516" s="27"/>
      <c r="O1516" s="27"/>
      <c r="R1516" s="27"/>
    </row>
    <row r="1517" spans="5:18" ht="21" customHeight="1">
      <c r="E1517" s="27"/>
      <c r="G1517" s="27"/>
      <c r="I1517" s="27"/>
      <c r="K1517" s="27"/>
      <c r="M1517" s="27"/>
      <c r="O1517" s="27"/>
      <c r="R1517" s="27"/>
    </row>
    <row r="1518" spans="5:18" ht="21" customHeight="1">
      <c r="E1518" s="27"/>
      <c r="G1518" s="27"/>
      <c r="I1518" s="27"/>
      <c r="K1518" s="27"/>
      <c r="M1518" s="27"/>
      <c r="O1518" s="27"/>
      <c r="R1518" s="27"/>
    </row>
    <row r="1519" spans="5:18" ht="21" customHeight="1">
      <c r="E1519" s="27"/>
      <c r="G1519" s="27"/>
      <c r="I1519" s="27"/>
      <c r="K1519" s="27"/>
      <c r="M1519" s="27"/>
      <c r="O1519" s="27"/>
      <c r="R1519" s="27"/>
    </row>
    <row r="1520" spans="5:18" ht="21" customHeight="1">
      <c r="E1520" s="27"/>
      <c r="G1520" s="27"/>
      <c r="I1520" s="27"/>
      <c r="K1520" s="27"/>
      <c r="M1520" s="27"/>
      <c r="O1520" s="27"/>
      <c r="R1520" s="27"/>
    </row>
    <row r="1521" spans="5:18" ht="21" customHeight="1">
      <c r="E1521" s="27"/>
      <c r="G1521" s="27"/>
      <c r="I1521" s="27"/>
      <c r="K1521" s="27"/>
      <c r="M1521" s="27"/>
      <c r="O1521" s="27"/>
      <c r="R1521" s="27"/>
    </row>
    <row r="1522" spans="5:18" ht="21" customHeight="1">
      <c r="E1522" s="27"/>
      <c r="G1522" s="27"/>
      <c r="I1522" s="27"/>
      <c r="K1522" s="27"/>
      <c r="M1522" s="27"/>
      <c r="O1522" s="27"/>
      <c r="R1522" s="27"/>
    </row>
    <row r="1523" spans="5:18" ht="21" customHeight="1">
      <c r="E1523" s="27"/>
      <c r="G1523" s="27"/>
      <c r="I1523" s="27"/>
      <c r="K1523" s="27"/>
      <c r="M1523" s="27"/>
      <c r="O1523" s="27"/>
      <c r="R1523" s="27"/>
    </row>
    <row r="1524" spans="5:18" ht="21" customHeight="1">
      <c r="E1524" s="27"/>
      <c r="G1524" s="27"/>
      <c r="I1524" s="27"/>
      <c r="K1524" s="27"/>
      <c r="M1524" s="27"/>
      <c r="O1524" s="27"/>
      <c r="R1524" s="27"/>
    </row>
    <row r="1525" spans="5:18" ht="21" customHeight="1">
      <c r="E1525" s="27"/>
      <c r="G1525" s="27"/>
      <c r="I1525" s="27"/>
      <c r="K1525" s="27"/>
      <c r="M1525" s="27"/>
      <c r="O1525" s="27"/>
      <c r="R1525" s="27"/>
    </row>
    <row r="1526" spans="5:18" ht="21" customHeight="1">
      <c r="E1526" s="27"/>
      <c r="G1526" s="27"/>
      <c r="I1526" s="27"/>
      <c r="K1526" s="27"/>
      <c r="M1526" s="27"/>
      <c r="O1526" s="27"/>
      <c r="R1526" s="27"/>
    </row>
    <row r="1527" spans="5:18" ht="21" customHeight="1">
      <c r="E1527" s="27"/>
      <c r="G1527" s="27"/>
      <c r="I1527" s="27"/>
      <c r="K1527" s="27"/>
      <c r="M1527" s="27"/>
      <c r="O1527" s="27"/>
      <c r="R1527" s="27"/>
    </row>
    <row r="1528" spans="5:18" ht="21" customHeight="1">
      <c r="E1528" s="27"/>
      <c r="G1528" s="27"/>
      <c r="I1528" s="27"/>
      <c r="K1528" s="27"/>
      <c r="M1528" s="27"/>
      <c r="O1528" s="27"/>
      <c r="R1528" s="27"/>
    </row>
    <row r="1529" spans="5:18" ht="21" customHeight="1">
      <c r="E1529" s="27"/>
      <c r="G1529" s="27"/>
      <c r="I1529" s="27"/>
      <c r="K1529" s="27"/>
      <c r="M1529" s="27"/>
      <c r="O1529" s="27"/>
      <c r="R1529" s="27"/>
    </row>
    <row r="1530" spans="5:18" ht="21" customHeight="1">
      <c r="E1530" s="27"/>
      <c r="G1530" s="27"/>
      <c r="I1530" s="27"/>
      <c r="K1530" s="27"/>
      <c r="M1530" s="27"/>
      <c r="O1530" s="27"/>
      <c r="R1530" s="27"/>
    </row>
    <row r="1531" spans="5:18" ht="21" customHeight="1">
      <c r="E1531" s="27"/>
      <c r="G1531" s="27"/>
      <c r="I1531" s="27"/>
      <c r="K1531" s="27"/>
      <c r="M1531" s="27"/>
      <c r="O1531" s="27"/>
      <c r="R1531" s="27"/>
    </row>
    <row r="1532" spans="5:18" ht="21" customHeight="1">
      <c r="E1532" s="27"/>
      <c r="G1532" s="27"/>
      <c r="I1532" s="27"/>
      <c r="K1532" s="27"/>
      <c r="M1532" s="27"/>
      <c r="O1532" s="27"/>
      <c r="R1532" s="27"/>
    </row>
    <row r="1533" spans="5:18" ht="21" customHeight="1">
      <c r="E1533" s="27"/>
      <c r="G1533" s="27"/>
      <c r="I1533" s="27"/>
      <c r="K1533" s="27"/>
      <c r="M1533" s="27"/>
      <c r="O1533" s="27"/>
      <c r="R1533" s="27"/>
    </row>
    <row r="1534" spans="5:18" ht="21" customHeight="1">
      <c r="E1534" s="27"/>
      <c r="G1534" s="27"/>
      <c r="I1534" s="27"/>
      <c r="K1534" s="27"/>
      <c r="M1534" s="27"/>
      <c r="O1534" s="27"/>
      <c r="R1534" s="27"/>
    </row>
    <row r="1535" spans="5:18" ht="21" customHeight="1">
      <c r="E1535" s="27"/>
      <c r="G1535" s="27"/>
      <c r="I1535" s="27"/>
      <c r="K1535" s="27"/>
      <c r="M1535" s="27"/>
      <c r="O1535" s="27"/>
      <c r="R1535" s="27"/>
    </row>
    <row r="1536" spans="5:18" ht="21" customHeight="1">
      <c r="E1536" s="27"/>
      <c r="G1536" s="27"/>
      <c r="I1536" s="27"/>
      <c r="K1536" s="27"/>
      <c r="M1536" s="27"/>
      <c r="O1536" s="27"/>
      <c r="R1536" s="27"/>
    </row>
    <row r="1537" spans="5:18" ht="21" customHeight="1">
      <c r="E1537" s="27"/>
      <c r="G1537" s="27"/>
      <c r="I1537" s="27"/>
      <c r="K1537" s="27"/>
      <c r="M1537" s="27"/>
      <c r="O1537" s="27"/>
      <c r="R1537" s="27"/>
    </row>
    <row r="1538" spans="5:18" ht="21" customHeight="1">
      <c r="E1538" s="27"/>
      <c r="G1538" s="27"/>
      <c r="I1538" s="27"/>
      <c r="K1538" s="27"/>
      <c r="M1538" s="27"/>
      <c r="O1538" s="27"/>
      <c r="R1538" s="27"/>
    </row>
    <row r="1539" spans="5:18" ht="21" customHeight="1">
      <c r="E1539" s="27"/>
      <c r="G1539" s="27"/>
      <c r="I1539" s="27"/>
      <c r="K1539" s="27"/>
      <c r="M1539" s="27"/>
      <c r="O1539" s="27"/>
      <c r="R1539" s="27"/>
    </row>
    <row r="1540" spans="5:18" ht="21" customHeight="1">
      <c r="E1540" s="27"/>
      <c r="G1540" s="27"/>
      <c r="I1540" s="27"/>
      <c r="K1540" s="27"/>
      <c r="M1540" s="27"/>
      <c r="O1540" s="27"/>
      <c r="R1540" s="27"/>
    </row>
    <row r="1541" spans="5:18" ht="21" customHeight="1">
      <c r="E1541" s="27"/>
      <c r="G1541" s="27"/>
      <c r="I1541" s="27"/>
      <c r="K1541" s="27"/>
      <c r="M1541" s="27"/>
      <c r="O1541" s="27"/>
      <c r="R1541" s="27"/>
    </row>
    <row r="1542" spans="5:18" ht="21" customHeight="1">
      <c r="E1542" s="27"/>
      <c r="G1542" s="27"/>
      <c r="I1542" s="27"/>
      <c r="K1542" s="27"/>
      <c r="M1542" s="27"/>
      <c r="O1542" s="27"/>
      <c r="R1542" s="27"/>
    </row>
    <row r="1543" spans="5:18" ht="21" customHeight="1">
      <c r="E1543" s="27"/>
      <c r="G1543" s="27"/>
      <c r="I1543" s="27"/>
      <c r="K1543" s="27"/>
      <c r="M1543" s="27"/>
      <c r="O1543" s="27"/>
      <c r="R1543" s="27"/>
    </row>
    <row r="1544" spans="5:18" ht="21" customHeight="1">
      <c r="E1544" s="27"/>
      <c r="G1544" s="27"/>
      <c r="I1544" s="27"/>
      <c r="K1544" s="27"/>
      <c r="M1544" s="27"/>
      <c r="O1544" s="27"/>
      <c r="R1544" s="27"/>
    </row>
    <row r="1545" spans="5:18" ht="21" customHeight="1">
      <c r="E1545" s="27"/>
      <c r="G1545" s="27"/>
      <c r="I1545" s="27"/>
      <c r="K1545" s="27"/>
      <c r="M1545" s="27"/>
      <c r="O1545" s="27"/>
      <c r="R1545" s="27"/>
    </row>
    <row r="1546" spans="5:18" ht="21" customHeight="1">
      <c r="E1546" s="27"/>
      <c r="G1546" s="27"/>
      <c r="I1546" s="27"/>
      <c r="K1546" s="27"/>
      <c r="M1546" s="27"/>
      <c r="O1546" s="27"/>
      <c r="R1546" s="27"/>
    </row>
    <row r="1547" spans="5:18" ht="21" customHeight="1">
      <c r="E1547" s="27"/>
      <c r="G1547" s="27"/>
      <c r="I1547" s="27"/>
      <c r="K1547" s="27"/>
      <c r="M1547" s="27"/>
      <c r="O1547" s="27"/>
      <c r="R1547" s="27"/>
    </row>
    <row r="1548" spans="5:18" ht="21" customHeight="1">
      <c r="E1548" s="27"/>
      <c r="G1548" s="27"/>
      <c r="I1548" s="27"/>
      <c r="K1548" s="27"/>
      <c r="M1548" s="27"/>
      <c r="O1548" s="27"/>
      <c r="R1548" s="27"/>
    </row>
    <row r="1549" spans="5:18" ht="21" customHeight="1">
      <c r="E1549" s="27"/>
      <c r="G1549" s="27"/>
      <c r="I1549" s="27"/>
      <c r="K1549" s="27"/>
      <c r="M1549" s="27"/>
      <c r="O1549" s="27"/>
      <c r="R1549" s="27"/>
    </row>
    <row r="1550" spans="5:18" ht="21" customHeight="1">
      <c r="E1550" s="27"/>
      <c r="G1550" s="27"/>
      <c r="I1550" s="27"/>
      <c r="K1550" s="27"/>
      <c r="M1550" s="27"/>
      <c r="O1550" s="27"/>
      <c r="R1550" s="27"/>
    </row>
    <row r="1551" spans="5:18" ht="21" customHeight="1">
      <c r="E1551" s="27"/>
      <c r="G1551" s="27"/>
      <c r="I1551" s="27"/>
      <c r="K1551" s="27"/>
      <c r="M1551" s="27"/>
      <c r="O1551" s="27"/>
      <c r="R1551" s="27"/>
    </row>
    <row r="1552" spans="5:18" ht="21" customHeight="1">
      <c r="E1552" s="27"/>
      <c r="G1552" s="27"/>
      <c r="I1552" s="27"/>
      <c r="K1552" s="27"/>
      <c r="M1552" s="27"/>
      <c r="O1552" s="27"/>
      <c r="R1552" s="27"/>
    </row>
    <row r="1553" spans="5:18" ht="21" customHeight="1">
      <c r="E1553" s="27"/>
      <c r="G1553" s="27"/>
      <c r="I1553" s="27"/>
      <c r="K1553" s="27"/>
      <c r="M1553" s="27"/>
      <c r="O1553" s="27"/>
      <c r="R1553" s="27"/>
    </row>
    <row r="1554" spans="5:18" ht="21" customHeight="1">
      <c r="E1554" s="27"/>
      <c r="G1554" s="27"/>
      <c r="I1554" s="27"/>
      <c r="K1554" s="27"/>
      <c r="M1554" s="27"/>
      <c r="O1554" s="27"/>
      <c r="R1554" s="27"/>
    </row>
    <row r="1555" spans="5:18" ht="21" customHeight="1">
      <c r="E1555" s="27"/>
      <c r="G1555" s="27"/>
      <c r="I1555" s="27"/>
      <c r="K1555" s="27"/>
      <c r="M1555" s="27"/>
      <c r="O1555" s="27"/>
      <c r="R1555" s="27"/>
    </row>
    <row r="1556" spans="5:18" ht="21" customHeight="1">
      <c r="E1556" s="27"/>
      <c r="G1556" s="27"/>
      <c r="I1556" s="27"/>
      <c r="K1556" s="27"/>
      <c r="M1556" s="27"/>
      <c r="O1556" s="27"/>
      <c r="R1556" s="27"/>
    </row>
    <row r="1557" spans="5:18" ht="21" customHeight="1">
      <c r="E1557" s="27"/>
      <c r="G1557" s="27"/>
      <c r="I1557" s="27"/>
      <c r="K1557" s="27"/>
      <c r="M1557" s="27"/>
      <c r="O1557" s="27"/>
      <c r="R1557" s="27"/>
    </row>
    <row r="1558" spans="5:18" ht="21" customHeight="1">
      <c r="E1558" s="27"/>
      <c r="G1558" s="27"/>
      <c r="I1558" s="27"/>
      <c r="K1558" s="27"/>
      <c r="M1558" s="27"/>
      <c r="O1558" s="27"/>
      <c r="R1558" s="27"/>
    </row>
    <row r="1559" spans="5:18" ht="21" customHeight="1">
      <c r="E1559" s="27"/>
      <c r="G1559" s="27"/>
      <c r="I1559" s="27"/>
      <c r="K1559" s="27"/>
      <c r="M1559" s="27"/>
      <c r="O1559" s="27"/>
      <c r="R1559" s="27"/>
    </row>
    <row r="1560" spans="5:18" ht="21" customHeight="1">
      <c r="E1560" s="27"/>
      <c r="G1560" s="27"/>
      <c r="I1560" s="27"/>
      <c r="K1560" s="27"/>
      <c r="M1560" s="27"/>
      <c r="O1560" s="27"/>
      <c r="R1560" s="27"/>
    </row>
    <row r="1561" spans="5:18" ht="21" customHeight="1">
      <c r="E1561" s="27"/>
      <c r="G1561" s="27"/>
      <c r="I1561" s="27"/>
      <c r="K1561" s="27"/>
      <c r="M1561" s="27"/>
      <c r="O1561" s="27"/>
      <c r="R1561" s="27"/>
    </row>
    <row r="1562" spans="5:18" ht="21" customHeight="1">
      <c r="E1562" s="27"/>
      <c r="G1562" s="27"/>
      <c r="I1562" s="27"/>
      <c r="K1562" s="27"/>
      <c r="M1562" s="27"/>
      <c r="O1562" s="27"/>
      <c r="R1562" s="27"/>
    </row>
    <row r="1563" spans="5:18" ht="21" customHeight="1">
      <c r="E1563" s="27"/>
      <c r="G1563" s="27"/>
      <c r="I1563" s="27"/>
      <c r="K1563" s="27"/>
      <c r="M1563" s="27"/>
      <c r="O1563" s="27"/>
      <c r="R1563" s="27"/>
    </row>
    <row r="1564" spans="5:18" ht="21" customHeight="1">
      <c r="E1564" s="27"/>
      <c r="G1564" s="27"/>
      <c r="I1564" s="27"/>
      <c r="K1564" s="27"/>
      <c r="M1564" s="27"/>
      <c r="O1564" s="27"/>
      <c r="R1564" s="27"/>
    </row>
    <row r="1565" spans="5:18" ht="21" customHeight="1">
      <c r="E1565" s="27"/>
      <c r="G1565" s="27"/>
      <c r="I1565" s="27"/>
      <c r="K1565" s="27"/>
      <c r="M1565" s="27"/>
      <c r="O1565" s="27"/>
      <c r="R1565" s="27"/>
    </row>
    <row r="1566" spans="5:18" ht="21" customHeight="1">
      <c r="E1566" s="27"/>
      <c r="G1566" s="27"/>
      <c r="I1566" s="27"/>
      <c r="K1566" s="27"/>
      <c r="M1566" s="27"/>
      <c r="O1566" s="27"/>
      <c r="R1566" s="27"/>
    </row>
    <row r="1567" spans="5:18" ht="21" customHeight="1">
      <c r="E1567" s="27"/>
      <c r="G1567" s="27"/>
      <c r="I1567" s="27"/>
      <c r="K1567" s="27"/>
      <c r="M1567" s="27"/>
      <c r="O1567" s="27"/>
      <c r="R1567" s="27"/>
    </row>
    <row r="1568" spans="5:18" ht="21" customHeight="1">
      <c r="E1568" s="27"/>
      <c r="G1568" s="27"/>
      <c r="I1568" s="27"/>
      <c r="K1568" s="27"/>
      <c r="M1568" s="27"/>
      <c r="O1568" s="27"/>
      <c r="R1568" s="27"/>
    </row>
    <row r="1569" spans="5:18" ht="21" customHeight="1">
      <c r="E1569" s="27"/>
      <c r="G1569" s="27"/>
      <c r="I1569" s="27"/>
      <c r="K1569" s="27"/>
      <c r="M1569" s="27"/>
      <c r="O1569" s="27"/>
      <c r="R1569" s="27"/>
    </row>
    <row r="1570" spans="5:18" ht="21" customHeight="1">
      <c r="E1570" s="27"/>
      <c r="G1570" s="27"/>
      <c r="I1570" s="27"/>
      <c r="K1570" s="27"/>
      <c r="M1570" s="27"/>
      <c r="O1570" s="27"/>
      <c r="R1570" s="27"/>
    </row>
    <row r="1571" spans="5:18" ht="21" customHeight="1">
      <c r="E1571" s="27"/>
      <c r="G1571" s="27"/>
      <c r="I1571" s="27"/>
      <c r="K1571" s="27"/>
      <c r="M1571" s="27"/>
      <c r="O1571" s="27"/>
      <c r="R1571" s="27"/>
    </row>
    <row r="1572" spans="5:18" ht="21" customHeight="1">
      <c r="E1572" s="27"/>
      <c r="G1572" s="27"/>
      <c r="I1572" s="27"/>
      <c r="K1572" s="27"/>
      <c r="M1572" s="27"/>
      <c r="O1572" s="27"/>
      <c r="R1572" s="27"/>
    </row>
    <row r="1573" spans="5:18" ht="21" customHeight="1">
      <c r="E1573" s="27"/>
      <c r="G1573" s="27"/>
      <c r="I1573" s="27"/>
      <c r="K1573" s="27"/>
      <c r="M1573" s="27"/>
      <c r="O1573" s="27"/>
      <c r="R1573" s="27"/>
    </row>
    <row r="1574" spans="5:18" ht="21" customHeight="1">
      <c r="E1574" s="27"/>
      <c r="G1574" s="27"/>
      <c r="I1574" s="27"/>
      <c r="K1574" s="27"/>
      <c r="M1574" s="27"/>
      <c r="O1574" s="27"/>
      <c r="R1574" s="27"/>
    </row>
    <row r="1575" spans="5:18" ht="21" customHeight="1">
      <c r="E1575" s="27"/>
      <c r="G1575" s="27"/>
      <c r="I1575" s="27"/>
      <c r="K1575" s="27"/>
      <c r="M1575" s="27"/>
      <c r="O1575" s="27"/>
      <c r="R1575" s="27"/>
    </row>
    <row r="1576" spans="5:18" ht="21" customHeight="1">
      <c r="E1576" s="27"/>
      <c r="G1576" s="27"/>
      <c r="I1576" s="27"/>
      <c r="K1576" s="27"/>
      <c r="M1576" s="27"/>
      <c r="O1576" s="27"/>
      <c r="R1576" s="27"/>
    </row>
    <row r="1577" spans="5:18" ht="21" customHeight="1">
      <c r="E1577" s="27"/>
      <c r="G1577" s="27"/>
      <c r="I1577" s="27"/>
      <c r="K1577" s="27"/>
      <c r="M1577" s="27"/>
      <c r="O1577" s="27"/>
      <c r="R1577" s="27"/>
    </row>
    <row r="1578" spans="5:18" ht="21" customHeight="1">
      <c r="E1578" s="27"/>
      <c r="G1578" s="27"/>
      <c r="I1578" s="27"/>
      <c r="K1578" s="27"/>
      <c r="M1578" s="27"/>
      <c r="O1578" s="27"/>
      <c r="R1578" s="27"/>
    </row>
    <row r="1579" spans="5:18" ht="21" customHeight="1">
      <c r="E1579" s="27"/>
      <c r="G1579" s="27"/>
      <c r="I1579" s="27"/>
      <c r="K1579" s="27"/>
      <c r="M1579" s="27"/>
      <c r="O1579" s="27"/>
      <c r="R1579" s="27"/>
    </row>
    <row r="1580" spans="5:18" ht="21" customHeight="1">
      <c r="E1580" s="27"/>
      <c r="G1580" s="27"/>
      <c r="I1580" s="27"/>
      <c r="K1580" s="27"/>
      <c r="M1580" s="27"/>
      <c r="O1580" s="27"/>
      <c r="R1580" s="27"/>
    </row>
    <row r="1581" spans="5:18" ht="21" customHeight="1">
      <c r="E1581" s="27"/>
      <c r="G1581" s="27"/>
      <c r="I1581" s="27"/>
      <c r="K1581" s="27"/>
      <c r="M1581" s="27"/>
      <c r="O1581" s="27"/>
      <c r="R1581" s="27"/>
    </row>
    <row r="1582" spans="5:18" ht="21" customHeight="1">
      <c r="E1582" s="27"/>
      <c r="G1582" s="27"/>
      <c r="I1582" s="27"/>
      <c r="K1582" s="27"/>
      <c r="M1582" s="27"/>
      <c r="O1582" s="27"/>
      <c r="R1582" s="27"/>
    </row>
    <row r="1583" spans="5:18" ht="21" customHeight="1">
      <c r="E1583" s="27"/>
      <c r="G1583" s="27"/>
      <c r="I1583" s="27"/>
      <c r="K1583" s="27"/>
      <c r="M1583" s="27"/>
      <c r="O1583" s="27"/>
      <c r="R1583" s="27"/>
    </row>
    <row r="1584" spans="5:18" ht="21" customHeight="1">
      <c r="E1584" s="27"/>
      <c r="G1584" s="27"/>
      <c r="I1584" s="27"/>
      <c r="K1584" s="27"/>
      <c r="M1584" s="27"/>
      <c r="O1584" s="27"/>
      <c r="R1584" s="27"/>
    </row>
    <row r="1585" spans="5:18" ht="21" customHeight="1">
      <c r="E1585" s="27"/>
      <c r="G1585" s="27"/>
      <c r="I1585" s="27"/>
      <c r="K1585" s="27"/>
      <c r="M1585" s="27"/>
      <c r="O1585" s="27"/>
      <c r="R1585" s="27"/>
    </row>
    <row r="1586" spans="5:18" ht="21" customHeight="1">
      <c r="E1586" s="27"/>
      <c r="G1586" s="27"/>
      <c r="I1586" s="27"/>
      <c r="K1586" s="27"/>
      <c r="M1586" s="27"/>
      <c r="O1586" s="27"/>
      <c r="R1586" s="27"/>
    </row>
    <row r="1587" spans="5:18" ht="21" customHeight="1">
      <c r="E1587" s="27"/>
      <c r="G1587" s="27"/>
      <c r="I1587" s="27"/>
      <c r="K1587" s="27"/>
      <c r="M1587" s="27"/>
      <c r="O1587" s="27"/>
      <c r="R1587" s="27"/>
    </row>
    <row r="1588" spans="5:18" ht="21" customHeight="1">
      <c r="E1588" s="27"/>
      <c r="G1588" s="27"/>
      <c r="I1588" s="27"/>
      <c r="K1588" s="27"/>
      <c r="M1588" s="27"/>
      <c r="O1588" s="27"/>
      <c r="R1588" s="27"/>
    </row>
    <row r="1589" spans="5:18" ht="21" customHeight="1">
      <c r="E1589" s="27"/>
      <c r="G1589" s="27"/>
      <c r="I1589" s="27"/>
      <c r="K1589" s="27"/>
      <c r="M1589" s="27"/>
      <c r="O1589" s="27"/>
      <c r="R1589" s="27"/>
    </row>
    <row r="1590" spans="5:18" ht="21" customHeight="1">
      <c r="E1590" s="27"/>
      <c r="G1590" s="27"/>
      <c r="I1590" s="27"/>
      <c r="K1590" s="27"/>
      <c r="M1590" s="27"/>
      <c r="O1590" s="27"/>
      <c r="R1590" s="27"/>
    </row>
    <row r="1591" spans="5:18" ht="21" customHeight="1">
      <c r="E1591" s="27"/>
      <c r="G1591" s="27"/>
      <c r="I1591" s="27"/>
      <c r="K1591" s="27"/>
      <c r="M1591" s="27"/>
      <c r="O1591" s="27"/>
      <c r="R1591" s="27"/>
    </row>
    <row r="1592" spans="5:18" ht="21" customHeight="1">
      <c r="E1592" s="27"/>
      <c r="G1592" s="27"/>
      <c r="I1592" s="27"/>
      <c r="K1592" s="27"/>
      <c r="M1592" s="27"/>
      <c r="O1592" s="27"/>
      <c r="R1592" s="27"/>
    </row>
    <row r="1593" spans="5:18" ht="21" customHeight="1">
      <c r="E1593" s="27"/>
      <c r="G1593" s="27"/>
      <c r="I1593" s="27"/>
      <c r="K1593" s="27"/>
      <c r="M1593" s="27"/>
      <c r="O1593" s="27"/>
      <c r="R1593" s="27"/>
    </row>
    <row r="1594" spans="5:18" ht="21" customHeight="1">
      <c r="E1594" s="27"/>
      <c r="G1594" s="27"/>
      <c r="I1594" s="27"/>
      <c r="K1594" s="27"/>
      <c r="M1594" s="27"/>
      <c r="O1594" s="27"/>
      <c r="R1594" s="27"/>
    </row>
    <row r="1595" spans="5:18" ht="21" customHeight="1">
      <c r="E1595" s="27"/>
      <c r="G1595" s="27"/>
      <c r="I1595" s="27"/>
      <c r="K1595" s="27"/>
      <c r="M1595" s="27"/>
      <c r="O1595" s="27"/>
      <c r="R1595" s="27"/>
    </row>
    <row r="1596" spans="5:18" ht="21" customHeight="1">
      <c r="E1596" s="27"/>
      <c r="G1596" s="27"/>
      <c r="I1596" s="27"/>
      <c r="K1596" s="27"/>
      <c r="M1596" s="27"/>
      <c r="O1596" s="27"/>
      <c r="R1596" s="27"/>
    </row>
    <row r="1597" spans="5:18" ht="21" customHeight="1">
      <c r="E1597" s="27"/>
      <c r="G1597" s="27"/>
      <c r="I1597" s="27"/>
      <c r="K1597" s="27"/>
      <c r="M1597" s="27"/>
      <c r="O1597" s="27"/>
      <c r="R1597" s="27"/>
    </row>
    <row r="1598" spans="5:18" ht="21" customHeight="1">
      <c r="E1598" s="27"/>
      <c r="G1598" s="27"/>
      <c r="I1598" s="27"/>
      <c r="K1598" s="27"/>
      <c r="M1598" s="27"/>
      <c r="O1598" s="27"/>
      <c r="R1598" s="27"/>
    </row>
    <row r="1599" spans="5:18" ht="21" customHeight="1">
      <c r="E1599" s="27"/>
      <c r="G1599" s="27"/>
      <c r="I1599" s="27"/>
      <c r="K1599" s="27"/>
      <c r="M1599" s="27"/>
      <c r="O1599" s="27"/>
      <c r="R1599" s="27"/>
    </row>
    <row r="1600" spans="5:18" ht="21" customHeight="1">
      <c r="E1600" s="27"/>
      <c r="G1600" s="27"/>
      <c r="I1600" s="27"/>
      <c r="K1600" s="27"/>
      <c r="M1600" s="27"/>
      <c r="O1600" s="27"/>
      <c r="R1600" s="27"/>
    </row>
    <row r="1601" spans="5:18" ht="21" customHeight="1">
      <c r="E1601" s="27"/>
      <c r="G1601" s="27"/>
      <c r="I1601" s="27"/>
      <c r="K1601" s="27"/>
      <c r="M1601" s="27"/>
      <c r="O1601" s="27"/>
      <c r="R1601" s="27"/>
    </row>
    <row r="1602" spans="5:18" ht="21" customHeight="1">
      <c r="E1602" s="27"/>
      <c r="G1602" s="27"/>
      <c r="I1602" s="27"/>
      <c r="K1602" s="27"/>
      <c r="M1602" s="27"/>
      <c r="O1602" s="27"/>
      <c r="R1602" s="27"/>
    </row>
    <row r="1603" spans="5:18" ht="21" customHeight="1">
      <c r="E1603" s="27"/>
      <c r="G1603" s="27"/>
      <c r="I1603" s="27"/>
      <c r="K1603" s="27"/>
      <c r="M1603" s="27"/>
      <c r="O1603" s="27"/>
      <c r="R1603" s="27"/>
    </row>
    <row r="1604" spans="5:18" ht="21" customHeight="1">
      <c r="E1604" s="27"/>
      <c r="G1604" s="27"/>
      <c r="I1604" s="27"/>
      <c r="K1604" s="27"/>
      <c r="M1604" s="27"/>
      <c r="O1604" s="27"/>
      <c r="R1604" s="27"/>
    </row>
    <row r="1605" spans="5:18" ht="21" customHeight="1">
      <c r="E1605" s="27"/>
      <c r="G1605" s="27"/>
      <c r="I1605" s="27"/>
      <c r="K1605" s="27"/>
      <c r="M1605" s="27"/>
      <c r="O1605" s="27"/>
      <c r="R1605" s="27"/>
    </row>
    <row r="1606" spans="5:18" ht="21" customHeight="1">
      <c r="E1606" s="27"/>
      <c r="G1606" s="27"/>
      <c r="I1606" s="27"/>
      <c r="K1606" s="27"/>
      <c r="M1606" s="27"/>
      <c r="O1606" s="27"/>
      <c r="R1606" s="27"/>
    </row>
    <row r="1607" spans="5:18" ht="21" customHeight="1">
      <c r="E1607" s="27"/>
      <c r="G1607" s="27"/>
      <c r="I1607" s="27"/>
      <c r="K1607" s="27"/>
      <c r="M1607" s="27"/>
      <c r="O1607" s="27"/>
      <c r="R1607" s="27"/>
    </row>
    <row r="1608" spans="5:18" ht="21" customHeight="1">
      <c r="E1608" s="27"/>
      <c r="G1608" s="27"/>
      <c r="I1608" s="27"/>
      <c r="K1608" s="27"/>
      <c r="M1608" s="27"/>
      <c r="O1608" s="27"/>
      <c r="R1608" s="27"/>
    </row>
    <row r="1609" spans="5:18" ht="21" customHeight="1">
      <c r="E1609" s="27"/>
      <c r="G1609" s="27"/>
      <c r="I1609" s="27"/>
      <c r="K1609" s="27"/>
      <c r="M1609" s="27"/>
      <c r="O1609" s="27"/>
      <c r="R1609" s="27"/>
    </row>
    <row r="1610" spans="5:18" ht="21" customHeight="1">
      <c r="E1610" s="27"/>
      <c r="G1610" s="27"/>
      <c r="I1610" s="27"/>
      <c r="K1610" s="27"/>
      <c r="M1610" s="27"/>
      <c r="O1610" s="27"/>
      <c r="R1610" s="27"/>
    </row>
    <row r="1611" spans="5:18" ht="21" customHeight="1">
      <c r="E1611" s="27"/>
      <c r="G1611" s="27"/>
      <c r="I1611" s="27"/>
      <c r="K1611" s="27"/>
      <c r="M1611" s="27"/>
      <c r="O1611" s="27"/>
      <c r="R1611" s="27"/>
    </row>
    <row r="1612" spans="5:18" ht="21" customHeight="1">
      <c r="E1612" s="27"/>
      <c r="G1612" s="27"/>
      <c r="I1612" s="27"/>
      <c r="K1612" s="27"/>
      <c r="M1612" s="27"/>
      <c r="O1612" s="27"/>
      <c r="R1612" s="27"/>
    </row>
    <row r="1613" spans="5:18" ht="21" customHeight="1">
      <c r="E1613" s="27"/>
      <c r="G1613" s="27"/>
      <c r="I1613" s="27"/>
      <c r="K1613" s="27"/>
      <c r="M1613" s="27"/>
      <c r="O1613" s="27"/>
      <c r="R1613" s="27"/>
    </row>
    <row r="1614" spans="5:18" ht="21" customHeight="1">
      <c r="E1614" s="27"/>
      <c r="G1614" s="27"/>
      <c r="I1614" s="27"/>
      <c r="K1614" s="27"/>
      <c r="M1614" s="27"/>
      <c r="O1614" s="27"/>
      <c r="R1614" s="27"/>
    </row>
    <row r="1615" spans="5:18" ht="21" customHeight="1">
      <c r="E1615" s="27"/>
      <c r="G1615" s="27"/>
      <c r="I1615" s="27"/>
      <c r="K1615" s="27"/>
      <c r="M1615" s="27"/>
      <c r="O1615" s="27"/>
      <c r="R1615" s="27"/>
    </row>
    <row r="1616" spans="5:18" ht="21" customHeight="1">
      <c r="E1616" s="27"/>
      <c r="G1616" s="27"/>
      <c r="I1616" s="27"/>
      <c r="K1616" s="27"/>
      <c r="M1616" s="27"/>
      <c r="O1616" s="27"/>
      <c r="R1616" s="27"/>
    </row>
    <row r="1617" spans="5:18" ht="21" customHeight="1">
      <c r="E1617" s="27"/>
      <c r="G1617" s="27"/>
      <c r="I1617" s="27"/>
      <c r="K1617" s="27"/>
      <c r="M1617" s="27"/>
      <c r="O1617" s="27"/>
      <c r="R1617" s="27"/>
    </row>
    <row r="1618" spans="5:18" ht="21" customHeight="1">
      <c r="E1618" s="27"/>
      <c r="G1618" s="27"/>
      <c r="I1618" s="27"/>
      <c r="K1618" s="27"/>
      <c r="M1618" s="27"/>
      <c r="O1618" s="27"/>
      <c r="R1618" s="27"/>
    </row>
    <row r="1619" spans="5:18" ht="21" customHeight="1">
      <c r="E1619" s="27"/>
      <c r="G1619" s="27"/>
      <c r="I1619" s="27"/>
      <c r="K1619" s="27"/>
      <c r="M1619" s="27"/>
      <c r="O1619" s="27"/>
      <c r="R1619" s="27"/>
    </row>
    <row r="1620" spans="5:18" ht="21" customHeight="1">
      <c r="E1620" s="27"/>
      <c r="G1620" s="27"/>
      <c r="I1620" s="27"/>
      <c r="K1620" s="27"/>
      <c r="M1620" s="27"/>
      <c r="O1620" s="27"/>
      <c r="R1620" s="27"/>
    </row>
    <row r="1621" spans="5:18" ht="21" customHeight="1">
      <c r="E1621" s="27"/>
      <c r="G1621" s="27"/>
      <c r="I1621" s="27"/>
      <c r="K1621" s="27"/>
      <c r="M1621" s="27"/>
      <c r="O1621" s="27"/>
      <c r="R1621" s="27"/>
    </row>
    <row r="1622" spans="5:18" ht="21" customHeight="1">
      <c r="E1622" s="27"/>
      <c r="G1622" s="27"/>
      <c r="I1622" s="27"/>
      <c r="K1622" s="27"/>
      <c r="M1622" s="27"/>
      <c r="O1622" s="27"/>
      <c r="R1622" s="27"/>
    </row>
    <row r="1623" spans="5:18" ht="21" customHeight="1">
      <c r="E1623" s="27"/>
      <c r="G1623" s="27"/>
      <c r="I1623" s="27"/>
      <c r="K1623" s="27"/>
      <c r="M1623" s="27"/>
      <c r="O1623" s="27"/>
      <c r="R1623" s="27"/>
    </row>
    <row r="1624" spans="5:18" ht="21" customHeight="1">
      <c r="E1624" s="27"/>
      <c r="G1624" s="27"/>
      <c r="I1624" s="27"/>
      <c r="K1624" s="27"/>
      <c r="M1624" s="27"/>
      <c r="O1624" s="27"/>
      <c r="R1624" s="27"/>
    </row>
    <row r="1625" spans="5:18" ht="21" customHeight="1">
      <c r="E1625" s="27"/>
      <c r="G1625" s="27"/>
      <c r="I1625" s="27"/>
      <c r="K1625" s="27"/>
      <c r="M1625" s="27"/>
      <c r="O1625" s="27"/>
      <c r="R1625" s="27"/>
    </row>
    <row r="1626" spans="5:18" ht="21" customHeight="1">
      <c r="E1626" s="27"/>
      <c r="G1626" s="27"/>
      <c r="I1626" s="27"/>
      <c r="K1626" s="27"/>
      <c r="M1626" s="27"/>
      <c r="O1626" s="27"/>
      <c r="R1626" s="27"/>
    </row>
    <row r="1627" spans="5:18" ht="21" customHeight="1">
      <c r="E1627" s="27"/>
      <c r="G1627" s="27"/>
      <c r="I1627" s="27"/>
      <c r="K1627" s="27"/>
      <c r="M1627" s="27"/>
      <c r="O1627" s="27"/>
      <c r="R1627" s="27"/>
    </row>
    <row r="1628" spans="5:18" ht="21" customHeight="1">
      <c r="E1628" s="27"/>
      <c r="G1628" s="27"/>
      <c r="I1628" s="27"/>
      <c r="K1628" s="27"/>
      <c r="M1628" s="27"/>
      <c r="O1628" s="27"/>
      <c r="R1628" s="27"/>
    </row>
    <row r="1629" spans="5:18" ht="21" customHeight="1">
      <c r="E1629" s="27"/>
      <c r="G1629" s="27"/>
      <c r="I1629" s="27"/>
      <c r="K1629" s="27"/>
      <c r="M1629" s="27"/>
      <c r="O1629" s="27"/>
      <c r="R1629" s="27"/>
    </row>
    <row r="1630" spans="5:18" ht="21" customHeight="1">
      <c r="E1630" s="27"/>
      <c r="G1630" s="27"/>
      <c r="I1630" s="27"/>
      <c r="K1630" s="27"/>
      <c r="M1630" s="27"/>
      <c r="O1630" s="27"/>
      <c r="R1630" s="27"/>
    </row>
    <row r="1631" spans="5:18" ht="21" customHeight="1">
      <c r="E1631" s="27"/>
      <c r="G1631" s="27"/>
      <c r="I1631" s="27"/>
      <c r="K1631" s="27"/>
      <c r="M1631" s="27"/>
      <c r="O1631" s="27"/>
      <c r="R1631" s="27"/>
    </row>
    <row r="1632" spans="5:18" ht="21" customHeight="1">
      <c r="E1632" s="27"/>
      <c r="G1632" s="27"/>
      <c r="I1632" s="27"/>
      <c r="K1632" s="27"/>
      <c r="M1632" s="27"/>
      <c r="O1632" s="27"/>
      <c r="R1632" s="27"/>
    </row>
    <row r="1633" spans="5:18" ht="21" customHeight="1">
      <c r="E1633" s="27"/>
      <c r="G1633" s="27"/>
      <c r="I1633" s="27"/>
      <c r="K1633" s="27"/>
      <c r="M1633" s="27"/>
      <c r="O1633" s="27"/>
      <c r="R1633" s="27"/>
    </row>
    <row r="1634" spans="5:18" ht="21" customHeight="1">
      <c r="E1634" s="27"/>
      <c r="G1634" s="27"/>
      <c r="I1634" s="27"/>
      <c r="K1634" s="27"/>
      <c r="M1634" s="27"/>
      <c r="O1634" s="27"/>
      <c r="R1634" s="27"/>
    </row>
    <row r="1635" spans="5:18" ht="21" customHeight="1">
      <c r="E1635" s="27"/>
      <c r="G1635" s="27"/>
      <c r="I1635" s="27"/>
      <c r="K1635" s="27"/>
      <c r="M1635" s="27"/>
      <c r="O1635" s="27"/>
      <c r="R1635" s="27"/>
    </row>
    <row r="1636" spans="5:18" ht="21" customHeight="1">
      <c r="E1636" s="27"/>
      <c r="G1636" s="27"/>
      <c r="I1636" s="27"/>
      <c r="K1636" s="27"/>
      <c r="M1636" s="27"/>
      <c r="O1636" s="27"/>
      <c r="R1636" s="27"/>
    </row>
    <row r="1637" spans="5:18" ht="21" customHeight="1">
      <c r="E1637" s="27"/>
      <c r="G1637" s="27"/>
      <c r="I1637" s="27"/>
      <c r="K1637" s="27"/>
      <c r="M1637" s="27"/>
      <c r="O1637" s="27"/>
      <c r="R1637" s="27"/>
    </row>
    <row r="1638" spans="5:18" ht="21" customHeight="1">
      <c r="E1638" s="27"/>
      <c r="G1638" s="27"/>
      <c r="I1638" s="27"/>
      <c r="K1638" s="27"/>
      <c r="M1638" s="27"/>
      <c r="O1638" s="27"/>
      <c r="R1638" s="27"/>
    </row>
    <row r="1639" spans="5:18" ht="21" customHeight="1">
      <c r="E1639" s="27"/>
      <c r="G1639" s="27"/>
      <c r="I1639" s="27"/>
      <c r="K1639" s="27"/>
      <c r="M1639" s="27"/>
      <c r="O1639" s="27"/>
      <c r="R1639" s="27"/>
    </row>
    <row r="1640" spans="5:18" ht="21" customHeight="1">
      <c r="E1640" s="27"/>
      <c r="G1640" s="27"/>
      <c r="I1640" s="27"/>
      <c r="K1640" s="27"/>
      <c r="M1640" s="27"/>
      <c r="O1640" s="27"/>
      <c r="R1640" s="27"/>
    </row>
    <row r="1641" spans="5:18" ht="21" customHeight="1">
      <c r="E1641" s="27"/>
      <c r="G1641" s="27"/>
      <c r="I1641" s="27"/>
      <c r="K1641" s="27"/>
      <c r="M1641" s="27"/>
      <c r="O1641" s="27"/>
      <c r="R1641" s="27"/>
    </row>
    <row r="1642" spans="5:18" ht="21" customHeight="1">
      <c r="E1642" s="27"/>
      <c r="G1642" s="27"/>
      <c r="I1642" s="27"/>
      <c r="K1642" s="27"/>
      <c r="M1642" s="27"/>
      <c r="O1642" s="27"/>
      <c r="R1642" s="27"/>
    </row>
    <row r="1643" spans="5:18" ht="21" customHeight="1">
      <c r="E1643" s="27"/>
      <c r="G1643" s="27"/>
      <c r="I1643" s="27"/>
      <c r="K1643" s="27"/>
      <c r="M1643" s="27"/>
      <c r="O1643" s="27"/>
      <c r="R1643" s="27"/>
    </row>
    <row r="1644" spans="5:18" ht="21" customHeight="1">
      <c r="E1644" s="27"/>
      <c r="G1644" s="27"/>
      <c r="I1644" s="27"/>
      <c r="K1644" s="27"/>
      <c r="M1644" s="27"/>
      <c r="O1644" s="27"/>
      <c r="R1644" s="27"/>
    </row>
    <row r="1645" spans="5:18" ht="21" customHeight="1">
      <c r="E1645" s="27"/>
      <c r="G1645" s="27"/>
      <c r="I1645" s="27"/>
      <c r="K1645" s="27"/>
      <c r="M1645" s="27"/>
      <c r="O1645" s="27"/>
      <c r="R1645" s="27"/>
    </row>
    <row r="1646" spans="5:18" ht="21" customHeight="1">
      <c r="E1646" s="27"/>
      <c r="G1646" s="27"/>
      <c r="I1646" s="27"/>
      <c r="K1646" s="27"/>
      <c r="M1646" s="27"/>
      <c r="O1646" s="27"/>
      <c r="R1646" s="27"/>
    </row>
    <row r="1647" spans="5:18" ht="21" customHeight="1">
      <c r="E1647" s="27"/>
      <c r="G1647" s="27"/>
      <c r="I1647" s="27"/>
      <c r="K1647" s="27"/>
      <c r="M1647" s="27"/>
      <c r="O1647" s="27"/>
      <c r="R1647" s="27"/>
    </row>
    <row r="1648" spans="5:18" ht="21" customHeight="1">
      <c r="E1648" s="27"/>
      <c r="G1648" s="27"/>
      <c r="I1648" s="27"/>
      <c r="K1648" s="27"/>
      <c r="M1648" s="27"/>
      <c r="O1648" s="27"/>
      <c r="R1648" s="27"/>
    </row>
    <row r="1649" spans="5:18" ht="21" customHeight="1">
      <c r="E1649" s="27"/>
      <c r="G1649" s="27"/>
      <c r="I1649" s="27"/>
      <c r="K1649" s="27"/>
      <c r="M1649" s="27"/>
      <c r="O1649" s="27"/>
      <c r="R1649" s="27"/>
    </row>
    <row r="1650" spans="5:18" ht="21" customHeight="1">
      <c r="E1650" s="27"/>
      <c r="G1650" s="27"/>
      <c r="I1650" s="27"/>
      <c r="K1650" s="27"/>
      <c r="M1650" s="27"/>
      <c r="O1650" s="27"/>
      <c r="R1650" s="27"/>
    </row>
    <row r="1651" spans="5:18" ht="21" customHeight="1">
      <c r="E1651" s="27"/>
      <c r="G1651" s="27"/>
      <c r="I1651" s="27"/>
      <c r="K1651" s="27"/>
      <c r="M1651" s="27"/>
      <c r="O1651" s="27"/>
      <c r="R1651" s="27"/>
    </row>
    <row r="1652" spans="5:18" ht="21" customHeight="1">
      <c r="E1652" s="27"/>
      <c r="G1652" s="27"/>
      <c r="I1652" s="27"/>
      <c r="K1652" s="27"/>
      <c r="M1652" s="27"/>
      <c r="O1652" s="27"/>
      <c r="R1652" s="27"/>
    </row>
    <row r="1653" spans="5:18" ht="21" customHeight="1">
      <c r="E1653" s="27"/>
      <c r="G1653" s="27"/>
      <c r="I1653" s="27"/>
      <c r="K1653" s="27"/>
      <c r="M1653" s="27"/>
      <c r="O1653" s="27"/>
      <c r="R1653" s="27"/>
    </row>
    <row r="1654" spans="5:18" ht="21" customHeight="1">
      <c r="E1654" s="27"/>
      <c r="G1654" s="27"/>
      <c r="I1654" s="27"/>
      <c r="K1654" s="27"/>
      <c r="M1654" s="27"/>
      <c r="O1654" s="27"/>
      <c r="R1654" s="27"/>
    </row>
    <row r="1655" spans="5:18" ht="21" customHeight="1">
      <c r="E1655" s="27"/>
      <c r="G1655" s="27"/>
      <c r="I1655" s="27"/>
      <c r="K1655" s="27"/>
      <c r="M1655" s="27"/>
      <c r="O1655" s="27"/>
      <c r="R1655" s="27"/>
    </row>
    <row r="1656" spans="5:18" ht="21" customHeight="1">
      <c r="E1656" s="27"/>
      <c r="G1656" s="27"/>
      <c r="I1656" s="27"/>
      <c r="K1656" s="27"/>
      <c r="M1656" s="27"/>
      <c r="O1656" s="27"/>
      <c r="R1656" s="27"/>
    </row>
    <row r="1657" spans="5:18" ht="21" customHeight="1">
      <c r="E1657" s="27"/>
      <c r="G1657" s="27"/>
      <c r="I1657" s="27"/>
      <c r="K1657" s="27"/>
      <c r="M1657" s="27"/>
      <c r="O1657" s="27"/>
      <c r="R1657" s="27"/>
    </row>
    <row r="1658" spans="5:18" ht="21" customHeight="1">
      <c r="E1658" s="27"/>
      <c r="G1658" s="27"/>
      <c r="I1658" s="27"/>
      <c r="K1658" s="27"/>
      <c r="M1658" s="27"/>
      <c r="O1658" s="27"/>
      <c r="R1658" s="27"/>
    </row>
    <row r="1659" spans="5:18" ht="21" customHeight="1">
      <c r="E1659" s="27"/>
      <c r="G1659" s="27"/>
      <c r="I1659" s="27"/>
      <c r="K1659" s="27"/>
      <c r="M1659" s="27"/>
      <c r="O1659" s="27"/>
      <c r="R1659" s="27"/>
    </row>
    <row r="1660" spans="5:18" ht="21" customHeight="1">
      <c r="E1660" s="27"/>
      <c r="G1660" s="27"/>
      <c r="I1660" s="27"/>
      <c r="K1660" s="27"/>
      <c r="M1660" s="27"/>
      <c r="O1660" s="27"/>
      <c r="R1660" s="27"/>
    </row>
    <row r="1661" spans="5:18" ht="21" customHeight="1">
      <c r="E1661" s="27"/>
      <c r="G1661" s="27"/>
      <c r="I1661" s="27"/>
      <c r="K1661" s="27"/>
      <c r="M1661" s="27"/>
      <c r="O1661" s="27"/>
      <c r="R1661" s="27"/>
    </row>
    <row r="1662" spans="5:18" ht="21" customHeight="1">
      <c r="E1662" s="27"/>
      <c r="G1662" s="27"/>
      <c r="I1662" s="27"/>
      <c r="K1662" s="27"/>
      <c r="M1662" s="27"/>
      <c r="O1662" s="27"/>
      <c r="R1662" s="27"/>
    </row>
    <row r="1663" spans="5:18" ht="21" customHeight="1">
      <c r="E1663" s="27"/>
      <c r="G1663" s="27"/>
      <c r="I1663" s="27"/>
      <c r="K1663" s="27"/>
      <c r="M1663" s="27"/>
      <c r="O1663" s="27"/>
      <c r="R1663" s="27"/>
    </row>
    <row r="1664" spans="5:18" ht="21" customHeight="1">
      <c r="E1664" s="27"/>
      <c r="G1664" s="27"/>
      <c r="I1664" s="27"/>
      <c r="K1664" s="27"/>
      <c r="M1664" s="27"/>
      <c r="O1664" s="27"/>
      <c r="R1664" s="27"/>
    </row>
    <row r="1665" spans="5:18" ht="21" customHeight="1">
      <c r="E1665" s="27"/>
      <c r="G1665" s="27"/>
      <c r="I1665" s="27"/>
      <c r="K1665" s="27"/>
      <c r="M1665" s="27"/>
      <c r="O1665" s="27"/>
      <c r="R1665" s="27"/>
    </row>
    <row r="1666" spans="5:18" ht="21" customHeight="1">
      <c r="E1666" s="27"/>
      <c r="G1666" s="27"/>
      <c r="I1666" s="27"/>
      <c r="K1666" s="27"/>
      <c r="M1666" s="27"/>
      <c r="O1666" s="27"/>
      <c r="R1666" s="27"/>
    </row>
    <row r="1667" spans="5:18" ht="21" customHeight="1">
      <c r="E1667" s="27"/>
      <c r="G1667" s="27"/>
      <c r="I1667" s="27"/>
      <c r="K1667" s="27"/>
      <c r="M1667" s="27"/>
      <c r="O1667" s="27"/>
      <c r="R1667" s="27"/>
    </row>
    <row r="1668" spans="5:18" ht="21" customHeight="1">
      <c r="E1668" s="27"/>
      <c r="G1668" s="27"/>
      <c r="I1668" s="27"/>
      <c r="K1668" s="27"/>
      <c r="M1668" s="27"/>
      <c r="O1668" s="27"/>
      <c r="R1668" s="27"/>
    </row>
    <row r="1669" spans="5:18" ht="21" customHeight="1">
      <c r="E1669" s="27"/>
      <c r="G1669" s="27"/>
      <c r="I1669" s="27"/>
      <c r="K1669" s="27"/>
      <c r="M1669" s="27"/>
      <c r="O1669" s="27"/>
      <c r="R1669" s="27"/>
    </row>
    <row r="1670" spans="5:18" ht="21" customHeight="1">
      <c r="E1670" s="27"/>
      <c r="G1670" s="27"/>
      <c r="I1670" s="27"/>
      <c r="K1670" s="27"/>
      <c r="M1670" s="27"/>
      <c r="O1670" s="27"/>
      <c r="R1670" s="27"/>
    </row>
    <row r="1671" spans="5:18" ht="21" customHeight="1">
      <c r="E1671" s="27"/>
      <c r="G1671" s="27"/>
      <c r="I1671" s="27"/>
      <c r="K1671" s="27"/>
      <c r="M1671" s="27"/>
      <c r="O1671" s="27"/>
      <c r="R1671" s="27"/>
    </row>
    <row r="1672" spans="5:18" ht="21" customHeight="1">
      <c r="E1672" s="27"/>
      <c r="G1672" s="27"/>
      <c r="I1672" s="27"/>
      <c r="K1672" s="27"/>
      <c r="M1672" s="27"/>
      <c r="O1672" s="27"/>
      <c r="R1672" s="27"/>
    </row>
    <row r="1673" spans="5:18" ht="21" customHeight="1">
      <c r="E1673" s="27"/>
      <c r="G1673" s="27"/>
      <c r="I1673" s="27"/>
      <c r="K1673" s="27"/>
      <c r="M1673" s="27"/>
      <c r="O1673" s="27"/>
      <c r="R1673" s="27"/>
    </row>
    <row r="1674" spans="5:18" ht="21" customHeight="1">
      <c r="E1674" s="27"/>
      <c r="G1674" s="27"/>
      <c r="I1674" s="27"/>
      <c r="K1674" s="27"/>
      <c r="M1674" s="27"/>
      <c r="O1674" s="27"/>
      <c r="R1674" s="27"/>
    </row>
    <row r="1675" spans="5:18" ht="21" customHeight="1">
      <c r="E1675" s="27"/>
      <c r="G1675" s="27"/>
      <c r="I1675" s="27"/>
      <c r="K1675" s="27"/>
      <c r="M1675" s="27"/>
      <c r="O1675" s="27"/>
      <c r="R1675" s="27"/>
    </row>
    <row r="1676" spans="5:18" ht="21" customHeight="1">
      <c r="E1676" s="27"/>
      <c r="G1676" s="27"/>
      <c r="I1676" s="27"/>
      <c r="K1676" s="27"/>
      <c r="M1676" s="27"/>
      <c r="O1676" s="27"/>
      <c r="R1676" s="27"/>
    </row>
    <row r="1677" spans="5:18" ht="21" customHeight="1">
      <c r="E1677" s="27"/>
      <c r="G1677" s="27"/>
      <c r="I1677" s="27"/>
      <c r="K1677" s="27"/>
      <c r="M1677" s="27"/>
      <c r="O1677" s="27"/>
      <c r="R1677" s="27"/>
    </row>
    <row r="1678" spans="5:18" ht="21" customHeight="1">
      <c r="E1678" s="27"/>
      <c r="G1678" s="27"/>
      <c r="I1678" s="27"/>
      <c r="K1678" s="27"/>
      <c r="M1678" s="27"/>
      <c r="O1678" s="27"/>
      <c r="R1678" s="27"/>
    </row>
    <row r="1679" spans="5:18" ht="21" customHeight="1">
      <c r="E1679" s="27"/>
      <c r="G1679" s="27"/>
      <c r="I1679" s="27"/>
      <c r="K1679" s="27"/>
      <c r="M1679" s="27"/>
      <c r="O1679" s="27"/>
      <c r="R1679" s="27"/>
    </row>
    <row r="1680" spans="5:18" ht="21" customHeight="1">
      <c r="E1680" s="27"/>
      <c r="G1680" s="27"/>
      <c r="I1680" s="27"/>
      <c r="K1680" s="27"/>
      <c r="M1680" s="27"/>
      <c r="O1680" s="27"/>
      <c r="R1680" s="27"/>
    </row>
    <row r="1681" spans="5:18" ht="21" customHeight="1">
      <c r="E1681" s="27"/>
      <c r="G1681" s="27"/>
      <c r="I1681" s="27"/>
      <c r="K1681" s="27"/>
      <c r="M1681" s="27"/>
      <c r="O1681" s="27"/>
      <c r="R1681" s="27"/>
    </row>
    <row r="1682" spans="5:18" ht="21" customHeight="1">
      <c r="E1682" s="27"/>
      <c r="G1682" s="27"/>
      <c r="I1682" s="27"/>
      <c r="K1682" s="27"/>
      <c r="M1682" s="27"/>
      <c r="O1682" s="27"/>
      <c r="R1682" s="27"/>
    </row>
    <row r="1683" spans="5:18" ht="21" customHeight="1">
      <c r="E1683" s="27"/>
      <c r="G1683" s="27"/>
      <c r="I1683" s="27"/>
      <c r="K1683" s="27"/>
      <c r="M1683" s="27"/>
      <c r="O1683" s="27"/>
      <c r="R1683" s="27"/>
    </row>
    <row r="1684" spans="5:18" ht="21" customHeight="1">
      <c r="E1684" s="27"/>
      <c r="G1684" s="27"/>
      <c r="I1684" s="27"/>
      <c r="K1684" s="27"/>
      <c r="M1684" s="27"/>
      <c r="O1684" s="27"/>
      <c r="R1684" s="27"/>
    </row>
    <row r="1685" spans="5:18" ht="21" customHeight="1">
      <c r="E1685" s="27"/>
      <c r="G1685" s="27"/>
      <c r="I1685" s="27"/>
      <c r="K1685" s="27"/>
      <c r="M1685" s="27"/>
      <c r="O1685" s="27"/>
      <c r="R1685" s="27"/>
    </row>
    <row r="1686" spans="5:18" ht="21" customHeight="1">
      <c r="E1686" s="27"/>
      <c r="G1686" s="27"/>
      <c r="I1686" s="27"/>
      <c r="K1686" s="27"/>
      <c r="M1686" s="27"/>
      <c r="O1686" s="27"/>
      <c r="R1686" s="27"/>
    </row>
    <row r="1687" spans="5:18" ht="21" customHeight="1">
      <c r="E1687" s="27"/>
      <c r="G1687" s="27"/>
      <c r="I1687" s="27"/>
      <c r="K1687" s="27"/>
      <c r="M1687" s="27"/>
      <c r="O1687" s="27"/>
      <c r="R1687" s="27"/>
    </row>
    <row r="1688" spans="5:18" ht="21" customHeight="1">
      <c r="E1688" s="27"/>
      <c r="G1688" s="27"/>
      <c r="I1688" s="27"/>
      <c r="K1688" s="27"/>
      <c r="M1688" s="27"/>
      <c r="O1688" s="27"/>
      <c r="R1688" s="27"/>
    </row>
    <row r="1689" spans="5:18" ht="21" customHeight="1">
      <c r="E1689" s="27"/>
      <c r="G1689" s="27"/>
      <c r="I1689" s="27"/>
      <c r="K1689" s="27"/>
      <c r="M1689" s="27"/>
      <c r="O1689" s="27"/>
      <c r="R1689" s="27"/>
    </row>
    <row r="1690" spans="5:18" ht="21" customHeight="1">
      <c r="E1690" s="27"/>
      <c r="G1690" s="27"/>
      <c r="I1690" s="27"/>
      <c r="K1690" s="27"/>
      <c r="M1690" s="27"/>
      <c r="O1690" s="27"/>
      <c r="R1690" s="27"/>
    </row>
    <row r="1691" spans="5:18" ht="21" customHeight="1">
      <c r="E1691" s="27"/>
      <c r="G1691" s="27"/>
      <c r="I1691" s="27"/>
      <c r="K1691" s="27"/>
      <c r="M1691" s="27"/>
      <c r="O1691" s="27"/>
      <c r="R1691" s="27"/>
    </row>
    <row r="1692" spans="5:18" ht="21" customHeight="1">
      <c r="E1692" s="27"/>
      <c r="G1692" s="27"/>
      <c r="I1692" s="27"/>
      <c r="K1692" s="27"/>
      <c r="M1692" s="27"/>
      <c r="O1692" s="27"/>
      <c r="R1692" s="27"/>
    </row>
    <row r="1693" spans="5:18" ht="21" customHeight="1">
      <c r="E1693" s="27"/>
      <c r="G1693" s="27"/>
      <c r="I1693" s="27"/>
      <c r="K1693" s="27"/>
      <c r="M1693" s="27"/>
      <c r="O1693" s="27"/>
      <c r="R1693" s="27"/>
    </row>
    <row r="1694" spans="5:18" ht="21" customHeight="1">
      <c r="E1694" s="27"/>
      <c r="G1694" s="27"/>
      <c r="I1694" s="27"/>
      <c r="K1694" s="27"/>
      <c r="M1694" s="27"/>
      <c r="O1694" s="27"/>
      <c r="R1694" s="27"/>
    </row>
    <row r="1695" spans="5:18" ht="21" customHeight="1">
      <c r="E1695" s="27"/>
      <c r="G1695" s="27"/>
      <c r="I1695" s="27"/>
      <c r="K1695" s="27"/>
      <c r="M1695" s="27"/>
      <c r="O1695" s="27"/>
      <c r="R1695" s="27"/>
    </row>
    <row r="1696" spans="5:18" ht="21" customHeight="1">
      <c r="E1696" s="27"/>
      <c r="G1696" s="27"/>
      <c r="I1696" s="27"/>
      <c r="K1696" s="27"/>
      <c r="M1696" s="27"/>
      <c r="O1696" s="27"/>
      <c r="R1696" s="27"/>
    </row>
    <row r="1697" spans="5:18" ht="21" customHeight="1">
      <c r="E1697" s="27"/>
      <c r="G1697" s="27"/>
      <c r="I1697" s="27"/>
      <c r="K1697" s="27"/>
      <c r="M1697" s="27"/>
      <c r="O1697" s="27"/>
      <c r="R1697" s="27"/>
    </row>
    <row r="1698" spans="5:18" ht="21" customHeight="1">
      <c r="E1698" s="27"/>
      <c r="G1698" s="27"/>
      <c r="I1698" s="27"/>
      <c r="K1698" s="27"/>
      <c r="M1698" s="27"/>
      <c r="O1698" s="27"/>
      <c r="R1698" s="27"/>
    </row>
    <row r="1699" spans="5:18" ht="21" customHeight="1">
      <c r="E1699" s="27"/>
      <c r="G1699" s="27"/>
      <c r="I1699" s="27"/>
      <c r="K1699" s="27"/>
      <c r="M1699" s="27"/>
      <c r="O1699" s="27"/>
      <c r="R1699" s="27"/>
    </row>
    <row r="1700" spans="5:18" ht="21" customHeight="1">
      <c r="E1700" s="27"/>
      <c r="G1700" s="27"/>
      <c r="I1700" s="27"/>
      <c r="K1700" s="27"/>
      <c r="M1700" s="27"/>
      <c r="O1700" s="27"/>
      <c r="R1700" s="27"/>
    </row>
    <row r="1701" spans="5:18" ht="21" customHeight="1">
      <c r="E1701" s="27"/>
      <c r="G1701" s="27"/>
      <c r="I1701" s="27"/>
      <c r="K1701" s="27"/>
      <c r="M1701" s="27"/>
      <c r="O1701" s="27"/>
      <c r="R1701" s="27"/>
    </row>
    <row r="1702" spans="5:18" ht="21" customHeight="1">
      <c r="E1702" s="27"/>
      <c r="G1702" s="27"/>
      <c r="I1702" s="27"/>
      <c r="K1702" s="27"/>
      <c r="M1702" s="27"/>
      <c r="O1702" s="27"/>
      <c r="R1702" s="27"/>
    </row>
    <row r="1703" spans="5:18" ht="21" customHeight="1">
      <c r="E1703" s="27"/>
      <c r="G1703" s="27"/>
      <c r="I1703" s="27"/>
      <c r="K1703" s="27"/>
      <c r="M1703" s="27"/>
      <c r="O1703" s="27"/>
      <c r="R1703" s="27"/>
    </row>
    <row r="1704" spans="5:18" ht="21" customHeight="1">
      <c r="E1704" s="27"/>
      <c r="G1704" s="27"/>
      <c r="I1704" s="27"/>
      <c r="K1704" s="27"/>
      <c r="M1704" s="27"/>
      <c r="O1704" s="27"/>
      <c r="R1704" s="27"/>
    </row>
    <row r="1705" spans="5:18" ht="21" customHeight="1">
      <c r="E1705" s="27"/>
      <c r="G1705" s="27"/>
      <c r="I1705" s="27"/>
      <c r="K1705" s="27"/>
      <c r="M1705" s="27"/>
      <c r="O1705" s="27"/>
      <c r="R1705" s="27"/>
    </row>
    <row r="1706" spans="5:18" ht="21" customHeight="1">
      <c r="E1706" s="27"/>
      <c r="G1706" s="27"/>
      <c r="I1706" s="27"/>
      <c r="K1706" s="27"/>
      <c r="M1706" s="27"/>
      <c r="O1706" s="27"/>
      <c r="R1706" s="27"/>
    </row>
    <row r="1707" spans="5:18" ht="21" customHeight="1">
      <c r="E1707" s="27"/>
      <c r="G1707" s="27"/>
      <c r="I1707" s="27"/>
      <c r="K1707" s="27"/>
      <c r="M1707" s="27"/>
      <c r="O1707" s="27"/>
      <c r="R1707" s="27"/>
    </row>
    <row r="1708" spans="5:18" ht="21" customHeight="1">
      <c r="E1708" s="27"/>
      <c r="G1708" s="27"/>
      <c r="I1708" s="27"/>
      <c r="K1708" s="27"/>
      <c r="M1708" s="27"/>
      <c r="O1708" s="27"/>
      <c r="R1708" s="27"/>
    </row>
    <row r="1709" spans="5:18" ht="21" customHeight="1">
      <c r="E1709" s="27"/>
      <c r="G1709" s="27"/>
      <c r="I1709" s="27"/>
      <c r="K1709" s="27"/>
      <c r="M1709" s="27"/>
      <c r="O1709" s="27"/>
      <c r="R1709" s="27"/>
    </row>
    <row r="1710" spans="5:18" ht="21" customHeight="1">
      <c r="E1710" s="27"/>
      <c r="G1710" s="27"/>
      <c r="I1710" s="27"/>
      <c r="K1710" s="27"/>
      <c r="M1710" s="27"/>
      <c r="O1710" s="27"/>
      <c r="R1710" s="27"/>
    </row>
    <row r="1711" spans="5:18" ht="21" customHeight="1">
      <c r="E1711" s="27"/>
      <c r="G1711" s="27"/>
      <c r="I1711" s="27"/>
      <c r="K1711" s="27"/>
      <c r="M1711" s="27"/>
      <c r="O1711" s="27"/>
      <c r="R1711" s="27"/>
    </row>
    <row r="1712" spans="5:18" ht="21" customHeight="1">
      <c r="E1712" s="27"/>
      <c r="G1712" s="27"/>
      <c r="I1712" s="27"/>
      <c r="K1712" s="27"/>
      <c r="M1712" s="27"/>
      <c r="O1712" s="27"/>
      <c r="R1712" s="27"/>
    </row>
    <row r="1713" spans="5:18" ht="21" customHeight="1">
      <c r="E1713" s="27"/>
      <c r="G1713" s="27"/>
      <c r="I1713" s="27"/>
      <c r="K1713" s="27"/>
      <c r="M1713" s="27"/>
      <c r="O1713" s="27"/>
      <c r="R1713" s="27"/>
    </row>
    <row r="1714" spans="5:18" ht="21" customHeight="1">
      <c r="E1714" s="27"/>
      <c r="G1714" s="27"/>
      <c r="I1714" s="27"/>
      <c r="K1714" s="27"/>
      <c r="M1714" s="27"/>
      <c r="O1714" s="27"/>
      <c r="R1714" s="27"/>
    </row>
    <row r="1715" spans="5:18" ht="21" customHeight="1">
      <c r="E1715" s="27"/>
      <c r="G1715" s="27"/>
      <c r="I1715" s="27"/>
      <c r="K1715" s="27"/>
      <c r="M1715" s="27"/>
      <c r="O1715" s="27"/>
      <c r="R1715" s="27"/>
    </row>
    <row r="1716" spans="5:18" ht="21" customHeight="1">
      <c r="E1716" s="27"/>
      <c r="G1716" s="27"/>
      <c r="I1716" s="27"/>
      <c r="K1716" s="27"/>
      <c r="M1716" s="27"/>
      <c r="O1716" s="27"/>
      <c r="R1716" s="27"/>
    </row>
    <row r="1717" spans="5:18" ht="21" customHeight="1">
      <c r="E1717" s="27"/>
      <c r="G1717" s="27"/>
      <c r="I1717" s="27"/>
      <c r="K1717" s="27"/>
      <c r="M1717" s="27"/>
      <c r="O1717" s="27"/>
      <c r="R1717" s="27"/>
    </row>
    <row r="1718" spans="5:18" ht="21" customHeight="1">
      <c r="E1718" s="27"/>
      <c r="G1718" s="27"/>
      <c r="I1718" s="27"/>
      <c r="K1718" s="27"/>
      <c r="M1718" s="27"/>
      <c r="O1718" s="27"/>
      <c r="R1718" s="27"/>
    </row>
    <row r="1719" spans="5:18" ht="21" customHeight="1">
      <c r="E1719" s="27"/>
      <c r="G1719" s="27"/>
      <c r="I1719" s="27"/>
      <c r="K1719" s="27"/>
      <c r="M1719" s="27"/>
      <c r="O1719" s="27"/>
      <c r="R1719" s="27"/>
    </row>
    <row r="1720" spans="5:18" ht="21" customHeight="1">
      <c r="E1720" s="27"/>
      <c r="G1720" s="27"/>
      <c r="I1720" s="27"/>
      <c r="K1720" s="27"/>
      <c r="M1720" s="27"/>
      <c r="O1720" s="27"/>
      <c r="R1720" s="27"/>
    </row>
    <row r="1721" spans="5:18" ht="21" customHeight="1">
      <c r="E1721" s="27"/>
      <c r="G1721" s="27"/>
      <c r="I1721" s="27"/>
      <c r="K1721" s="27"/>
      <c r="M1721" s="27"/>
      <c r="O1721" s="27"/>
      <c r="R1721" s="27"/>
    </row>
    <row r="1722" spans="5:18" ht="21" customHeight="1">
      <c r="E1722" s="27"/>
      <c r="G1722" s="27"/>
      <c r="I1722" s="27"/>
      <c r="K1722" s="27"/>
      <c r="M1722" s="27"/>
      <c r="O1722" s="27"/>
      <c r="R1722" s="27"/>
    </row>
    <row r="1723" spans="5:18" ht="21" customHeight="1">
      <c r="E1723" s="27"/>
      <c r="G1723" s="27"/>
      <c r="I1723" s="27"/>
      <c r="K1723" s="27"/>
      <c r="M1723" s="27"/>
      <c r="O1723" s="27"/>
      <c r="R1723" s="27"/>
    </row>
    <row r="1724" spans="5:18" ht="21" customHeight="1">
      <c r="E1724" s="27"/>
      <c r="G1724" s="27"/>
      <c r="I1724" s="27"/>
      <c r="K1724" s="27"/>
      <c r="M1724" s="27"/>
      <c r="O1724" s="27"/>
      <c r="R1724" s="27"/>
    </row>
    <row r="1725" spans="5:18" ht="21" customHeight="1">
      <c r="E1725" s="27"/>
      <c r="G1725" s="27"/>
      <c r="I1725" s="27"/>
      <c r="K1725" s="27"/>
      <c r="M1725" s="27"/>
      <c r="O1725" s="27"/>
      <c r="R1725" s="27"/>
    </row>
    <row r="1726" spans="5:18" ht="21" customHeight="1">
      <c r="E1726" s="27"/>
      <c r="G1726" s="27"/>
      <c r="I1726" s="27"/>
      <c r="K1726" s="27"/>
      <c r="M1726" s="27"/>
      <c r="O1726" s="27"/>
      <c r="R1726" s="27"/>
    </row>
    <row r="1727" spans="5:18" ht="21" customHeight="1">
      <c r="E1727" s="27"/>
      <c r="G1727" s="27"/>
      <c r="I1727" s="27"/>
      <c r="K1727" s="27"/>
      <c r="M1727" s="27"/>
      <c r="O1727" s="27"/>
      <c r="R1727" s="27"/>
    </row>
    <row r="1728" spans="5:18" ht="21" customHeight="1">
      <c r="E1728" s="27"/>
      <c r="G1728" s="27"/>
      <c r="I1728" s="27"/>
      <c r="K1728" s="27"/>
      <c r="M1728" s="27"/>
      <c r="O1728" s="27"/>
      <c r="R1728" s="27"/>
    </row>
    <row r="1729" spans="5:18" ht="21" customHeight="1">
      <c r="E1729" s="27"/>
      <c r="G1729" s="27"/>
      <c r="I1729" s="27"/>
      <c r="K1729" s="27"/>
      <c r="M1729" s="27"/>
      <c r="O1729" s="27"/>
      <c r="R1729" s="27"/>
    </row>
    <row r="1730" spans="5:18" ht="21" customHeight="1">
      <c r="E1730" s="27"/>
      <c r="G1730" s="27"/>
      <c r="I1730" s="27"/>
      <c r="K1730" s="27"/>
      <c r="M1730" s="27"/>
      <c r="O1730" s="27"/>
      <c r="R1730" s="27"/>
    </row>
    <row r="1731" spans="5:18" ht="21" customHeight="1">
      <c r="E1731" s="27"/>
      <c r="G1731" s="27"/>
      <c r="I1731" s="27"/>
      <c r="K1731" s="27"/>
      <c r="M1731" s="27"/>
      <c r="O1731" s="27"/>
      <c r="R1731" s="27"/>
    </row>
    <row r="1732" spans="5:18" ht="21" customHeight="1">
      <c r="E1732" s="27"/>
      <c r="G1732" s="27"/>
      <c r="I1732" s="27"/>
      <c r="K1732" s="27"/>
      <c r="M1732" s="27"/>
      <c r="O1732" s="27"/>
      <c r="R1732" s="27"/>
    </row>
    <row r="1733" spans="5:18" ht="21" customHeight="1">
      <c r="E1733" s="27"/>
      <c r="G1733" s="27"/>
      <c r="I1733" s="27"/>
      <c r="K1733" s="27"/>
      <c r="M1733" s="27"/>
      <c r="O1733" s="27"/>
      <c r="R1733" s="27"/>
    </row>
    <row r="1734" spans="5:18" ht="21" customHeight="1">
      <c r="E1734" s="27"/>
      <c r="G1734" s="27"/>
      <c r="I1734" s="27"/>
      <c r="K1734" s="27"/>
      <c r="M1734" s="27"/>
      <c r="O1734" s="27"/>
      <c r="R1734" s="27"/>
    </row>
    <row r="1735" spans="5:18" ht="21" customHeight="1">
      <c r="E1735" s="27"/>
      <c r="G1735" s="27"/>
      <c r="I1735" s="27"/>
      <c r="K1735" s="27"/>
      <c r="M1735" s="27"/>
      <c r="O1735" s="27"/>
      <c r="R1735" s="27"/>
    </row>
    <row r="1736" spans="5:18" ht="21" customHeight="1">
      <c r="E1736" s="27"/>
      <c r="G1736" s="27"/>
      <c r="I1736" s="27"/>
      <c r="K1736" s="27"/>
      <c r="M1736" s="27"/>
      <c r="O1736" s="27"/>
      <c r="R1736" s="27"/>
    </row>
    <row r="1737" spans="5:18" ht="21" customHeight="1">
      <c r="E1737" s="27"/>
      <c r="G1737" s="27"/>
      <c r="I1737" s="27"/>
      <c r="K1737" s="27"/>
      <c r="M1737" s="27"/>
      <c r="O1737" s="27"/>
      <c r="R1737" s="27"/>
    </row>
    <row r="1738" spans="5:18" ht="21" customHeight="1">
      <c r="E1738" s="27"/>
      <c r="G1738" s="27"/>
      <c r="I1738" s="27"/>
      <c r="K1738" s="27"/>
      <c r="M1738" s="27"/>
      <c r="O1738" s="27"/>
      <c r="R1738" s="27"/>
    </row>
    <row r="1739" spans="5:18" ht="21" customHeight="1">
      <c r="E1739" s="27"/>
      <c r="G1739" s="27"/>
      <c r="I1739" s="27"/>
      <c r="K1739" s="27"/>
      <c r="M1739" s="27"/>
      <c r="O1739" s="27"/>
      <c r="R1739" s="27"/>
    </row>
    <row r="1740" spans="5:18" ht="21" customHeight="1">
      <c r="E1740" s="27"/>
      <c r="G1740" s="27"/>
      <c r="I1740" s="27"/>
      <c r="K1740" s="27"/>
      <c r="M1740" s="27"/>
      <c r="O1740" s="27"/>
      <c r="R1740" s="27"/>
    </row>
    <row r="1741" spans="5:18" ht="21" customHeight="1">
      <c r="E1741" s="27"/>
      <c r="G1741" s="27"/>
      <c r="I1741" s="27"/>
      <c r="K1741" s="27"/>
      <c r="M1741" s="27"/>
      <c r="O1741" s="27"/>
      <c r="R1741" s="27"/>
    </row>
    <row r="1742" spans="5:18" ht="21" customHeight="1">
      <c r="E1742" s="27"/>
      <c r="G1742" s="27"/>
      <c r="I1742" s="27"/>
      <c r="K1742" s="27"/>
      <c r="M1742" s="27"/>
      <c r="O1742" s="27"/>
      <c r="R1742" s="27"/>
    </row>
    <row r="1743" spans="5:18" ht="21" customHeight="1">
      <c r="E1743" s="27"/>
      <c r="G1743" s="27"/>
      <c r="I1743" s="27"/>
      <c r="K1743" s="27"/>
      <c r="M1743" s="27"/>
      <c r="O1743" s="27"/>
      <c r="R1743" s="27"/>
    </row>
    <row r="1744" spans="5:18" ht="21" customHeight="1">
      <c r="E1744" s="27"/>
      <c r="G1744" s="27"/>
      <c r="I1744" s="27"/>
      <c r="K1744" s="27"/>
      <c r="M1744" s="27"/>
      <c r="O1744" s="27"/>
      <c r="R1744" s="27"/>
    </row>
    <row r="1745" spans="5:18" ht="21" customHeight="1">
      <c r="E1745" s="27"/>
      <c r="G1745" s="27"/>
      <c r="I1745" s="27"/>
      <c r="K1745" s="27"/>
      <c r="M1745" s="27"/>
      <c r="O1745" s="27"/>
      <c r="R1745" s="27"/>
    </row>
    <row r="1746" spans="5:18" ht="21" customHeight="1">
      <c r="E1746" s="27"/>
      <c r="G1746" s="27"/>
      <c r="I1746" s="27"/>
      <c r="K1746" s="27"/>
      <c r="M1746" s="27"/>
      <c r="O1746" s="27"/>
      <c r="R1746" s="27"/>
    </row>
    <row r="1747" spans="5:18" ht="21" customHeight="1">
      <c r="E1747" s="27"/>
      <c r="G1747" s="27"/>
      <c r="I1747" s="27"/>
      <c r="K1747" s="27"/>
      <c r="M1747" s="27"/>
      <c r="O1747" s="27"/>
      <c r="R1747" s="27"/>
    </row>
    <row r="1748" spans="5:18" ht="21" customHeight="1">
      <c r="E1748" s="27"/>
      <c r="G1748" s="27"/>
      <c r="I1748" s="27"/>
      <c r="K1748" s="27"/>
      <c r="M1748" s="27"/>
      <c r="O1748" s="27"/>
      <c r="R1748" s="27"/>
    </row>
    <row r="1749" spans="5:18" ht="21" customHeight="1">
      <c r="E1749" s="27"/>
      <c r="G1749" s="27"/>
      <c r="I1749" s="27"/>
      <c r="K1749" s="27"/>
      <c r="M1749" s="27"/>
      <c r="O1749" s="27"/>
      <c r="R1749" s="27"/>
    </row>
    <row r="1750" spans="5:18" ht="21" customHeight="1">
      <c r="E1750" s="27"/>
      <c r="G1750" s="27"/>
      <c r="I1750" s="27"/>
      <c r="K1750" s="27"/>
      <c r="M1750" s="27"/>
      <c r="O1750" s="27"/>
      <c r="R1750" s="27"/>
    </row>
    <row r="1751" spans="5:18" ht="21" customHeight="1">
      <c r="E1751" s="27"/>
      <c r="G1751" s="27"/>
      <c r="I1751" s="27"/>
      <c r="K1751" s="27"/>
      <c r="M1751" s="27"/>
      <c r="O1751" s="27"/>
      <c r="R1751" s="27"/>
    </row>
    <row r="1752" spans="5:18" ht="21" customHeight="1">
      <c r="E1752" s="27"/>
      <c r="G1752" s="27"/>
      <c r="I1752" s="27"/>
      <c r="K1752" s="27"/>
      <c r="M1752" s="27"/>
      <c r="O1752" s="27"/>
      <c r="R1752" s="27"/>
    </row>
    <row r="1753" spans="5:18" ht="21" customHeight="1">
      <c r="E1753" s="27"/>
      <c r="G1753" s="27"/>
      <c r="I1753" s="27"/>
      <c r="K1753" s="27"/>
      <c r="M1753" s="27"/>
      <c r="O1753" s="27"/>
      <c r="R1753" s="27"/>
    </row>
    <row r="1754" spans="5:18" ht="21" customHeight="1">
      <c r="E1754" s="27"/>
      <c r="G1754" s="27"/>
      <c r="I1754" s="27"/>
      <c r="K1754" s="27"/>
      <c r="M1754" s="27"/>
      <c r="O1754" s="27"/>
      <c r="R1754" s="27"/>
    </row>
    <row r="1755" spans="5:18" ht="21" customHeight="1">
      <c r="E1755" s="27"/>
      <c r="G1755" s="27"/>
      <c r="I1755" s="27"/>
      <c r="K1755" s="27"/>
      <c r="M1755" s="27"/>
      <c r="O1755" s="27"/>
      <c r="R1755" s="27"/>
    </row>
    <row r="1756" spans="5:18" ht="21" customHeight="1">
      <c r="E1756" s="27"/>
      <c r="G1756" s="27"/>
      <c r="I1756" s="27"/>
      <c r="K1756" s="27"/>
      <c r="M1756" s="27"/>
      <c r="O1756" s="27"/>
      <c r="R1756" s="27"/>
    </row>
    <row r="1757" spans="5:18" ht="21" customHeight="1">
      <c r="E1757" s="27"/>
      <c r="G1757" s="27"/>
      <c r="I1757" s="27"/>
      <c r="K1757" s="27"/>
      <c r="M1757" s="27"/>
      <c r="O1757" s="27"/>
      <c r="R1757" s="27"/>
    </row>
    <row r="1758" spans="5:18" ht="21" customHeight="1">
      <c r="E1758" s="27"/>
      <c r="G1758" s="27"/>
      <c r="I1758" s="27"/>
      <c r="K1758" s="27"/>
      <c r="M1758" s="27"/>
      <c r="O1758" s="27"/>
      <c r="R1758" s="27"/>
    </row>
    <row r="1759" spans="5:18" ht="21" customHeight="1">
      <c r="E1759" s="27"/>
      <c r="G1759" s="27"/>
      <c r="I1759" s="27"/>
      <c r="K1759" s="27"/>
      <c r="M1759" s="27"/>
      <c r="O1759" s="27"/>
      <c r="R1759" s="27"/>
    </row>
    <row r="1760" spans="5:18" ht="21" customHeight="1">
      <c r="E1760" s="27"/>
      <c r="G1760" s="27"/>
      <c r="I1760" s="27"/>
      <c r="K1760" s="27"/>
      <c r="M1760" s="27"/>
      <c r="O1760" s="27"/>
      <c r="R1760" s="27"/>
    </row>
    <row r="1761" spans="5:18" ht="21" customHeight="1">
      <c r="E1761" s="27"/>
      <c r="G1761" s="27"/>
      <c r="I1761" s="27"/>
      <c r="K1761" s="27"/>
      <c r="M1761" s="27"/>
      <c r="O1761" s="27"/>
      <c r="R1761" s="27"/>
    </row>
    <row r="1762" spans="5:18" ht="21" customHeight="1">
      <c r="E1762" s="27"/>
      <c r="G1762" s="27"/>
      <c r="I1762" s="27"/>
      <c r="K1762" s="27"/>
      <c r="M1762" s="27"/>
      <c r="O1762" s="27"/>
      <c r="R1762" s="27"/>
    </row>
    <row r="1763" spans="5:18" ht="21" customHeight="1">
      <c r="E1763" s="27"/>
      <c r="G1763" s="27"/>
      <c r="I1763" s="27"/>
      <c r="K1763" s="27"/>
      <c r="M1763" s="27"/>
      <c r="O1763" s="27"/>
      <c r="R1763" s="27"/>
    </row>
    <row r="1764" spans="5:18" ht="21" customHeight="1">
      <c r="E1764" s="27"/>
      <c r="G1764" s="27"/>
      <c r="I1764" s="27"/>
      <c r="K1764" s="27"/>
      <c r="M1764" s="27"/>
      <c r="O1764" s="27"/>
      <c r="R1764" s="27"/>
    </row>
    <row r="1765" spans="5:18" ht="21" customHeight="1">
      <c r="E1765" s="27"/>
      <c r="G1765" s="27"/>
      <c r="I1765" s="27"/>
      <c r="K1765" s="27"/>
      <c r="M1765" s="27"/>
      <c r="O1765" s="27"/>
      <c r="R1765" s="27"/>
    </row>
    <row r="1766" spans="5:18" ht="21" customHeight="1">
      <c r="E1766" s="27"/>
      <c r="G1766" s="27"/>
      <c r="I1766" s="27"/>
      <c r="K1766" s="27"/>
      <c r="M1766" s="27"/>
      <c r="O1766" s="27"/>
      <c r="R1766" s="27"/>
    </row>
    <row r="1767" spans="5:18" ht="21" customHeight="1">
      <c r="E1767" s="27"/>
      <c r="G1767" s="27"/>
      <c r="I1767" s="27"/>
      <c r="K1767" s="27"/>
      <c r="M1767" s="27"/>
      <c r="O1767" s="27"/>
      <c r="R1767" s="27"/>
    </row>
    <row r="1768" spans="5:18" ht="21" customHeight="1">
      <c r="E1768" s="27"/>
      <c r="G1768" s="27"/>
      <c r="I1768" s="27"/>
      <c r="K1768" s="27"/>
      <c r="M1768" s="27"/>
      <c r="O1768" s="27"/>
      <c r="R1768" s="27"/>
    </row>
    <row r="1769" spans="5:18" ht="21" customHeight="1">
      <c r="E1769" s="27"/>
      <c r="G1769" s="27"/>
      <c r="I1769" s="27"/>
      <c r="K1769" s="27"/>
      <c r="M1769" s="27"/>
      <c r="O1769" s="27"/>
      <c r="R1769" s="27"/>
    </row>
    <row r="1770" spans="5:18" ht="21" customHeight="1">
      <c r="E1770" s="27"/>
      <c r="G1770" s="27"/>
      <c r="I1770" s="27"/>
      <c r="K1770" s="27"/>
      <c r="M1770" s="27"/>
      <c r="O1770" s="27"/>
      <c r="R1770" s="27"/>
    </row>
    <row r="1771" spans="5:18" ht="21" customHeight="1">
      <c r="E1771" s="27"/>
      <c r="G1771" s="27"/>
      <c r="I1771" s="27"/>
      <c r="K1771" s="27"/>
      <c r="M1771" s="27"/>
      <c r="O1771" s="27"/>
      <c r="R1771" s="27"/>
    </row>
    <row r="1772" spans="5:18" ht="21" customHeight="1">
      <c r="E1772" s="27"/>
      <c r="G1772" s="27"/>
      <c r="I1772" s="27"/>
      <c r="K1772" s="27"/>
      <c r="M1772" s="27"/>
      <c r="O1772" s="27"/>
      <c r="R1772" s="27"/>
    </row>
    <row r="1773" spans="5:18" ht="21" customHeight="1">
      <c r="E1773" s="27"/>
      <c r="G1773" s="27"/>
      <c r="I1773" s="27"/>
      <c r="K1773" s="27"/>
      <c r="M1773" s="27"/>
      <c r="O1773" s="27"/>
      <c r="R1773" s="27"/>
    </row>
    <row r="1774" spans="5:18" ht="21" customHeight="1">
      <c r="E1774" s="27"/>
      <c r="G1774" s="27"/>
      <c r="I1774" s="27"/>
      <c r="K1774" s="27"/>
      <c r="M1774" s="27"/>
      <c r="O1774" s="27"/>
      <c r="R1774" s="27"/>
    </row>
    <row r="1775" spans="5:18" ht="21" customHeight="1">
      <c r="E1775" s="27"/>
      <c r="G1775" s="27"/>
      <c r="I1775" s="27"/>
      <c r="K1775" s="27"/>
      <c r="M1775" s="27"/>
      <c r="O1775" s="27"/>
      <c r="R1775" s="27"/>
    </row>
    <row r="1776" spans="5:18" ht="21" customHeight="1">
      <c r="E1776" s="27"/>
      <c r="G1776" s="27"/>
      <c r="I1776" s="27"/>
      <c r="K1776" s="27"/>
      <c r="M1776" s="27"/>
      <c r="O1776" s="27"/>
      <c r="R1776" s="27"/>
    </row>
    <row r="1777" spans="5:18" ht="21" customHeight="1">
      <c r="E1777" s="27"/>
      <c r="G1777" s="27"/>
      <c r="I1777" s="27"/>
      <c r="K1777" s="27"/>
      <c r="M1777" s="27"/>
      <c r="O1777" s="27"/>
      <c r="R1777" s="27"/>
    </row>
    <row r="1778" spans="5:18" ht="21" customHeight="1">
      <c r="E1778" s="27"/>
      <c r="G1778" s="27"/>
      <c r="I1778" s="27"/>
      <c r="K1778" s="27"/>
      <c r="M1778" s="27"/>
      <c r="O1778" s="27"/>
      <c r="R1778" s="27"/>
    </row>
    <row r="1779" spans="5:18" ht="21" customHeight="1">
      <c r="E1779" s="27"/>
      <c r="G1779" s="27"/>
      <c r="I1779" s="27"/>
      <c r="K1779" s="27"/>
      <c r="M1779" s="27"/>
      <c r="O1779" s="27"/>
      <c r="R1779" s="27"/>
    </row>
    <row r="1780" spans="5:18" ht="21" customHeight="1">
      <c r="E1780" s="27"/>
      <c r="G1780" s="27"/>
      <c r="I1780" s="27"/>
      <c r="K1780" s="27"/>
      <c r="M1780" s="27"/>
      <c r="O1780" s="27"/>
      <c r="R1780" s="27"/>
    </row>
    <row r="1781" spans="5:18" ht="21" customHeight="1">
      <c r="E1781" s="27"/>
      <c r="G1781" s="27"/>
      <c r="I1781" s="27"/>
      <c r="K1781" s="27"/>
      <c r="M1781" s="27"/>
      <c r="O1781" s="27"/>
      <c r="R1781" s="27"/>
    </row>
    <row r="1782" spans="5:18" ht="21" customHeight="1">
      <c r="E1782" s="27"/>
      <c r="G1782" s="27"/>
      <c r="I1782" s="27"/>
      <c r="K1782" s="27"/>
      <c r="M1782" s="27"/>
      <c r="O1782" s="27"/>
      <c r="R1782" s="27"/>
    </row>
    <row r="1783" spans="5:18" ht="21" customHeight="1">
      <c r="E1783" s="27"/>
      <c r="G1783" s="27"/>
      <c r="I1783" s="27"/>
      <c r="K1783" s="27"/>
      <c r="M1783" s="27"/>
      <c r="O1783" s="27"/>
      <c r="R1783" s="27"/>
    </row>
    <row r="1784" spans="5:18" ht="21" customHeight="1">
      <c r="E1784" s="27"/>
      <c r="G1784" s="27"/>
      <c r="I1784" s="27"/>
      <c r="K1784" s="27"/>
      <c r="M1784" s="27"/>
      <c r="O1784" s="27"/>
      <c r="R1784" s="27"/>
    </row>
    <row r="1785" spans="5:18" ht="21" customHeight="1">
      <c r="E1785" s="27"/>
      <c r="G1785" s="27"/>
      <c r="I1785" s="27"/>
      <c r="K1785" s="27"/>
      <c r="M1785" s="27"/>
      <c r="O1785" s="27"/>
      <c r="R1785" s="27"/>
    </row>
    <row r="1786" spans="5:18" ht="21" customHeight="1">
      <c r="E1786" s="27"/>
      <c r="G1786" s="27"/>
      <c r="I1786" s="27"/>
      <c r="K1786" s="27"/>
      <c r="M1786" s="27"/>
      <c r="O1786" s="27"/>
      <c r="R1786" s="27"/>
    </row>
    <row r="1787" spans="5:18" ht="21" customHeight="1">
      <c r="E1787" s="27"/>
      <c r="G1787" s="27"/>
      <c r="I1787" s="27"/>
      <c r="K1787" s="27"/>
      <c r="M1787" s="27"/>
      <c r="O1787" s="27"/>
      <c r="R1787" s="27"/>
    </row>
    <row r="1788" spans="5:18" ht="21" customHeight="1">
      <c r="E1788" s="27"/>
      <c r="G1788" s="27"/>
      <c r="I1788" s="27"/>
      <c r="K1788" s="27"/>
      <c r="M1788" s="27"/>
      <c r="O1788" s="27"/>
      <c r="R1788" s="27"/>
    </row>
    <row r="1789" spans="5:18" ht="21" customHeight="1">
      <c r="E1789" s="27"/>
      <c r="G1789" s="27"/>
      <c r="I1789" s="27"/>
      <c r="K1789" s="27"/>
      <c r="M1789" s="27"/>
      <c r="O1789" s="27"/>
      <c r="R1789" s="27"/>
    </row>
    <row r="1790" spans="5:18" ht="21" customHeight="1">
      <c r="E1790" s="27"/>
      <c r="G1790" s="27"/>
      <c r="I1790" s="27"/>
      <c r="K1790" s="27"/>
      <c r="M1790" s="27"/>
      <c r="O1790" s="27"/>
      <c r="R1790" s="27"/>
    </row>
    <row r="1791" spans="5:18" ht="21" customHeight="1">
      <c r="E1791" s="27"/>
      <c r="G1791" s="27"/>
      <c r="I1791" s="27"/>
      <c r="K1791" s="27"/>
      <c r="M1791" s="27"/>
      <c r="O1791" s="27"/>
      <c r="R1791" s="27"/>
    </row>
    <row r="1792" spans="5:18" ht="21" customHeight="1">
      <c r="E1792" s="27"/>
      <c r="G1792" s="27"/>
      <c r="I1792" s="27"/>
      <c r="K1792" s="27"/>
      <c r="M1792" s="27"/>
      <c r="O1792" s="27"/>
      <c r="R1792" s="27"/>
    </row>
    <row r="1793" spans="5:18" ht="21" customHeight="1">
      <c r="E1793" s="27"/>
      <c r="G1793" s="27"/>
      <c r="I1793" s="27"/>
      <c r="K1793" s="27"/>
      <c r="M1793" s="27"/>
      <c r="O1793" s="27"/>
      <c r="R1793" s="27"/>
    </row>
    <row r="1794" spans="5:18" ht="21" customHeight="1">
      <c r="E1794" s="27"/>
      <c r="G1794" s="27"/>
      <c r="I1794" s="27"/>
      <c r="K1794" s="27"/>
      <c r="M1794" s="27"/>
      <c r="O1794" s="27"/>
      <c r="R1794" s="27"/>
    </row>
    <row r="1795" spans="5:18" ht="21" customHeight="1">
      <c r="E1795" s="27"/>
      <c r="G1795" s="27"/>
      <c r="I1795" s="27"/>
      <c r="K1795" s="27"/>
      <c r="M1795" s="27"/>
      <c r="O1795" s="27"/>
      <c r="R1795" s="27"/>
    </row>
    <row r="1796" spans="5:18" ht="21" customHeight="1">
      <c r="E1796" s="27"/>
      <c r="G1796" s="27"/>
      <c r="I1796" s="27"/>
      <c r="K1796" s="27"/>
      <c r="M1796" s="27"/>
      <c r="O1796" s="27"/>
      <c r="R1796" s="27"/>
    </row>
    <row r="1797" spans="5:18" ht="21" customHeight="1">
      <c r="E1797" s="27"/>
      <c r="G1797" s="27"/>
      <c r="I1797" s="27"/>
      <c r="K1797" s="27"/>
      <c r="M1797" s="27"/>
      <c r="O1797" s="27"/>
      <c r="R1797" s="27"/>
    </row>
    <row r="1798" spans="5:18" ht="21" customHeight="1">
      <c r="E1798" s="27"/>
      <c r="G1798" s="27"/>
      <c r="I1798" s="27"/>
      <c r="K1798" s="27"/>
      <c r="M1798" s="27"/>
      <c r="O1798" s="27"/>
      <c r="R1798" s="27"/>
    </row>
    <row r="1799" spans="5:18" ht="21" customHeight="1">
      <c r="E1799" s="27"/>
      <c r="G1799" s="27"/>
      <c r="I1799" s="27"/>
      <c r="K1799" s="27"/>
      <c r="M1799" s="27"/>
      <c r="O1799" s="27"/>
      <c r="R1799" s="27"/>
    </row>
    <row r="1800" spans="5:18" ht="21" customHeight="1">
      <c r="E1800" s="27"/>
      <c r="G1800" s="27"/>
      <c r="I1800" s="27"/>
      <c r="K1800" s="27"/>
      <c r="M1800" s="27"/>
      <c r="O1800" s="27"/>
      <c r="R1800" s="27"/>
    </row>
    <row r="1801" spans="5:18" ht="21" customHeight="1">
      <c r="E1801" s="27"/>
      <c r="G1801" s="27"/>
      <c r="I1801" s="27"/>
      <c r="K1801" s="27"/>
      <c r="M1801" s="27"/>
      <c r="O1801" s="27"/>
      <c r="R1801" s="27"/>
    </row>
    <row r="1802" spans="5:18" ht="21" customHeight="1">
      <c r="E1802" s="27"/>
      <c r="G1802" s="27"/>
      <c r="I1802" s="27"/>
      <c r="K1802" s="27"/>
      <c r="M1802" s="27"/>
      <c r="O1802" s="27"/>
      <c r="R1802" s="27"/>
    </row>
    <row r="1803" spans="5:18" ht="21" customHeight="1">
      <c r="E1803" s="27"/>
      <c r="G1803" s="27"/>
      <c r="I1803" s="27"/>
      <c r="K1803" s="27"/>
      <c r="M1803" s="27"/>
      <c r="O1803" s="27"/>
      <c r="R1803" s="27"/>
    </row>
    <row r="1804" spans="5:18" ht="21" customHeight="1">
      <c r="E1804" s="27"/>
      <c r="G1804" s="27"/>
      <c r="I1804" s="27"/>
      <c r="K1804" s="27"/>
      <c r="M1804" s="27"/>
      <c r="O1804" s="27"/>
      <c r="R1804" s="27"/>
    </row>
    <row r="1805" spans="5:18" ht="21" customHeight="1">
      <c r="E1805" s="27"/>
      <c r="G1805" s="27"/>
      <c r="I1805" s="27"/>
      <c r="K1805" s="27"/>
      <c r="M1805" s="27"/>
      <c r="O1805" s="27"/>
      <c r="R1805" s="27"/>
    </row>
    <row r="1806" spans="5:18" ht="21" customHeight="1">
      <c r="E1806" s="27"/>
      <c r="G1806" s="27"/>
      <c r="I1806" s="27"/>
      <c r="K1806" s="27"/>
      <c r="M1806" s="27"/>
      <c r="O1806" s="27"/>
      <c r="R1806" s="27"/>
    </row>
    <row r="1807" spans="5:18" ht="21" customHeight="1">
      <c r="E1807" s="27"/>
      <c r="G1807" s="27"/>
      <c r="I1807" s="27"/>
      <c r="K1807" s="27"/>
      <c r="M1807" s="27"/>
      <c r="O1807" s="27"/>
      <c r="R1807" s="27"/>
    </row>
    <row r="1808" spans="5:18" ht="21" customHeight="1">
      <c r="E1808" s="27"/>
      <c r="G1808" s="27"/>
      <c r="I1808" s="27"/>
      <c r="K1808" s="27"/>
      <c r="M1808" s="27"/>
      <c r="O1808" s="27"/>
      <c r="R1808" s="27"/>
    </row>
    <row r="1809" spans="5:18" ht="21" customHeight="1">
      <c r="E1809" s="27"/>
      <c r="G1809" s="27"/>
      <c r="I1809" s="27"/>
      <c r="K1809" s="27"/>
      <c r="M1809" s="27"/>
      <c r="O1809" s="27"/>
      <c r="R1809" s="27"/>
    </row>
    <row r="1810" spans="5:18" ht="21" customHeight="1">
      <c r="E1810" s="27"/>
      <c r="G1810" s="27"/>
      <c r="I1810" s="27"/>
      <c r="K1810" s="27"/>
      <c r="M1810" s="27"/>
      <c r="O1810" s="27"/>
      <c r="R1810" s="27"/>
    </row>
    <row r="1811" spans="5:18" ht="21" customHeight="1">
      <c r="E1811" s="27"/>
      <c r="G1811" s="27"/>
      <c r="I1811" s="27"/>
      <c r="K1811" s="27"/>
      <c r="M1811" s="27"/>
      <c r="O1811" s="27"/>
      <c r="R1811" s="27"/>
    </row>
    <row r="1812" spans="5:18" ht="21" customHeight="1">
      <c r="E1812" s="27"/>
      <c r="G1812" s="27"/>
      <c r="I1812" s="27"/>
      <c r="K1812" s="27"/>
      <c r="M1812" s="27"/>
      <c r="O1812" s="27"/>
      <c r="R1812" s="27"/>
    </row>
    <row r="1813" spans="5:18" ht="21" customHeight="1">
      <c r="E1813" s="27"/>
      <c r="G1813" s="27"/>
      <c r="I1813" s="27"/>
      <c r="K1813" s="27"/>
      <c r="M1813" s="27"/>
      <c r="O1813" s="27"/>
      <c r="R1813" s="27"/>
    </row>
    <row r="1814" spans="5:18" ht="21" customHeight="1">
      <c r="E1814" s="27"/>
      <c r="G1814" s="27"/>
      <c r="I1814" s="27"/>
      <c r="K1814" s="27"/>
      <c r="M1814" s="27"/>
      <c r="O1814" s="27"/>
      <c r="R1814" s="27"/>
    </row>
    <row r="1815" spans="5:18" ht="21" customHeight="1">
      <c r="E1815" s="27"/>
      <c r="G1815" s="27"/>
      <c r="I1815" s="27"/>
      <c r="K1815" s="27"/>
      <c r="M1815" s="27"/>
      <c r="O1815" s="27"/>
      <c r="R1815" s="27"/>
    </row>
    <row r="1816" spans="5:18" ht="21" customHeight="1">
      <c r="E1816" s="27"/>
      <c r="G1816" s="27"/>
      <c r="I1816" s="27"/>
      <c r="K1816" s="27"/>
      <c r="M1816" s="27"/>
      <c r="O1816" s="27"/>
      <c r="R1816" s="27"/>
    </row>
    <row r="1817" spans="5:18" ht="21" customHeight="1">
      <c r="E1817" s="27"/>
      <c r="G1817" s="27"/>
      <c r="I1817" s="27"/>
      <c r="K1817" s="27"/>
      <c r="M1817" s="27"/>
      <c r="O1817" s="27"/>
      <c r="R1817" s="27"/>
    </row>
    <row r="1818" spans="5:18" ht="21" customHeight="1">
      <c r="E1818" s="27"/>
      <c r="G1818" s="27"/>
      <c r="I1818" s="27"/>
      <c r="K1818" s="27"/>
      <c r="M1818" s="27"/>
      <c r="O1818" s="27"/>
      <c r="R1818" s="27"/>
    </row>
    <row r="1819" spans="5:18" ht="21" customHeight="1">
      <c r="E1819" s="27"/>
      <c r="G1819" s="27"/>
      <c r="I1819" s="27"/>
      <c r="K1819" s="27"/>
      <c r="M1819" s="27"/>
      <c r="O1819" s="27"/>
      <c r="R1819" s="27"/>
    </row>
    <row r="1820" spans="5:18" ht="21" customHeight="1">
      <c r="E1820" s="27"/>
      <c r="G1820" s="27"/>
      <c r="I1820" s="27"/>
      <c r="K1820" s="27"/>
      <c r="M1820" s="27"/>
      <c r="O1820" s="27"/>
      <c r="R1820" s="27"/>
    </row>
    <row r="1821" spans="5:18" ht="21" customHeight="1">
      <c r="E1821" s="27"/>
      <c r="G1821" s="27"/>
      <c r="I1821" s="27"/>
      <c r="K1821" s="27"/>
      <c r="M1821" s="27"/>
      <c r="O1821" s="27"/>
      <c r="R1821" s="27"/>
    </row>
    <row r="1822" spans="5:18" ht="21" customHeight="1">
      <c r="E1822" s="27"/>
      <c r="G1822" s="27"/>
      <c r="I1822" s="27"/>
      <c r="K1822" s="27"/>
      <c r="M1822" s="27"/>
      <c r="O1822" s="27"/>
      <c r="R1822" s="27"/>
    </row>
    <row r="1823" spans="5:18" ht="21" customHeight="1">
      <c r="E1823" s="27"/>
      <c r="G1823" s="27"/>
      <c r="I1823" s="27"/>
      <c r="K1823" s="27"/>
      <c r="M1823" s="27"/>
      <c r="O1823" s="27"/>
      <c r="R1823" s="27"/>
    </row>
    <row r="1824" spans="5:18" ht="21" customHeight="1">
      <c r="E1824" s="27"/>
      <c r="G1824" s="27"/>
      <c r="I1824" s="27"/>
      <c r="K1824" s="27"/>
      <c r="M1824" s="27"/>
      <c r="O1824" s="27"/>
      <c r="R1824" s="27"/>
    </row>
    <row r="1825" spans="5:18" ht="21" customHeight="1">
      <c r="E1825" s="27"/>
      <c r="G1825" s="27"/>
      <c r="I1825" s="27"/>
      <c r="K1825" s="27"/>
      <c r="M1825" s="27"/>
      <c r="O1825" s="27"/>
      <c r="R1825" s="27"/>
    </row>
    <row r="1826" spans="5:18" ht="21" customHeight="1">
      <c r="E1826" s="27"/>
      <c r="G1826" s="27"/>
      <c r="I1826" s="27"/>
      <c r="K1826" s="27"/>
      <c r="M1826" s="27"/>
      <c r="O1826" s="27"/>
      <c r="R1826" s="27"/>
    </row>
    <row r="1827" spans="5:18" ht="21" customHeight="1">
      <c r="E1827" s="27"/>
      <c r="G1827" s="27"/>
      <c r="I1827" s="27"/>
      <c r="K1827" s="27"/>
      <c r="M1827" s="27"/>
      <c r="O1827" s="27"/>
      <c r="R1827" s="27"/>
    </row>
    <row r="1828" spans="5:18" ht="21" customHeight="1">
      <c r="E1828" s="27"/>
      <c r="G1828" s="27"/>
      <c r="I1828" s="27"/>
      <c r="K1828" s="27"/>
      <c r="M1828" s="27"/>
      <c r="O1828" s="27"/>
      <c r="R1828" s="27"/>
    </row>
    <row r="1829" spans="5:18" ht="21" customHeight="1">
      <c r="E1829" s="27"/>
      <c r="G1829" s="27"/>
      <c r="I1829" s="27"/>
      <c r="K1829" s="27"/>
      <c r="M1829" s="27"/>
      <c r="O1829" s="27"/>
      <c r="R1829" s="27"/>
    </row>
    <row r="1830" spans="5:18" ht="21" customHeight="1">
      <c r="E1830" s="27"/>
      <c r="G1830" s="27"/>
      <c r="I1830" s="27"/>
      <c r="K1830" s="27"/>
      <c r="M1830" s="27"/>
      <c r="O1830" s="27"/>
      <c r="R1830" s="27"/>
    </row>
    <row r="1831" spans="5:18" ht="21" customHeight="1">
      <c r="E1831" s="27"/>
      <c r="G1831" s="27"/>
      <c r="I1831" s="27"/>
      <c r="K1831" s="27"/>
      <c r="M1831" s="27"/>
      <c r="O1831" s="27"/>
      <c r="R1831" s="27"/>
    </row>
    <row r="1832" spans="5:18" ht="21" customHeight="1">
      <c r="E1832" s="27"/>
      <c r="G1832" s="27"/>
      <c r="I1832" s="27"/>
      <c r="K1832" s="27"/>
      <c r="M1832" s="27"/>
      <c r="O1832" s="27"/>
      <c r="R1832" s="27"/>
    </row>
    <row r="1833" spans="5:18" ht="21" customHeight="1">
      <c r="E1833" s="27"/>
      <c r="G1833" s="27"/>
      <c r="I1833" s="27"/>
      <c r="K1833" s="27"/>
      <c r="M1833" s="27"/>
      <c r="O1833" s="27"/>
      <c r="R1833" s="27"/>
    </row>
    <row r="1834" spans="5:18" ht="21" customHeight="1">
      <c r="E1834" s="27"/>
      <c r="G1834" s="27"/>
      <c r="I1834" s="27"/>
      <c r="K1834" s="27"/>
      <c r="M1834" s="27"/>
      <c r="O1834" s="27"/>
      <c r="R1834" s="27"/>
    </row>
    <row r="1835" spans="5:18" ht="21" customHeight="1">
      <c r="E1835" s="27"/>
      <c r="G1835" s="27"/>
      <c r="I1835" s="27"/>
      <c r="K1835" s="27"/>
      <c r="M1835" s="27"/>
      <c r="O1835" s="27"/>
      <c r="R1835" s="27"/>
    </row>
    <row r="1836" spans="5:18" ht="21" customHeight="1">
      <c r="E1836" s="27"/>
      <c r="G1836" s="27"/>
      <c r="I1836" s="27"/>
      <c r="K1836" s="27"/>
      <c r="M1836" s="27"/>
      <c r="O1836" s="27"/>
      <c r="R1836" s="27"/>
    </row>
    <row r="1837" spans="5:18" ht="21" customHeight="1">
      <c r="E1837" s="27"/>
      <c r="G1837" s="27"/>
      <c r="I1837" s="27"/>
      <c r="K1837" s="27"/>
      <c r="M1837" s="27"/>
      <c r="O1837" s="27"/>
      <c r="R1837" s="27"/>
    </row>
    <row r="1838" spans="5:18" ht="21" customHeight="1">
      <c r="E1838" s="27"/>
      <c r="G1838" s="27"/>
      <c r="I1838" s="27"/>
      <c r="K1838" s="27"/>
      <c r="M1838" s="27"/>
      <c r="O1838" s="27"/>
      <c r="R1838" s="27"/>
    </row>
    <row r="1839" spans="5:18" ht="21" customHeight="1">
      <c r="E1839" s="27"/>
      <c r="G1839" s="27"/>
      <c r="I1839" s="27"/>
      <c r="K1839" s="27"/>
      <c r="M1839" s="27"/>
      <c r="O1839" s="27"/>
      <c r="R1839" s="27"/>
    </row>
    <row r="1840" spans="5:18" ht="21" customHeight="1">
      <c r="E1840" s="27"/>
      <c r="G1840" s="27"/>
      <c r="I1840" s="27"/>
      <c r="K1840" s="27"/>
      <c r="M1840" s="27"/>
      <c r="O1840" s="27"/>
      <c r="R1840" s="27"/>
    </row>
    <row r="1841" spans="5:18" ht="21" customHeight="1">
      <c r="E1841" s="27"/>
      <c r="G1841" s="27"/>
      <c r="I1841" s="27"/>
      <c r="K1841" s="27"/>
      <c r="M1841" s="27"/>
      <c r="O1841" s="27"/>
      <c r="R1841" s="27"/>
    </row>
    <row r="1842" spans="5:18" ht="21" customHeight="1">
      <c r="E1842" s="27"/>
      <c r="G1842" s="27"/>
      <c r="I1842" s="27"/>
      <c r="K1842" s="27"/>
      <c r="M1842" s="27"/>
      <c r="O1842" s="27"/>
      <c r="R1842" s="27"/>
    </row>
    <row r="1843" spans="5:18" ht="21" customHeight="1">
      <c r="E1843" s="27"/>
      <c r="G1843" s="27"/>
      <c r="I1843" s="27"/>
      <c r="K1843" s="27"/>
      <c r="M1843" s="27"/>
      <c r="O1843" s="27"/>
      <c r="R1843" s="27"/>
    </row>
    <row r="1844" spans="5:18" ht="21" customHeight="1">
      <c r="E1844" s="27"/>
      <c r="G1844" s="27"/>
      <c r="I1844" s="27"/>
      <c r="K1844" s="27"/>
      <c r="M1844" s="27"/>
      <c r="O1844" s="27"/>
      <c r="R1844" s="27"/>
    </row>
    <row r="1845" spans="5:18" ht="21" customHeight="1">
      <c r="E1845" s="27"/>
      <c r="G1845" s="27"/>
      <c r="I1845" s="27"/>
      <c r="K1845" s="27"/>
      <c r="M1845" s="27"/>
      <c r="O1845" s="27"/>
      <c r="R1845" s="27"/>
    </row>
    <row r="1846" spans="5:18" ht="21" customHeight="1">
      <c r="E1846" s="27"/>
      <c r="G1846" s="27"/>
      <c r="I1846" s="27"/>
      <c r="K1846" s="27"/>
      <c r="M1846" s="27"/>
      <c r="O1846" s="27"/>
      <c r="R1846" s="27"/>
    </row>
    <row r="1847" spans="5:18" ht="21" customHeight="1">
      <c r="E1847" s="27"/>
      <c r="G1847" s="27"/>
      <c r="I1847" s="27"/>
      <c r="K1847" s="27"/>
      <c r="M1847" s="27"/>
      <c r="O1847" s="27"/>
      <c r="R1847" s="27"/>
    </row>
    <row r="1848" spans="5:18" ht="21" customHeight="1">
      <c r="E1848" s="27"/>
      <c r="G1848" s="27"/>
      <c r="I1848" s="27"/>
      <c r="K1848" s="27"/>
      <c r="M1848" s="27"/>
      <c r="O1848" s="27"/>
      <c r="R1848" s="27"/>
    </row>
    <row r="1849" spans="5:18" ht="21" customHeight="1">
      <c r="E1849" s="27"/>
      <c r="G1849" s="27"/>
      <c r="I1849" s="27"/>
      <c r="K1849" s="27"/>
      <c r="M1849" s="27"/>
      <c r="O1849" s="27"/>
      <c r="R1849" s="27"/>
    </row>
    <row r="1850" spans="5:18" ht="21" customHeight="1">
      <c r="E1850" s="27"/>
      <c r="G1850" s="27"/>
      <c r="I1850" s="27"/>
      <c r="K1850" s="27"/>
      <c r="M1850" s="27"/>
      <c r="O1850" s="27"/>
      <c r="R1850" s="27"/>
    </row>
    <row r="1851" spans="5:18" ht="21" customHeight="1">
      <c r="E1851" s="27"/>
      <c r="G1851" s="27"/>
      <c r="I1851" s="27"/>
      <c r="K1851" s="27"/>
      <c r="M1851" s="27"/>
      <c r="O1851" s="27"/>
      <c r="R1851" s="27"/>
    </row>
    <row r="1852" spans="5:18" ht="21" customHeight="1">
      <c r="E1852" s="27"/>
      <c r="G1852" s="27"/>
      <c r="I1852" s="27"/>
      <c r="K1852" s="27"/>
      <c r="M1852" s="27"/>
      <c r="O1852" s="27"/>
      <c r="R1852" s="27"/>
    </row>
    <row r="1853" spans="5:18" ht="21" customHeight="1">
      <c r="E1853" s="27"/>
      <c r="G1853" s="27"/>
      <c r="I1853" s="27"/>
      <c r="K1853" s="27"/>
      <c r="M1853" s="27"/>
      <c r="O1853" s="27"/>
      <c r="R1853" s="27"/>
    </row>
    <row r="1854" spans="5:18" ht="21" customHeight="1">
      <c r="E1854" s="27"/>
      <c r="G1854" s="27"/>
      <c r="I1854" s="27"/>
      <c r="K1854" s="27"/>
      <c r="M1854" s="27"/>
      <c r="O1854" s="27"/>
      <c r="R1854" s="27"/>
    </row>
    <row r="1855" spans="5:18" ht="21" customHeight="1">
      <c r="E1855" s="27"/>
      <c r="G1855" s="27"/>
      <c r="I1855" s="27"/>
      <c r="K1855" s="27"/>
      <c r="M1855" s="27"/>
      <c r="O1855" s="27"/>
      <c r="R1855" s="27"/>
    </row>
    <row r="1856" spans="5:18" ht="21" customHeight="1">
      <c r="E1856" s="27"/>
      <c r="G1856" s="27"/>
      <c r="I1856" s="27"/>
      <c r="K1856" s="27"/>
      <c r="M1856" s="27"/>
      <c r="O1856" s="27"/>
      <c r="R1856" s="27"/>
    </row>
    <row r="1857" spans="5:18" ht="21" customHeight="1">
      <c r="E1857" s="27"/>
      <c r="G1857" s="27"/>
      <c r="I1857" s="27"/>
      <c r="K1857" s="27"/>
      <c r="M1857" s="27"/>
      <c r="O1857" s="27"/>
      <c r="R1857" s="27"/>
    </row>
    <row r="1858" spans="5:18" ht="21" customHeight="1">
      <c r="E1858" s="27"/>
      <c r="G1858" s="27"/>
      <c r="I1858" s="27"/>
      <c r="K1858" s="27"/>
      <c r="M1858" s="27"/>
      <c r="O1858" s="27"/>
      <c r="R1858" s="27"/>
    </row>
    <row r="1859" spans="5:18" ht="21" customHeight="1">
      <c r="E1859" s="27"/>
      <c r="G1859" s="27"/>
      <c r="I1859" s="27"/>
      <c r="K1859" s="27"/>
      <c r="M1859" s="27"/>
      <c r="O1859" s="27"/>
      <c r="R1859" s="27"/>
    </row>
    <row r="1860" spans="5:18" ht="21" customHeight="1">
      <c r="E1860" s="27"/>
      <c r="G1860" s="27"/>
      <c r="I1860" s="27"/>
      <c r="K1860" s="27"/>
      <c r="M1860" s="27"/>
      <c r="O1860" s="27"/>
      <c r="R1860" s="27"/>
    </row>
    <row r="1861" spans="5:18" ht="21" customHeight="1">
      <c r="E1861" s="27"/>
      <c r="G1861" s="27"/>
      <c r="I1861" s="27"/>
      <c r="K1861" s="27"/>
      <c r="M1861" s="27"/>
      <c r="O1861" s="27"/>
      <c r="R1861" s="27"/>
    </row>
    <row r="1862" spans="5:18" ht="21" customHeight="1">
      <c r="E1862" s="27"/>
      <c r="G1862" s="27"/>
      <c r="I1862" s="27"/>
      <c r="K1862" s="27"/>
      <c r="M1862" s="27"/>
      <c r="O1862" s="27"/>
      <c r="R1862" s="27"/>
    </row>
    <row r="1863" spans="5:18" ht="21" customHeight="1">
      <c r="E1863" s="27"/>
      <c r="G1863" s="27"/>
      <c r="I1863" s="27"/>
      <c r="K1863" s="27"/>
      <c r="M1863" s="27"/>
      <c r="O1863" s="27"/>
      <c r="R1863" s="27"/>
    </row>
    <row r="1864" spans="5:18" ht="21" customHeight="1">
      <c r="E1864" s="27"/>
      <c r="G1864" s="27"/>
      <c r="I1864" s="27"/>
      <c r="K1864" s="27"/>
      <c r="M1864" s="27"/>
      <c r="O1864" s="27"/>
      <c r="R1864" s="27"/>
    </row>
    <row r="1865" spans="5:18" ht="21" customHeight="1">
      <c r="E1865" s="27"/>
      <c r="G1865" s="27"/>
      <c r="I1865" s="27"/>
      <c r="K1865" s="27"/>
      <c r="M1865" s="27"/>
      <c r="O1865" s="27"/>
      <c r="R1865" s="27"/>
    </row>
    <row r="1866" spans="5:18" ht="21" customHeight="1">
      <c r="E1866" s="27"/>
      <c r="G1866" s="27"/>
      <c r="I1866" s="27"/>
      <c r="K1866" s="27"/>
      <c r="M1866" s="27"/>
      <c r="O1866" s="27"/>
      <c r="R1866" s="27"/>
    </row>
    <row r="1867" spans="5:18" ht="21" customHeight="1">
      <c r="E1867" s="27"/>
      <c r="G1867" s="27"/>
      <c r="I1867" s="27"/>
      <c r="K1867" s="27"/>
      <c r="M1867" s="27"/>
      <c r="O1867" s="27"/>
      <c r="R1867" s="27"/>
    </row>
    <row r="1868" spans="5:18" ht="21" customHeight="1">
      <c r="E1868" s="27"/>
      <c r="G1868" s="27"/>
      <c r="I1868" s="27"/>
      <c r="K1868" s="27"/>
      <c r="M1868" s="27"/>
      <c r="O1868" s="27"/>
      <c r="R1868" s="27"/>
    </row>
    <row r="1869" spans="5:18" ht="21" customHeight="1">
      <c r="E1869" s="27"/>
      <c r="G1869" s="27"/>
      <c r="I1869" s="27"/>
      <c r="K1869" s="27"/>
      <c r="M1869" s="27"/>
      <c r="O1869" s="27"/>
      <c r="R1869" s="27"/>
    </row>
    <row r="1870" spans="5:18" ht="21" customHeight="1">
      <c r="E1870" s="27"/>
      <c r="G1870" s="27"/>
      <c r="I1870" s="27"/>
      <c r="K1870" s="27"/>
      <c r="M1870" s="27"/>
      <c r="O1870" s="27"/>
      <c r="R1870" s="27"/>
    </row>
    <row r="1871" spans="5:18" ht="21" customHeight="1">
      <c r="E1871" s="27"/>
      <c r="G1871" s="27"/>
      <c r="I1871" s="27"/>
      <c r="K1871" s="27"/>
      <c r="M1871" s="27"/>
      <c r="O1871" s="27"/>
      <c r="R1871" s="27"/>
    </row>
    <row r="1872" spans="5:18" ht="21" customHeight="1">
      <c r="E1872" s="27"/>
      <c r="G1872" s="27"/>
      <c r="I1872" s="27"/>
      <c r="K1872" s="27"/>
      <c r="M1872" s="27"/>
      <c r="O1872" s="27"/>
      <c r="R1872" s="27"/>
    </row>
    <row r="1873" spans="5:18" ht="21" customHeight="1">
      <c r="E1873" s="27"/>
      <c r="G1873" s="27"/>
      <c r="I1873" s="27"/>
      <c r="K1873" s="27"/>
      <c r="M1873" s="27"/>
      <c r="O1873" s="27"/>
      <c r="R1873" s="27"/>
    </row>
    <row r="1874" spans="5:18" ht="21" customHeight="1">
      <c r="E1874" s="27"/>
      <c r="G1874" s="27"/>
      <c r="I1874" s="27"/>
      <c r="K1874" s="27"/>
      <c r="M1874" s="27"/>
      <c r="O1874" s="27"/>
      <c r="R1874" s="27"/>
    </row>
    <row r="1875" spans="5:18" ht="21" customHeight="1">
      <c r="E1875" s="27"/>
      <c r="G1875" s="27"/>
      <c r="I1875" s="27"/>
      <c r="K1875" s="27"/>
      <c r="M1875" s="27"/>
      <c r="O1875" s="27"/>
      <c r="R1875" s="27"/>
    </row>
    <row r="1876" spans="5:18" ht="21" customHeight="1">
      <c r="E1876" s="27"/>
      <c r="G1876" s="27"/>
      <c r="I1876" s="27"/>
      <c r="K1876" s="27"/>
      <c r="M1876" s="27"/>
      <c r="O1876" s="27"/>
      <c r="R1876" s="27"/>
    </row>
    <row r="1877" spans="5:18" ht="21" customHeight="1">
      <c r="E1877" s="27"/>
      <c r="G1877" s="27"/>
      <c r="I1877" s="27"/>
      <c r="K1877" s="27"/>
      <c r="M1877" s="27"/>
      <c r="O1877" s="27"/>
      <c r="R1877" s="27"/>
    </row>
    <row r="1878" spans="5:18" ht="21" customHeight="1">
      <c r="E1878" s="27"/>
      <c r="G1878" s="27"/>
      <c r="I1878" s="27"/>
      <c r="K1878" s="27"/>
      <c r="M1878" s="27"/>
      <c r="O1878" s="27"/>
      <c r="R1878" s="27"/>
    </row>
    <row r="1879" spans="5:18" ht="21" customHeight="1">
      <c r="E1879" s="27"/>
      <c r="G1879" s="27"/>
      <c r="I1879" s="27"/>
      <c r="K1879" s="27"/>
      <c r="M1879" s="27"/>
      <c r="O1879" s="27"/>
      <c r="R1879" s="27"/>
    </row>
    <row r="1880" spans="5:18" ht="21" customHeight="1">
      <c r="E1880" s="27"/>
      <c r="G1880" s="27"/>
      <c r="I1880" s="27"/>
      <c r="K1880" s="27"/>
      <c r="M1880" s="27"/>
      <c r="O1880" s="27"/>
      <c r="R1880" s="27"/>
    </row>
    <row r="1881" spans="5:18" ht="21" customHeight="1">
      <c r="E1881" s="27"/>
      <c r="G1881" s="27"/>
      <c r="I1881" s="27"/>
      <c r="K1881" s="27"/>
      <c r="M1881" s="27"/>
      <c r="O1881" s="27"/>
      <c r="R1881" s="27"/>
    </row>
    <row r="1882" spans="5:18" ht="21" customHeight="1">
      <c r="E1882" s="27"/>
      <c r="G1882" s="27"/>
      <c r="I1882" s="27"/>
      <c r="K1882" s="27"/>
      <c r="M1882" s="27"/>
      <c r="O1882" s="27"/>
      <c r="R1882" s="27"/>
    </row>
    <row r="1883" spans="5:18" ht="21" customHeight="1">
      <c r="E1883" s="27"/>
      <c r="G1883" s="27"/>
      <c r="I1883" s="27"/>
      <c r="K1883" s="27"/>
      <c r="M1883" s="27"/>
      <c r="O1883" s="27"/>
      <c r="R1883" s="27"/>
    </row>
    <row r="1884" spans="5:18" ht="21" customHeight="1">
      <c r="E1884" s="27"/>
      <c r="G1884" s="27"/>
      <c r="I1884" s="27"/>
      <c r="K1884" s="27"/>
      <c r="M1884" s="27"/>
      <c r="O1884" s="27"/>
      <c r="R1884" s="27"/>
    </row>
    <row r="1885" spans="5:18" ht="21" customHeight="1">
      <c r="E1885" s="27"/>
      <c r="G1885" s="27"/>
      <c r="I1885" s="27"/>
      <c r="K1885" s="27"/>
      <c r="M1885" s="27"/>
      <c r="O1885" s="27"/>
      <c r="R1885" s="27"/>
    </row>
    <row r="1886" spans="5:18" ht="21" customHeight="1">
      <c r="E1886" s="27"/>
      <c r="G1886" s="27"/>
      <c r="I1886" s="27"/>
      <c r="K1886" s="27"/>
      <c r="M1886" s="27"/>
      <c r="O1886" s="27"/>
      <c r="R1886" s="27"/>
    </row>
    <row r="1887" spans="5:18" ht="21" customHeight="1">
      <c r="E1887" s="27"/>
      <c r="G1887" s="27"/>
      <c r="I1887" s="27"/>
      <c r="K1887" s="27"/>
      <c r="M1887" s="27"/>
      <c r="O1887" s="27"/>
      <c r="R1887" s="27"/>
    </row>
    <row r="1888" spans="5:18" ht="21" customHeight="1">
      <c r="E1888" s="27"/>
      <c r="G1888" s="27"/>
      <c r="I1888" s="27"/>
      <c r="K1888" s="27"/>
      <c r="M1888" s="27"/>
      <c r="O1888" s="27"/>
      <c r="R1888" s="27"/>
    </row>
    <row r="1889" spans="5:18" ht="21" customHeight="1">
      <c r="E1889" s="27"/>
      <c r="G1889" s="27"/>
      <c r="I1889" s="27"/>
      <c r="K1889" s="27"/>
      <c r="M1889" s="27"/>
      <c r="O1889" s="27"/>
      <c r="R1889" s="27"/>
    </row>
    <row r="1890" spans="5:18" ht="21" customHeight="1">
      <c r="E1890" s="27"/>
      <c r="G1890" s="27"/>
      <c r="I1890" s="27"/>
      <c r="K1890" s="27"/>
      <c r="M1890" s="27"/>
      <c r="O1890" s="27"/>
      <c r="R1890" s="27"/>
    </row>
    <row r="1891" spans="5:18" ht="21" customHeight="1">
      <c r="E1891" s="27"/>
      <c r="G1891" s="27"/>
      <c r="I1891" s="27"/>
      <c r="K1891" s="27"/>
      <c r="M1891" s="27"/>
      <c r="O1891" s="27"/>
      <c r="R1891" s="27"/>
    </row>
    <row r="1892" spans="5:18" ht="21" customHeight="1">
      <c r="E1892" s="27"/>
      <c r="G1892" s="27"/>
      <c r="I1892" s="27"/>
      <c r="K1892" s="27"/>
      <c r="M1892" s="27"/>
      <c r="O1892" s="27"/>
      <c r="R1892" s="27"/>
    </row>
    <row r="1893" spans="5:18" ht="21" customHeight="1">
      <c r="E1893" s="27"/>
      <c r="G1893" s="27"/>
      <c r="I1893" s="27"/>
      <c r="K1893" s="27"/>
      <c r="M1893" s="27"/>
      <c r="O1893" s="27"/>
      <c r="R1893" s="27"/>
    </row>
    <row r="1894" spans="5:18" ht="21" customHeight="1">
      <c r="E1894" s="27"/>
      <c r="G1894" s="27"/>
      <c r="I1894" s="27"/>
      <c r="K1894" s="27"/>
      <c r="M1894" s="27"/>
      <c r="O1894" s="27"/>
      <c r="R1894" s="27"/>
    </row>
    <row r="1895" spans="5:18" ht="21" customHeight="1">
      <c r="E1895" s="27"/>
      <c r="G1895" s="27"/>
      <c r="I1895" s="27"/>
      <c r="K1895" s="27"/>
      <c r="M1895" s="27"/>
      <c r="O1895" s="27"/>
      <c r="R1895" s="27"/>
    </row>
    <row r="1896" spans="5:18" ht="21" customHeight="1">
      <c r="E1896" s="27"/>
      <c r="G1896" s="27"/>
      <c r="I1896" s="27"/>
      <c r="K1896" s="27"/>
      <c r="M1896" s="27"/>
      <c r="O1896" s="27"/>
      <c r="R1896" s="27"/>
    </row>
    <row r="1897" spans="5:18" ht="21" customHeight="1">
      <c r="E1897" s="27"/>
      <c r="G1897" s="27"/>
      <c r="I1897" s="27"/>
      <c r="K1897" s="27"/>
      <c r="M1897" s="27"/>
      <c r="O1897" s="27"/>
      <c r="R1897" s="27"/>
    </row>
    <row r="1898" spans="5:18" ht="21" customHeight="1">
      <c r="E1898" s="27"/>
      <c r="G1898" s="27"/>
      <c r="I1898" s="27"/>
      <c r="K1898" s="27"/>
      <c r="M1898" s="27"/>
      <c r="O1898" s="27"/>
      <c r="R1898" s="27"/>
    </row>
    <row r="1899" spans="5:18" ht="21" customHeight="1">
      <c r="E1899" s="27"/>
      <c r="G1899" s="27"/>
      <c r="I1899" s="27"/>
      <c r="K1899" s="27"/>
      <c r="M1899" s="27"/>
      <c r="O1899" s="27"/>
      <c r="R1899" s="27"/>
    </row>
    <row r="1900" spans="5:18" ht="21" customHeight="1">
      <c r="E1900" s="27"/>
      <c r="G1900" s="27"/>
      <c r="I1900" s="27"/>
      <c r="K1900" s="27"/>
      <c r="M1900" s="27"/>
      <c r="O1900" s="27"/>
      <c r="R1900" s="27"/>
    </row>
    <row r="1901" spans="5:18" ht="21" customHeight="1">
      <c r="E1901" s="27"/>
      <c r="G1901" s="27"/>
      <c r="I1901" s="27"/>
      <c r="K1901" s="27"/>
      <c r="M1901" s="27"/>
      <c r="O1901" s="27"/>
      <c r="R1901" s="27"/>
    </row>
    <row r="1902" spans="5:18" ht="21" customHeight="1">
      <c r="E1902" s="27"/>
      <c r="G1902" s="27"/>
      <c r="I1902" s="27"/>
      <c r="K1902" s="27"/>
      <c r="M1902" s="27"/>
      <c r="O1902" s="27"/>
      <c r="R1902" s="27"/>
    </row>
    <row r="1903" spans="5:18" ht="21" customHeight="1">
      <c r="E1903" s="27"/>
      <c r="G1903" s="27"/>
      <c r="I1903" s="27"/>
      <c r="K1903" s="27"/>
      <c r="M1903" s="27"/>
      <c r="O1903" s="27"/>
      <c r="R1903" s="27"/>
    </row>
    <row r="1904" spans="5:18" ht="21" customHeight="1">
      <c r="E1904" s="27"/>
      <c r="G1904" s="27"/>
      <c r="I1904" s="27"/>
      <c r="K1904" s="27"/>
      <c r="M1904" s="27"/>
      <c r="O1904" s="27"/>
      <c r="R1904" s="27"/>
    </row>
    <row r="1905" spans="5:18" ht="21" customHeight="1">
      <c r="E1905" s="27"/>
      <c r="G1905" s="27"/>
      <c r="I1905" s="27"/>
      <c r="K1905" s="27"/>
      <c r="M1905" s="27"/>
      <c r="O1905" s="27"/>
      <c r="R1905" s="27"/>
    </row>
    <row r="1906" spans="5:18" ht="21" customHeight="1">
      <c r="E1906" s="27"/>
      <c r="G1906" s="27"/>
      <c r="I1906" s="27"/>
      <c r="K1906" s="27"/>
      <c r="M1906" s="27"/>
      <c r="O1906" s="27"/>
      <c r="R1906" s="27"/>
    </row>
    <row r="1907" spans="5:18" ht="21" customHeight="1">
      <c r="E1907" s="27"/>
      <c r="G1907" s="27"/>
      <c r="I1907" s="27"/>
      <c r="K1907" s="27"/>
      <c r="M1907" s="27"/>
      <c r="O1907" s="27"/>
      <c r="R1907" s="27"/>
    </row>
    <row r="1908" spans="5:18" ht="21" customHeight="1">
      <c r="E1908" s="27"/>
      <c r="G1908" s="27"/>
      <c r="I1908" s="27"/>
      <c r="K1908" s="27"/>
      <c r="M1908" s="27"/>
      <c r="O1908" s="27"/>
      <c r="R1908" s="27"/>
    </row>
    <row r="1909" spans="5:18" ht="21" customHeight="1">
      <c r="E1909" s="27"/>
      <c r="G1909" s="27"/>
      <c r="I1909" s="27"/>
      <c r="K1909" s="27"/>
      <c r="M1909" s="27"/>
      <c r="O1909" s="27"/>
      <c r="R1909" s="27"/>
    </row>
    <row r="1910" spans="5:18" ht="21" customHeight="1">
      <c r="E1910" s="27"/>
      <c r="G1910" s="27"/>
      <c r="I1910" s="27"/>
      <c r="K1910" s="27"/>
      <c r="M1910" s="27"/>
      <c r="O1910" s="27"/>
      <c r="R1910" s="27"/>
    </row>
    <row r="1911" spans="5:18" ht="21" customHeight="1">
      <c r="E1911" s="27"/>
      <c r="G1911" s="27"/>
      <c r="I1911" s="27"/>
      <c r="K1911" s="27"/>
      <c r="M1911" s="27"/>
      <c r="O1911" s="27"/>
      <c r="R1911" s="27"/>
    </row>
    <row r="1912" spans="5:18" ht="21" customHeight="1">
      <c r="E1912" s="27"/>
      <c r="G1912" s="27"/>
      <c r="I1912" s="27"/>
      <c r="K1912" s="27"/>
      <c r="M1912" s="27"/>
      <c r="O1912" s="27"/>
      <c r="R1912" s="27"/>
    </row>
    <row r="1913" spans="5:18" ht="21" customHeight="1">
      <c r="E1913" s="27"/>
      <c r="G1913" s="27"/>
      <c r="I1913" s="27"/>
      <c r="K1913" s="27"/>
      <c r="M1913" s="27"/>
      <c r="O1913" s="27"/>
      <c r="R1913" s="27"/>
    </row>
    <row r="1914" spans="5:18" ht="21" customHeight="1">
      <c r="E1914" s="27"/>
      <c r="G1914" s="27"/>
      <c r="I1914" s="27"/>
      <c r="K1914" s="27"/>
      <c r="M1914" s="27"/>
      <c r="O1914" s="27"/>
      <c r="R1914" s="27"/>
    </row>
    <row r="1915" spans="5:18" ht="21" customHeight="1">
      <c r="E1915" s="27"/>
      <c r="G1915" s="27"/>
      <c r="I1915" s="27"/>
      <c r="K1915" s="27"/>
      <c r="M1915" s="27"/>
      <c r="O1915" s="27"/>
      <c r="R1915" s="27"/>
    </row>
    <row r="1916" spans="5:18" ht="21" customHeight="1">
      <c r="E1916" s="27"/>
      <c r="G1916" s="27"/>
      <c r="I1916" s="27"/>
      <c r="K1916" s="27"/>
      <c r="M1916" s="27"/>
      <c r="O1916" s="27"/>
      <c r="R1916" s="27"/>
    </row>
    <row r="1917" spans="5:18" ht="21" customHeight="1">
      <c r="E1917" s="27"/>
      <c r="G1917" s="27"/>
      <c r="I1917" s="27"/>
      <c r="K1917" s="27"/>
      <c r="M1917" s="27"/>
      <c r="O1917" s="27"/>
      <c r="R1917" s="27"/>
    </row>
    <row r="1918" spans="5:18" ht="21" customHeight="1">
      <c r="E1918" s="27"/>
      <c r="G1918" s="27"/>
      <c r="I1918" s="27"/>
      <c r="K1918" s="27"/>
      <c r="M1918" s="27"/>
      <c r="O1918" s="27"/>
      <c r="R1918" s="27"/>
    </row>
    <row r="1919" spans="5:18" ht="21" customHeight="1">
      <c r="E1919" s="27"/>
      <c r="G1919" s="27"/>
      <c r="I1919" s="27"/>
      <c r="K1919" s="27"/>
      <c r="M1919" s="27"/>
      <c r="O1919" s="27"/>
      <c r="R1919" s="27"/>
    </row>
    <row r="1920" spans="5:18" ht="21" customHeight="1">
      <c r="E1920" s="27"/>
      <c r="G1920" s="27"/>
      <c r="I1920" s="27"/>
      <c r="K1920" s="27"/>
      <c r="M1920" s="27"/>
      <c r="O1920" s="27"/>
      <c r="R1920" s="27"/>
    </row>
    <row r="1921" spans="5:18" ht="21" customHeight="1">
      <c r="E1921" s="27"/>
      <c r="G1921" s="27"/>
      <c r="I1921" s="27"/>
      <c r="K1921" s="27"/>
      <c r="M1921" s="27"/>
      <c r="O1921" s="27"/>
      <c r="R1921" s="27"/>
    </row>
    <row r="1922" spans="5:18" ht="21" customHeight="1">
      <c r="E1922" s="27"/>
      <c r="G1922" s="27"/>
      <c r="I1922" s="27"/>
      <c r="K1922" s="27"/>
      <c r="M1922" s="27"/>
      <c r="O1922" s="27"/>
      <c r="R1922" s="27"/>
    </row>
    <row r="1923" spans="5:18" ht="21" customHeight="1">
      <c r="E1923" s="27"/>
      <c r="G1923" s="27"/>
      <c r="I1923" s="27"/>
      <c r="K1923" s="27"/>
      <c r="M1923" s="27"/>
      <c r="O1923" s="27"/>
      <c r="R1923" s="27"/>
    </row>
    <row r="1924" spans="5:18" ht="21" customHeight="1">
      <c r="E1924" s="27"/>
      <c r="G1924" s="27"/>
      <c r="I1924" s="27"/>
      <c r="K1924" s="27"/>
      <c r="M1924" s="27"/>
      <c r="O1924" s="27"/>
      <c r="R1924" s="27"/>
    </row>
    <row r="1925" spans="5:18" ht="21" customHeight="1">
      <c r="E1925" s="27"/>
      <c r="G1925" s="27"/>
      <c r="I1925" s="27"/>
      <c r="K1925" s="27"/>
      <c r="M1925" s="27"/>
      <c r="O1925" s="27"/>
      <c r="R1925" s="27"/>
    </row>
    <row r="1926" spans="5:18" ht="21" customHeight="1">
      <c r="E1926" s="27"/>
      <c r="G1926" s="27"/>
      <c r="I1926" s="27"/>
      <c r="K1926" s="27"/>
      <c r="M1926" s="27"/>
      <c r="O1926" s="27"/>
      <c r="R1926" s="27"/>
    </row>
    <row r="1927" spans="5:18" ht="21" customHeight="1">
      <c r="E1927" s="27"/>
      <c r="G1927" s="27"/>
      <c r="I1927" s="27"/>
      <c r="K1927" s="27"/>
      <c r="M1927" s="27"/>
      <c r="O1927" s="27"/>
      <c r="R1927" s="27"/>
    </row>
    <row r="1928" spans="5:18" ht="21" customHeight="1">
      <c r="E1928" s="27"/>
      <c r="G1928" s="27"/>
      <c r="I1928" s="27"/>
      <c r="K1928" s="27"/>
      <c r="M1928" s="27"/>
      <c r="O1928" s="27"/>
      <c r="R1928" s="27"/>
    </row>
    <row r="1929" spans="5:18" ht="21" customHeight="1">
      <c r="E1929" s="27"/>
      <c r="G1929" s="27"/>
      <c r="I1929" s="27"/>
      <c r="K1929" s="27"/>
      <c r="M1929" s="27"/>
      <c r="O1929" s="27"/>
      <c r="R1929" s="27"/>
    </row>
    <row r="1930" spans="5:18" ht="21" customHeight="1">
      <c r="E1930" s="27"/>
      <c r="G1930" s="27"/>
      <c r="I1930" s="27"/>
      <c r="K1930" s="27"/>
      <c r="M1930" s="27"/>
      <c r="O1930" s="27"/>
      <c r="R1930" s="27"/>
    </row>
    <row r="1931" spans="5:18" ht="21" customHeight="1">
      <c r="E1931" s="27"/>
      <c r="G1931" s="27"/>
      <c r="I1931" s="27"/>
      <c r="K1931" s="27"/>
      <c r="M1931" s="27"/>
      <c r="O1931" s="27"/>
      <c r="R1931" s="27"/>
    </row>
    <row r="1932" spans="5:18" ht="21" customHeight="1">
      <c r="E1932" s="27"/>
      <c r="G1932" s="27"/>
      <c r="I1932" s="27"/>
      <c r="K1932" s="27"/>
      <c r="M1932" s="27"/>
      <c r="O1932" s="27"/>
      <c r="R1932" s="27"/>
    </row>
    <row r="1933" spans="5:18" ht="21" customHeight="1">
      <c r="E1933" s="27"/>
      <c r="G1933" s="27"/>
      <c r="I1933" s="27"/>
      <c r="K1933" s="27"/>
      <c r="M1933" s="27"/>
      <c r="O1933" s="27"/>
      <c r="R1933" s="27"/>
    </row>
    <row r="1934" spans="5:18" ht="21" customHeight="1">
      <c r="E1934" s="27"/>
      <c r="G1934" s="27"/>
      <c r="I1934" s="27"/>
      <c r="K1934" s="27"/>
      <c r="M1934" s="27"/>
      <c r="O1934" s="27"/>
      <c r="R1934" s="27"/>
    </row>
    <row r="1935" spans="5:18" ht="21" customHeight="1">
      <c r="E1935" s="27"/>
      <c r="G1935" s="27"/>
      <c r="I1935" s="27"/>
      <c r="K1935" s="27"/>
      <c r="M1935" s="27"/>
      <c r="O1935" s="27"/>
      <c r="R1935" s="27"/>
    </row>
    <row r="1936" spans="5:18" ht="21" customHeight="1">
      <c r="E1936" s="27"/>
      <c r="G1936" s="27"/>
      <c r="I1936" s="27"/>
      <c r="K1936" s="27"/>
      <c r="M1936" s="27"/>
      <c r="O1936" s="27"/>
      <c r="R1936" s="27"/>
    </row>
    <row r="1937" spans="5:18" ht="21" customHeight="1">
      <c r="E1937" s="27"/>
      <c r="G1937" s="27"/>
      <c r="I1937" s="27"/>
      <c r="K1937" s="27"/>
      <c r="M1937" s="27"/>
      <c r="O1937" s="27"/>
      <c r="R1937" s="27"/>
    </row>
    <row r="1938" spans="5:18" ht="21" customHeight="1">
      <c r="E1938" s="27"/>
      <c r="G1938" s="27"/>
      <c r="I1938" s="27"/>
      <c r="K1938" s="27"/>
      <c r="M1938" s="27"/>
      <c r="O1938" s="27"/>
      <c r="R1938" s="27"/>
    </row>
    <row r="1939" spans="5:18" ht="21" customHeight="1">
      <c r="E1939" s="27"/>
      <c r="G1939" s="27"/>
      <c r="I1939" s="27"/>
      <c r="K1939" s="27"/>
      <c r="M1939" s="27"/>
      <c r="O1939" s="27"/>
      <c r="R1939" s="27"/>
    </row>
    <row r="1940" spans="5:18" ht="21" customHeight="1">
      <c r="E1940" s="27"/>
      <c r="G1940" s="27"/>
      <c r="I1940" s="27"/>
      <c r="K1940" s="27"/>
      <c r="M1940" s="27"/>
      <c r="O1940" s="27"/>
      <c r="R1940" s="27"/>
    </row>
    <row r="1941" spans="5:18" ht="21" customHeight="1">
      <c r="E1941" s="27"/>
      <c r="G1941" s="27"/>
      <c r="I1941" s="27"/>
      <c r="K1941" s="27"/>
      <c r="M1941" s="27"/>
      <c r="O1941" s="27"/>
      <c r="R1941" s="27"/>
    </row>
    <row r="1942" spans="5:18" ht="21" customHeight="1">
      <c r="E1942" s="27"/>
      <c r="G1942" s="27"/>
      <c r="I1942" s="27"/>
      <c r="K1942" s="27"/>
      <c r="M1942" s="27"/>
      <c r="O1942" s="27"/>
      <c r="R1942" s="27"/>
    </row>
    <row r="1943" spans="5:18" ht="21" customHeight="1">
      <c r="E1943" s="27"/>
      <c r="G1943" s="27"/>
      <c r="I1943" s="27"/>
      <c r="K1943" s="27"/>
      <c r="M1943" s="27"/>
      <c r="O1943" s="27"/>
      <c r="R1943" s="27"/>
    </row>
    <row r="1944" spans="5:18" ht="21" customHeight="1">
      <c r="E1944" s="27"/>
      <c r="G1944" s="27"/>
      <c r="I1944" s="27"/>
      <c r="K1944" s="27"/>
      <c r="M1944" s="27"/>
      <c r="O1944" s="27"/>
      <c r="R1944" s="27"/>
    </row>
    <row r="1945" spans="5:18" ht="21" customHeight="1">
      <c r="E1945" s="27"/>
      <c r="G1945" s="27"/>
      <c r="I1945" s="27"/>
      <c r="K1945" s="27"/>
      <c r="M1945" s="27"/>
      <c r="O1945" s="27"/>
      <c r="R1945" s="27"/>
    </row>
    <row r="1946" spans="5:18" ht="21" customHeight="1">
      <c r="E1946" s="27"/>
      <c r="G1946" s="27"/>
      <c r="I1946" s="27"/>
      <c r="K1946" s="27"/>
      <c r="M1946" s="27"/>
      <c r="O1946" s="27"/>
      <c r="R1946" s="27"/>
    </row>
    <row r="1947" spans="5:18" ht="21" customHeight="1">
      <c r="E1947" s="27"/>
      <c r="G1947" s="27"/>
      <c r="I1947" s="27"/>
      <c r="K1947" s="27"/>
      <c r="M1947" s="27"/>
      <c r="O1947" s="27"/>
      <c r="R1947" s="27"/>
    </row>
    <row r="1948" spans="5:18" ht="21" customHeight="1">
      <c r="E1948" s="27"/>
      <c r="G1948" s="27"/>
      <c r="I1948" s="27"/>
      <c r="K1948" s="27"/>
      <c r="M1948" s="27"/>
      <c r="O1948" s="27"/>
      <c r="R1948" s="27"/>
    </row>
    <row r="1949" spans="5:18" ht="21" customHeight="1">
      <c r="E1949" s="27"/>
      <c r="G1949" s="27"/>
      <c r="I1949" s="27"/>
      <c r="K1949" s="27"/>
      <c r="M1949" s="27"/>
      <c r="O1949" s="27"/>
      <c r="R1949" s="27"/>
    </row>
    <row r="1950" spans="5:18" ht="21" customHeight="1">
      <c r="E1950" s="27"/>
      <c r="G1950" s="27"/>
      <c r="I1950" s="27"/>
      <c r="K1950" s="27"/>
      <c r="M1950" s="27"/>
      <c r="O1950" s="27"/>
      <c r="R1950" s="27"/>
    </row>
    <row r="1951" spans="5:18" ht="21" customHeight="1">
      <c r="E1951" s="27"/>
      <c r="G1951" s="27"/>
      <c r="I1951" s="27"/>
      <c r="K1951" s="27"/>
      <c r="M1951" s="27"/>
      <c r="O1951" s="27"/>
      <c r="R1951" s="27"/>
    </row>
    <row r="1952" spans="5:18" ht="21" customHeight="1">
      <c r="E1952" s="27"/>
      <c r="G1952" s="27"/>
      <c r="I1952" s="27"/>
      <c r="K1952" s="27"/>
      <c r="M1952" s="27"/>
      <c r="O1952" s="27"/>
      <c r="R1952" s="27"/>
    </row>
    <row r="1953" spans="5:18" ht="21" customHeight="1">
      <c r="E1953" s="27"/>
      <c r="G1953" s="27"/>
      <c r="I1953" s="27"/>
      <c r="K1953" s="27"/>
      <c r="M1953" s="27"/>
      <c r="O1953" s="27"/>
      <c r="R1953" s="27"/>
    </row>
    <row r="1954" spans="5:18" ht="21" customHeight="1">
      <c r="E1954" s="27"/>
      <c r="G1954" s="27"/>
      <c r="I1954" s="27"/>
      <c r="K1954" s="27"/>
      <c r="M1954" s="27"/>
      <c r="O1954" s="27"/>
      <c r="R1954" s="27"/>
    </row>
    <row r="1955" spans="5:18" ht="21" customHeight="1">
      <c r="E1955" s="27"/>
      <c r="G1955" s="27"/>
      <c r="I1955" s="27"/>
      <c r="K1955" s="27"/>
      <c r="M1955" s="27"/>
      <c r="O1955" s="27"/>
      <c r="R1955" s="27"/>
    </row>
    <row r="1956" spans="5:18" ht="21" customHeight="1">
      <c r="E1956" s="27"/>
      <c r="G1956" s="27"/>
      <c r="I1956" s="27"/>
      <c r="K1956" s="27"/>
      <c r="M1956" s="27"/>
      <c r="O1956" s="27"/>
      <c r="R1956" s="27"/>
    </row>
    <row r="1957" spans="5:18" ht="21" customHeight="1">
      <c r="E1957" s="27"/>
      <c r="G1957" s="27"/>
      <c r="I1957" s="27"/>
      <c r="K1957" s="27"/>
      <c r="M1957" s="27"/>
      <c r="O1957" s="27"/>
      <c r="R1957" s="27"/>
    </row>
    <row r="1958" spans="5:18" ht="21" customHeight="1">
      <c r="E1958" s="27"/>
      <c r="G1958" s="27"/>
      <c r="I1958" s="27"/>
      <c r="K1958" s="27"/>
      <c r="M1958" s="27"/>
      <c r="O1958" s="27"/>
      <c r="R1958" s="27"/>
    </row>
    <row r="1959" spans="5:18" ht="21" customHeight="1">
      <c r="E1959" s="79"/>
    </row>
    <row r="1960" spans="5:18" ht="21" customHeight="1">
      <c r="E1960" s="79"/>
    </row>
    <row r="1963" spans="5:18" ht="21" customHeight="1">
      <c r="E1963" s="79"/>
    </row>
    <row r="1964" spans="5:18" ht="21" customHeight="1">
      <c r="E1964" s="79"/>
    </row>
  </sheetData>
  <mergeCells count="23">
    <mergeCell ref="H52:J52"/>
    <mergeCell ref="R5:S5"/>
    <mergeCell ref="R51:S51"/>
    <mergeCell ref="K51:L51"/>
    <mergeCell ref="I4:O4"/>
    <mergeCell ref="O5:P5"/>
    <mergeCell ref="J49:K49"/>
    <mergeCell ref="N52:P52"/>
    <mergeCell ref="N49:O49"/>
    <mergeCell ref="I5:J5"/>
    <mergeCell ref="M51:O51"/>
    <mergeCell ref="M5:N5"/>
    <mergeCell ref="E1:I1"/>
    <mergeCell ref="J1:N1"/>
    <mergeCell ref="A3:D3"/>
    <mergeCell ref="A5:A6"/>
    <mergeCell ref="A2:V2"/>
    <mergeCell ref="B5:D6"/>
    <mergeCell ref="I3:O3"/>
    <mergeCell ref="E5:F5"/>
    <mergeCell ref="G5:H5"/>
    <mergeCell ref="K5:L5"/>
    <mergeCell ref="V5:V6"/>
  </mergeCells>
  <pageMargins left="0.2" right="0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47</vt:i4>
      </vt:variant>
      <vt:variant>
        <vt:lpstr>ช่วงที่มีชื่อ</vt:lpstr>
      </vt:variant>
      <vt:variant>
        <vt:i4>1</vt:i4>
      </vt:variant>
    </vt:vector>
  </HeadingPairs>
  <TitlesOfParts>
    <vt:vector size="48" baseType="lpstr">
      <vt:lpstr>วิธีใช้</vt:lpstr>
      <vt:lpstr>รายชื่อ</vt:lpstr>
      <vt:lpstr>ข้อมูล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แปลผลตนเอง</vt:lpstr>
      <vt:lpstr>แปลผลครู</vt:lpstr>
      <vt:lpstr>แปลผลผู้ปกครอง</vt:lpstr>
      <vt:lpstr>สรุปรวม</vt:lpstr>
      <vt:lpstr>สรุปรวม!Print_Area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Corporate Edition</dc:creator>
  <cp:keywords/>
  <dc:description/>
  <cp:lastModifiedBy>นางสาวพอใจ สุขหา</cp:lastModifiedBy>
  <dcterms:created xsi:type="dcterms:W3CDTF">2010-09-25T05:46:39Z</dcterms:created>
  <dcterms:modified xsi:type="dcterms:W3CDTF">2025-08-12T16:25:45Z</dcterms:modified>
  <cp:category/>
</cp:coreProperties>
</file>